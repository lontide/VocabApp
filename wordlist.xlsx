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리즈_인덱스" sheetId="1" state="visible" r:id="rId1"/>
    <sheet name="통합_전체표현" sheetId="2" state="visible" r:id="rId2"/>
    <sheet name="총정리_1탄" sheetId="3" state="visible" r:id="rId3"/>
    <sheet name="총정리_2탄" sheetId="4" state="visible" r:id="rId4"/>
    <sheet name="총정리_3탄" sheetId="5" state="visible" r:id="rId5"/>
    <sheet name="총정리_4탄" sheetId="6" state="visible" r:id="rId6"/>
    <sheet name="총정리_5탄" sheetId="7" state="visible" r:id="rId7"/>
    <sheet name="총정리_6탄" sheetId="8" state="visible" r:id="rId8"/>
    <sheet name="총정리_7탄" sheetId="9" state="visible" r:id="rId9"/>
    <sheet name="총정리_8탄" sheetId="10" state="visible" r:id="rId10"/>
    <sheet name="총정리_9탄" sheetId="11" state="visible" r:id="rId11"/>
    <sheet name="총정리_10탄" sheetId="12" state="visible" r:id="rId12"/>
    <sheet name="총정리_11탄" sheetId="13" state="visible" r:id="rId13"/>
    <sheet name="총정리_12탄" sheetId="14" state="visible" r:id="rId14"/>
    <sheet name="총정리_13탄" sheetId="15" state="visible" r:id="rId15"/>
    <sheet name="총정리_14탄" sheetId="16" state="visible" r:id="rId16"/>
    <sheet name="총정리_15탄" sheetId="17" state="visible" r:id="rId17"/>
    <sheet name="총정리_16탄" sheetId="18" state="visible" r:id="rId18"/>
    <sheet name="총정리_17탄" sheetId="19" state="visible" r:id="rId19"/>
    <sheet name="총정리_18탄" sheetId="20" state="visible" r:id="rId20"/>
    <sheet name="총정리_19탄" sheetId="21" state="visible" r:id="rId21"/>
    <sheet name="총정리_20탄" sheetId="22" state="visible" r:id="rId22"/>
    <sheet name="총정리_21탄" sheetId="23" state="visible" r:id="rId23"/>
    <sheet name="총정리_22탄" sheetId="24" state="visible" r:id="rId24"/>
    <sheet name="총정리_23탄" sheetId="25" state="visible" r:id="rId25"/>
    <sheet name="총정리_24탄" sheetId="26" state="visible" r:id="rId26"/>
    <sheet name="총정리_25탄" sheetId="27" state="visible" r:id="rId27"/>
    <sheet name="총정리_26탄" sheetId="28" state="visible" r:id="rId28"/>
    <sheet name="총정리_27탄" sheetId="29" state="visible" r:id="rId29"/>
    <sheet name="총정리_28탄" sheetId="30" state="visible" r:id="rId30"/>
    <sheet name="총정리_29탄" sheetId="31" state="visible" r:id="rId31"/>
    <sheet name="총정리_30탄" sheetId="32" state="visible" r:id="rId32"/>
    <sheet name="총정리_31탄" sheetId="33" state="visible" r:id="rId33"/>
    <sheet name="총정리_32탄" sheetId="34" state="visible" r:id="rId34"/>
    <sheet name="총정리_33탄" sheetId="35" state="visible" r:id="rId35"/>
    <sheet name="총정리_34탄" sheetId="36" state="visible" r:id="rId36"/>
    <sheet name="총정리_35탄" sheetId="37" state="visible" r:id="rId37"/>
    <sheet name="총정리_36탄" sheetId="38" state="visible" r:id="rId38"/>
    <sheet name="총정리_37탄" sheetId="39" state="visible" r:id="rId39"/>
    <sheet name="총정리_38탄" sheetId="40" state="visible" r:id="rId40"/>
    <sheet name="총정리_39탄" sheetId="41" state="visible" r:id="rId41"/>
    <sheet name="총정리_40탄" sheetId="42" state="visible" r:id="rId42"/>
    <sheet name="총정리_41탄" sheetId="43" state="visible" r:id="rId43"/>
    <sheet name="총정리_42탄" sheetId="44" state="visible" r:id="rId44"/>
    <sheet name="총정리_43탄" sheetId="45" state="visible" r:id="rId45"/>
    <sheet name="총정리_44탄" sheetId="46" state="visible" r:id="rId46"/>
    <sheet name="총정리_45탄" sheetId="47" state="visible" r:id="rId47"/>
    <sheet name="총정리_46탄" sheetId="48" state="visible" r:id="rId48"/>
    <sheet name="총정리_47탄" sheetId="49" state="visible" r:id="rId49"/>
    <sheet name="총정리_48탄" sheetId="50" state="visible" r:id="rId50"/>
    <sheet name="총정리_49탄" sheetId="51" state="visible" r:id="rId51"/>
    <sheet name="총정리_50탄" sheetId="52" state="visible" r:id="rId52"/>
    <sheet name="전화영어_특강" sheetId="53" state="visible" r:id="rId53"/>
    <sheet name="대화센스_20선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b val="1"/>
      <color rgb="001E293B"/>
      <sz val="10"/>
    </font>
    <font>
      <name val="맑은 고딕"/>
      <color rgb="00334155"/>
      <sz val="10"/>
    </font>
    <font>
      <name val="맑은 고딕"/>
      <b val="1"/>
      <color rgb="000284C7"/>
      <sz val="10"/>
      <u val="single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B365D"/>
        <bgColor rgb="001B365D"/>
      </patternFill>
    </fill>
    <fill>
      <patternFill patternType="solid">
        <fgColor rgb="000D6E6E"/>
        <bgColor rgb="000D6E6E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.6" customWidth="1" min="2" max="2"/>
    <col width="15" customWidth="1" min="3" max="3"/>
    <col width="84.40000000000001" customWidth="1" min="4" max="4"/>
    <col width="14" customWidth="1" min="5" max="5"/>
    <col width="16" customWidth="1" min="6" max="6"/>
    <col width="70" customWidth="1" min="7" max="7"/>
  </cols>
  <sheetData>
    <row r="1" ht="28" customHeight="1">
      <c r="A1" s="1" t="inlineStr">
        <is>
          <t>순번</t>
        </is>
      </c>
      <c r="B1" s="1" t="inlineStr">
        <is>
          <t>구분</t>
        </is>
      </c>
      <c r="C1" s="1" t="inlineStr">
        <is>
          <t>회차 명칭</t>
        </is>
      </c>
      <c r="D1" s="1" t="inlineStr">
        <is>
          <t>영상 제목</t>
        </is>
      </c>
      <c r="E1" s="1" t="inlineStr">
        <is>
          <t>수록 표현 수</t>
        </is>
      </c>
      <c r="F1" s="1" t="inlineStr">
        <is>
          <t>번호 범위</t>
        </is>
      </c>
      <c r="G1" s="1" t="inlineStr">
        <is>
          <t>바로가기 링크</t>
        </is>
      </c>
    </row>
    <row r="2" ht="24" customHeight="1">
      <c r="A2" s="2" t="n">
        <v>1</v>
      </c>
      <c r="B2" s="3" t="inlineStr">
        <is>
          <t>몰아보기</t>
        </is>
      </c>
      <c r="C2" s="3" t="inlineStr">
        <is>
          <t>몰아보기 1</t>
        </is>
      </c>
      <c r="D2" s="4" t="inlineStr">
        <is>
          <t>PDF 단어장 제공! 미국인이 진짜 매일쓰는 영어표현 150개! 총정리 1-3탄 한시간 몰아보기</t>
        </is>
      </c>
      <c r="E2" s="3" t="inlineStr">
        <is>
          <t>150개</t>
        </is>
      </c>
      <c r="F2" s="3" t="inlineStr">
        <is>
          <t>#1 ~ #150</t>
        </is>
      </c>
      <c r="G2" s="5">
        <f>HYPERLINK("https://www.youtube.com/watch?v=LBl-ZjPK0eQ", "YouTube 영상 ▶")</f>
        <v/>
      </c>
    </row>
    <row r="3" ht="24" customHeight="1">
      <c r="A3" s="6" t="n">
        <v>2</v>
      </c>
      <c r="B3" s="7" t="inlineStr">
        <is>
          <t>몰아보기</t>
        </is>
      </c>
      <c r="C3" s="7" t="inlineStr">
        <is>
          <t>몰아보기 2</t>
        </is>
      </c>
      <c r="D3" s="8" t="inlineStr">
        <is>
          <t>[PDF 단어장 제공] 원어민이 진짜 매일쓰는 영어표현 150개! 한시간 몰아보기 2탄 (총정리 4-6탄)</t>
        </is>
      </c>
      <c r="E3" s="7" t="inlineStr">
        <is>
          <t>150개</t>
        </is>
      </c>
      <c r="F3" s="7" t="inlineStr">
        <is>
          <t>#151 ~ #300</t>
        </is>
      </c>
      <c r="G3" s="9">
        <f>HYPERLINK("https://www.youtube.com/watch?v=DSx-9lqN54g", "YouTube 영상 ▶")</f>
        <v/>
      </c>
    </row>
    <row r="4" ht="24" customHeight="1">
      <c r="A4" s="2" t="n">
        <v>3</v>
      </c>
      <c r="B4" s="3" t="inlineStr">
        <is>
          <t>정규 총정리</t>
        </is>
      </c>
      <c r="C4" s="3" t="inlineStr">
        <is>
          <t>총정리 1탄</t>
        </is>
      </c>
      <c r="D4" s="4" t="inlineStr">
        <is>
          <t>미국인들이 가장 많이 쓰는 실전 영어 표현 50개! (구슬쌤 영상 총정리 1탄!)</t>
        </is>
      </c>
      <c r="E4" s="3" t="inlineStr">
        <is>
          <t>50개</t>
        </is>
      </c>
      <c r="F4" s="3" t="inlineStr">
        <is>
          <t>#1 ~ #50</t>
        </is>
      </c>
      <c r="G4" s="5">
        <f>HYPERLINK("https://www.youtube.com/watch?v=uKoTQ_r5KvM", "YouTube 영상 ▶")</f>
        <v/>
      </c>
    </row>
    <row r="5" ht="24" customHeight="1">
      <c r="A5" s="6" t="n">
        <v>4</v>
      </c>
      <c r="B5" s="7" t="inlineStr">
        <is>
          <t>정규 총정리</t>
        </is>
      </c>
      <c r="C5" s="7" t="inlineStr">
        <is>
          <t>총정리 2탄</t>
        </is>
      </c>
      <c r="D5" s="8" t="inlineStr">
        <is>
          <t>미국인들이 가장 많이 쓰는 실전 영어 표현 50개! (구슬쌤 영상 총정리 2탄!)</t>
        </is>
      </c>
      <c r="E5" s="7" t="inlineStr">
        <is>
          <t>50개</t>
        </is>
      </c>
      <c r="F5" s="7" t="inlineStr">
        <is>
          <t>#51 ~ #100</t>
        </is>
      </c>
      <c r="G5" s="9">
        <f>HYPERLINK("https://www.youtube.com/watch?v=IKMtRxARBZY", "YouTube 영상 ▶")</f>
        <v/>
      </c>
    </row>
    <row r="6" ht="24" customHeight="1">
      <c r="A6" s="2" t="n">
        <v>5</v>
      </c>
      <c r="B6" s="3" t="inlineStr">
        <is>
          <t>정규 총정리</t>
        </is>
      </c>
      <c r="C6" s="3" t="inlineStr">
        <is>
          <t>총정리 3탄</t>
        </is>
      </c>
      <c r="D6" s="4" t="inlineStr">
        <is>
          <t>미국 회사에서 자주 쓰는 비즈니스 영어 표현 50개! (구슬쌤 영상 총정리 3탄)</t>
        </is>
      </c>
      <c r="E6" s="3" t="inlineStr">
        <is>
          <t>50개</t>
        </is>
      </c>
      <c r="F6" s="3" t="inlineStr">
        <is>
          <t>#101 ~ #150</t>
        </is>
      </c>
      <c r="G6" s="5">
        <f>HYPERLINK("https://www.youtube.com/watch?v=WEDvuTDF9hY", "YouTube 영상 ▶")</f>
        <v/>
      </c>
    </row>
    <row r="7" ht="24" customHeight="1">
      <c r="A7" s="6" t="n">
        <v>6</v>
      </c>
      <c r="B7" s="7" t="inlineStr">
        <is>
          <t>정규 총정리</t>
        </is>
      </c>
      <c r="C7" s="7" t="inlineStr">
        <is>
          <t>총정리 4탄</t>
        </is>
      </c>
      <c r="D7" s="8" t="inlineStr">
        <is>
          <t>미국인들이 가장 많이 쓰는 실전 영어 표현 50개! (구슬쌤 영상 총정리 4탄!)</t>
        </is>
      </c>
      <c r="E7" s="7" t="inlineStr">
        <is>
          <t>50개</t>
        </is>
      </c>
      <c r="F7" s="7" t="inlineStr">
        <is>
          <t>#151 ~ #200</t>
        </is>
      </c>
      <c r="G7" s="9">
        <f>HYPERLINK("https://www.youtube.com/watch?v=2eL9r9rlcOc", "YouTube 영상 ▶")</f>
        <v/>
      </c>
    </row>
    <row r="8" ht="24" customHeight="1">
      <c r="A8" s="2" t="n">
        <v>7</v>
      </c>
      <c r="B8" s="3" t="inlineStr">
        <is>
          <t>정규 총정리</t>
        </is>
      </c>
      <c r="C8" s="3" t="inlineStr">
        <is>
          <t>총정리 5탄</t>
        </is>
      </c>
      <c r="D8" s="4" t="inlineStr">
        <is>
          <t>미국인들이 가장 많이 쓰는 실전 영어 표현 50개! (구슬쌤 영상 총정리 5탄!)</t>
        </is>
      </c>
      <c r="E8" s="3" t="inlineStr">
        <is>
          <t>50개</t>
        </is>
      </c>
      <c r="F8" s="3" t="inlineStr">
        <is>
          <t>#201 ~ #250</t>
        </is>
      </c>
      <c r="G8" s="5">
        <f>HYPERLINK("https://www.youtube.com/watch?v=gW8zB52Q3Uo", "YouTube 영상 ▶")</f>
        <v/>
      </c>
    </row>
    <row r="9" ht="24" customHeight="1">
      <c r="A9" s="6" t="n">
        <v>8</v>
      </c>
      <c r="B9" s="7" t="inlineStr">
        <is>
          <t>정규 총정리</t>
        </is>
      </c>
      <c r="C9" s="7" t="inlineStr">
        <is>
          <t>총정리 6탄</t>
        </is>
      </c>
      <c r="D9" s="8" t="inlineStr">
        <is>
          <t>미국인들이 가장 많이 쓰는 실전 영어 표현 50개! (구슬쌤 영상 총정리 6탄!)</t>
        </is>
      </c>
      <c r="E9" s="7" t="inlineStr">
        <is>
          <t>50개</t>
        </is>
      </c>
      <c r="F9" s="7" t="inlineStr">
        <is>
          <t>#251 ~ #300</t>
        </is>
      </c>
      <c r="G9" s="9">
        <f>HYPERLINK("https://www.youtube.com/watch?v=uTCnwpjR9X4", "YouTube 영상 ▶")</f>
        <v/>
      </c>
    </row>
    <row r="10" ht="24" customHeight="1">
      <c r="A10" s="2" t="n">
        <v>9</v>
      </c>
      <c r="B10" s="3" t="inlineStr">
        <is>
          <t>정규 총정리</t>
        </is>
      </c>
      <c r="C10" s="3" t="inlineStr">
        <is>
          <t>총정리 7탄</t>
        </is>
      </c>
      <c r="D10" s="4" t="inlineStr">
        <is>
          <t>미국인들이 가장 많이 쓰는 실전 영어 표현 50개! (구슬쌤 영상 총정리 7탄!)</t>
        </is>
      </c>
      <c r="E10" s="3" t="inlineStr">
        <is>
          <t>50개</t>
        </is>
      </c>
      <c r="F10" s="3" t="inlineStr">
        <is>
          <t>#301 ~ #350</t>
        </is>
      </c>
      <c r="G10" s="5">
        <f>HYPERLINK("https://www.youtube.com/watch?v=0S4clDwyQ3g", "YouTube 영상 ▶")</f>
        <v/>
      </c>
    </row>
    <row r="11" ht="24" customHeight="1">
      <c r="A11" s="6" t="n">
        <v>10</v>
      </c>
      <c r="B11" s="7" t="inlineStr">
        <is>
          <t>정규 총정리</t>
        </is>
      </c>
      <c r="C11" s="7" t="inlineStr">
        <is>
          <t>총정리 8탄</t>
        </is>
      </c>
      <c r="D11" s="8" t="inlineStr">
        <is>
          <t>구슬쌤 총정리 영상 8탄! 미국인들이 가장 많이 쓰는 실전 영어 표현 50개!</t>
        </is>
      </c>
      <c r="E11" s="7" t="inlineStr">
        <is>
          <t>50개</t>
        </is>
      </c>
      <c r="F11" s="7" t="inlineStr">
        <is>
          <t>#351 ~ #400</t>
        </is>
      </c>
      <c r="G11" s="9">
        <f>HYPERLINK("https://www.youtube.com/watch?v=Y9_QmHGnBlk", "YouTube 영상 ▶")</f>
        <v/>
      </c>
    </row>
    <row r="12" ht="24" customHeight="1">
      <c r="A12" s="2" t="n">
        <v>11</v>
      </c>
      <c r="B12" s="3" t="inlineStr">
        <is>
          <t>정규 총정리</t>
        </is>
      </c>
      <c r="C12" s="3" t="inlineStr">
        <is>
          <t>총정리 9탄</t>
        </is>
      </c>
      <c r="D12" s="4" t="inlineStr">
        <is>
          <t>구슬쌤 총정리 영상 9탄! 미국인들이 가장 많이 쓰는 실전 영어 표현 50개!</t>
        </is>
      </c>
      <c r="E12" s="3" t="inlineStr">
        <is>
          <t>50개</t>
        </is>
      </c>
      <c r="F12" s="3" t="inlineStr">
        <is>
          <t>#401 ~ #450</t>
        </is>
      </c>
      <c r="G12" s="5">
        <f>HYPERLINK("https://www.youtube.com/watch?v=gA4OSs3w5Mw", "YouTube 영상 ▶")</f>
        <v/>
      </c>
    </row>
    <row r="13" ht="24" customHeight="1">
      <c r="A13" s="6" t="n">
        <v>12</v>
      </c>
      <c r="B13" s="7" t="inlineStr">
        <is>
          <t>정규 총정리</t>
        </is>
      </c>
      <c r="C13" s="7" t="inlineStr">
        <is>
          <t>총정리 10탄</t>
        </is>
      </c>
      <c r="D13" s="8" t="inlineStr">
        <is>
          <t>구슬쌤 총정리 영상 10탄 미국인들이 가장 많이 쓰는 실전 영어 표현 50개!</t>
        </is>
      </c>
      <c r="E13" s="7" t="inlineStr">
        <is>
          <t>50개</t>
        </is>
      </c>
      <c r="F13" s="7" t="inlineStr">
        <is>
          <t>#451 ~ #500</t>
        </is>
      </c>
      <c r="G13" s="9">
        <f>HYPERLINK("https://www.youtube.com/watch?v=GA7NIKxDZB4", "YouTube 영상 ▶")</f>
        <v/>
      </c>
    </row>
    <row r="14" ht="24" customHeight="1">
      <c r="A14" s="2" t="n">
        <v>13</v>
      </c>
      <c r="B14" s="3" t="inlineStr">
        <is>
          <t>정규 총정리</t>
        </is>
      </c>
      <c r="C14" s="3" t="inlineStr">
        <is>
          <t>총정리 11탄</t>
        </is>
      </c>
      <c r="D14" s="4" t="inlineStr">
        <is>
          <t>구슬쌤 총정리 영상 11탄 미국인들이 가장 많이 쓰는 실전 영어 표현 50개!</t>
        </is>
      </c>
      <c r="E14" s="3" t="inlineStr">
        <is>
          <t>50개</t>
        </is>
      </c>
      <c r="F14" s="3" t="inlineStr">
        <is>
          <t>#501 ~ #550</t>
        </is>
      </c>
      <c r="G14" s="5">
        <f>HYPERLINK("https://www.youtube.com/watch?v=HTed60y_wXc", "YouTube 영상 ▶")</f>
        <v/>
      </c>
    </row>
    <row r="15" ht="24" customHeight="1">
      <c r="A15" s="6" t="n">
        <v>14</v>
      </c>
      <c r="B15" s="7" t="inlineStr">
        <is>
          <t>정규 총정리</t>
        </is>
      </c>
      <c r="C15" s="7" t="inlineStr">
        <is>
          <t>총정리 12탄</t>
        </is>
      </c>
      <c r="D15" s="8" t="inlineStr">
        <is>
          <t>구슬쌤 총정리 영상 12탄 미국인들이 가장 많이 쓰는 실전 영어 표현 50개!</t>
        </is>
      </c>
      <c r="E15" s="7" t="inlineStr">
        <is>
          <t>50개</t>
        </is>
      </c>
      <c r="F15" s="7" t="inlineStr">
        <is>
          <t>#551 ~ #600</t>
        </is>
      </c>
      <c r="G15" s="9">
        <f>HYPERLINK("https://www.youtube.com/watch?v=Vy0dWpnMYR8", "YouTube 영상 ▶")</f>
        <v/>
      </c>
    </row>
    <row r="16" ht="24" customHeight="1">
      <c r="A16" s="2" t="n">
        <v>15</v>
      </c>
      <c r="B16" s="3" t="inlineStr">
        <is>
          <t>정규 총정리</t>
        </is>
      </c>
      <c r="C16" s="3" t="inlineStr">
        <is>
          <t>총정리 13탄</t>
        </is>
      </c>
      <c r="D16" s="4" t="inlineStr">
        <is>
          <t>출퇴근 시간을 productive하게 총정리 영상 13탄 미국식 실전영어 표현 50개!</t>
        </is>
      </c>
      <c r="E16" s="3" t="inlineStr">
        <is>
          <t>50개</t>
        </is>
      </c>
      <c r="F16" s="3" t="inlineStr">
        <is>
          <t>#601 ~ #650</t>
        </is>
      </c>
      <c r="G16" s="5">
        <f>HYPERLINK("https://www.youtube.com/watch?v=xJ7n9e3p5Mc", "YouTube 영상 ▶")</f>
        <v/>
      </c>
    </row>
    <row r="17" ht="24" customHeight="1">
      <c r="A17" s="6" t="n">
        <v>16</v>
      </c>
      <c r="B17" s="7" t="inlineStr">
        <is>
          <t>정규 총정리</t>
        </is>
      </c>
      <c r="C17" s="7" t="inlineStr">
        <is>
          <t>총정리 14탄</t>
        </is>
      </c>
      <c r="D17" s="8" t="inlineStr">
        <is>
          <t>핵심 표현만 한번에 총정리! 미국식 실전영어 총정리 14탄</t>
        </is>
      </c>
      <c r="E17" s="7" t="inlineStr">
        <is>
          <t>50개</t>
        </is>
      </c>
      <c r="F17" s="7" t="inlineStr">
        <is>
          <t>#651 ~ #700</t>
        </is>
      </c>
      <c r="G17" s="9">
        <f>HYPERLINK("https://www.youtube.com/watch?v=hHZ1m3e0hdo", "YouTube 영상 ▶")</f>
        <v/>
      </c>
    </row>
    <row r="18" ht="24" customHeight="1">
      <c r="A18" s="2" t="n">
        <v>17</v>
      </c>
      <c r="B18" s="3" t="inlineStr">
        <is>
          <t>정규 총정리</t>
        </is>
      </c>
      <c r="C18" s="3" t="inlineStr">
        <is>
          <t>총정리 15탄</t>
        </is>
      </c>
      <c r="D18" s="4" t="inlineStr">
        <is>
          <t>핵심 표현만 한번에 복습 미국식 실전영어 총정리 15탄</t>
        </is>
      </c>
      <c r="E18" s="3" t="inlineStr">
        <is>
          <t>50개</t>
        </is>
      </c>
      <c r="F18" s="3" t="inlineStr">
        <is>
          <t>#701 ~ #750</t>
        </is>
      </c>
      <c r="G18" s="5">
        <f>HYPERLINK("https://www.youtube.com/watch?v=cMaG7n_69r4", "YouTube 영상 ▶")</f>
        <v/>
      </c>
    </row>
    <row r="19" ht="24" customHeight="1">
      <c r="A19" s="6" t="n">
        <v>18</v>
      </c>
      <c r="B19" s="7" t="inlineStr">
        <is>
          <t>정규 총정리</t>
        </is>
      </c>
      <c r="C19" s="7" t="inlineStr">
        <is>
          <t>총정리 16탄</t>
        </is>
      </c>
      <c r="D19" s="8" t="inlineStr">
        <is>
          <t>출퇴근 시간을 productive하게 만들어 줄 총정리 16탄 (미국식 실전영어)</t>
        </is>
      </c>
      <c r="E19" s="7" t="inlineStr">
        <is>
          <t>50개</t>
        </is>
      </c>
      <c r="F19" s="7" t="inlineStr">
        <is>
          <t>#751 ~ #800</t>
        </is>
      </c>
      <c r="G19" s="9">
        <f>HYPERLINK("https://www.youtube.com/watch?v=z3kOpCtpj_g", "YouTube 영상 ▶")</f>
        <v/>
      </c>
    </row>
    <row r="20" ht="24" customHeight="1">
      <c r="A20" s="2" t="n">
        <v>19</v>
      </c>
      <c r="B20" s="3" t="inlineStr">
        <is>
          <t>정규 총정리</t>
        </is>
      </c>
      <c r="C20" s="3" t="inlineStr">
        <is>
          <t>총정리 17탄</t>
        </is>
      </c>
      <c r="D20" s="4" t="inlineStr">
        <is>
          <t>출퇴근 시간을 productive하게 만들어 줄 총정리 17탄 (미국식 실전영어)</t>
        </is>
      </c>
      <c r="E20" s="3" t="inlineStr">
        <is>
          <t>50개</t>
        </is>
      </c>
      <c r="F20" s="3" t="inlineStr">
        <is>
          <t>#801 ~ #850</t>
        </is>
      </c>
      <c r="G20" s="5">
        <f>HYPERLINK("https://www.youtube.com/watch?v=PXK2iOIjICI", "YouTube 영상 ▶")</f>
        <v/>
      </c>
    </row>
    <row r="21" ht="24" customHeight="1">
      <c r="A21" s="6" t="n">
        <v>20</v>
      </c>
      <c r="B21" s="7" t="inlineStr">
        <is>
          <t>정규 총정리</t>
        </is>
      </c>
      <c r="C21" s="7" t="inlineStr">
        <is>
          <t>총정리 18탄</t>
        </is>
      </c>
      <c r="D21" s="8" t="inlineStr">
        <is>
          <t>오늘 하루를 productive하게 만들어 줄 총정리 18탄 (진짜 쓰는 영어)</t>
        </is>
      </c>
      <c r="E21" s="7" t="inlineStr">
        <is>
          <t>50개</t>
        </is>
      </c>
      <c r="F21" s="7" t="inlineStr">
        <is>
          <t>#851 ~ #900</t>
        </is>
      </c>
      <c r="G21" s="9">
        <f>HYPERLINK("https://www.youtube.com/watch?v=twFCjBMtIXA", "YouTube 영상 ▶")</f>
        <v/>
      </c>
    </row>
    <row r="22" ht="24" customHeight="1">
      <c r="A22" s="2" t="n">
        <v>21</v>
      </c>
      <c r="B22" s="3" t="inlineStr">
        <is>
          <t>정규 총정리</t>
        </is>
      </c>
      <c r="C22" s="3" t="inlineStr">
        <is>
          <t>총정리 19탄</t>
        </is>
      </c>
      <c r="D22" s="4" t="inlineStr">
        <is>
          <t>출퇴근길을 productive하게 만들어 줄 총정리 19탄 (미국식 실전영어)</t>
        </is>
      </c>
      <c r="E22" s="3" t="inlineStr">
        <is>
          <t>50개</t>
        </is>
      </c>
      <c r="F22" s="3" t="inlineStr">
        <is>
          <t>#901 ~ #950</t>
        </is>
      </c>
      <c r="G22" s="5">
        <f>HYPERLINK("https://www.youtube.com/watch?v=xebpJhFWOaA", "YouTube 영상 ▶")</f>
        <v/>
      </c>
    </row>
    <row r="23" ht="24" customHeight="1">
      <c r="A23" s="6" t="n">
        <v>22</v>
      </c>
      <c r="B23" s="7" t="inlineStr">
        <is>
          <t>정규 총정리 (1,000개 달성)</t>
        </is>
      </c>
      <c r="C23" s="7" t="inlineStr">
        <is>
          <t>총정리 20탄</t>
        </is>
      </c>
      <c r="D23" s="8" t="inlineStr">
        <is>
          <t>1000개 완성! 출퇴근길을 productive하게 만들어 줄 총정리 20탄</t>
        </is>
      </c>
      <c r="E23" s="7" t="inlineStr">
        <is>
          <t>50개</t>
        </is>
      </c>
      <c r="F23" s="7" t="inlineStr">
        <is>
          <t>#951 ~ #1000</t>
        </is>
      </c>
      <c r="G23" s="9">
        <f>HYPERLINK("https://www.youtube.com/watch?v=yPBRoGqCefg", "YouTube 영상 ▶")</f>
        <v/>
      </c>
    </row>
    <row r="24" ht="24" customHeight="1">
      <c r="A24" s="2" t="n">
        <v>23</v>
      </c>
      <c r="B24" s="3" t="inlineStr">
        <is>
          <t>시즌 2</t>
        </is>
      </c>
      <c r="C24" s="3" t="inlineStr">
        <is>
          <t>총정리 21탄</t>
        </is>
      </c>
      <c r="D24" s="4" t="inlineStr">
        <is>
          <t>총정리 영상 시즌 2! 오늘 하루를 productive하게 만들어 줄 미국식 실전영어 50개 (21탄)</t>
        </is>
      </c>
      <c r="E24" s="3" t="inlineStr">
        <is>
          <t>50개</t>
        </is>
      </c>
      <c r="F24" s="3" t="inlineStr">
        <is>
          <t>#1001 ~ #1050</t>
        </is>
      </c>
      <c r="G24" s="5">
        <f>HYPERLINK("https://www.youtube.com/watch?v=pc6UmwZD-KU", "YouTube 영상 ▶")</f>
        <v/>
      </c>
    </row>
    <row r="25" ht="24" customHeight="1">
      <c r="A25" s="6" t="n">
        <v>24</v>
      </c>
      <c r="B25" s="7" t="inlineStr">
        <is>
          <t>시즌 2</t>
        </is>
      </c>
      <c r="C25" s="7" t="inlineStr">
        <is>
          <t>총정리 22탄</t>
        </is>
      </c>
      <c r="D25" s="8" t="inlineStr">
        <is>
          <t>우리 같이 복습해요 핵심 표현만 한번에 리뷰하기! (총정리 22탄)</t>
        </is>
      </c>
      <c r="E25" s="7" t="inlineStr">
        <is>
          <t>50개</t>
        </is>
      </c>
      <c r="F25" s="7" t="inlineStr">
        <is>
          <t>#1051 ~ #1100</t>
        </is>
      </c>
      <c r="G25" s="9">
        <f>HYPERLINK("https://www.youtube.com/watch?v=tFSgEVuc0fs", "YouTube 영상 ▶")</f>
        <v/>
      </c>
    </row>
    <row r="26" ht="24" customHeight="1">
      <c r="A26" s="2" t="n">
        <v>25</v>
      </c>
      <c r="B26" s="3" t="inlineStr">
        <is>
          <t>시즌 2</t>
        </is>
      </c>
      <c r="C26" s="3" t="inlineStr">
        <is>
          <t>총정리 23탄</t>
        </is>
      </c>
      <c r="D26" s="4" t="inlineStr">
        <is>
          <t>오늘 하루를 productive하게 만들어 줄 실전영어 표현 50개 (총정리 23탄)</t>
        </is>
      </c>
      <c r="E26" s="3" t="inlineStr">
        <is>
          <t>50개</t>
        </is>
      </c>
      <c r="F26" s="3" t="inlineStr">
        <is>
          <t>#1101 ~ #1150</t>
        </is>
      </c>
      <c r="G26" s="5">
        <f>HYPERLINK("https://www.youtube.com/watch?v=0dtzgvFN2LI", "YouTube 영상 ▶")</f>
        <v/>
      </c>
    </row>
    <row r="27" ht="24" customHeight="1">
      <c r="A27" s="6" t="n">
        <v>26</v>
      </c>
      <c r="B27" s="7" t="inlineStr">
        <is>
          <t>시즌 2</t>
        </is>
      </c>
      <c r="C27" s="7" t="inlineStr">
        <is>
          <t>총정리 24탄</t>
        </is>
      </c>
      <c r="D27" s="8" t="inlineStr">
        <is>
          <t>우리 같이 복습해요 미국식 실전영어 표현 50개 (총정리 24탄)</t>
        </is>
      </c>
      <c r="E27" s="7" t="inlineStr">
        <is>
          <t>50개</t>
        </is>
      </c>
      <c r="F27" s="7" t="inlineStr">
        <is>
          <t>#1151 ~ #1200</t>
        </is>
      </c>
      <c r="G27" s="9">
        <f>HYPERLINK("https://www.youtube.com/watch?v=oVbnvHWjsII", "YouTube 영상 ▶")</f>
        <v/>
      </c>
    </row>
    <row r="28" ht="24" customHeight="1">
      <c r="A28" s="2" t="n">
        <v>27</v>
      </c>
      <c r="B28" s="3" t="inlineStr">
        <is>
          <t>시즌 2</t>
        </is>
      </c>
      <c r="C28" s="3" t="inlineStr">
        <is>
          <t>총정리 25탄</t>
        </is>
      </c>
      <c r="D28" s="4" t="inlineStr">
        <is>
          <t>핵심 표현만 한 번에 리뷰 우리 같이 복습해요 (구슬쌤 총정리 영상 25탄)</t>
        </is>
      </c>
      <c r="E28" s="3" t="inlineStr">
        <is>
          <t>50개</t>
        </is>
      </c>
      <c r="F28" s="3" t="inlineStr">
        <is>
          <t>#1201 ~ #1250</t>
        </is>
      </c>
      <c r="G28" s="5">
        <f>HYPERLINK("https://www.youtube.com/watch?v=RuhL0VkISDM", "YouTube 영상 ▶")</f>
        <v/>
      </c>
    </row>
    <row r="29" ht="24" customHeight="1">
      <c r="A29" s="6" t="n">
        <v>28</v>
      </c>
      <c r="B29" s="7" t="inlineStr">
        <is>
          <t>시즌 2</t>
        </is>
      </c>
      <c r="C29" s="7" t="inlineStr">
        <is>
          <t>총정리 26탄</t>
        </is>
      </c>
      <c r="D29" s="8" t="inlineStr">
        <is>
          <t>미국인이 입에 달고 사는 실전 표현 모음 50개 (구슬쌤 총정리 영상 26탄)</t>
        </is>
      </c>
      <c r="E29" s="7" t="inlineStr">
        <is>
          <t>50개</t>
        </is>
      </c>
      <c r="F29" s="7" t="inlineStr">
        <is>
          <t>#1251 ~ #1300</t>
        </is>
      </c>
      <c r="G29" s="9">
        <f>HYPERLINK("https://www.youtube.com/watch?v=GRXUIzkV_HA", "YouTube 영상 ▶")</f>
        <v/>
      </c>
    </row>
    <row r="30" ht="24" customHeight="1">
      <c r="A30" s="2" t="n">
        <v>29</v>
      </c>
      <c r="B30" s="3" t="inlineStr">
        <is>
          <t>시즌 2</t>
        </is>
      </c>
      <c r="C30" s="3" t="inlineStr">
        <is>
          <t>총정리 27탄</t>
        </is>
      </c>
      <c r="D30" s="4" t="inlineStr">
        <is>
          <t>오늘 하루를 productive하게 만들어 줄 실전영어 표현 50개 (총정리 27탄)</t>
        </is>
      </c>
      <c r="E30" s="3" t="inlineStr">
        <is>
          <t>50개</t>
        </is>
      </c>
      <c r="F30" s="3" t="inlineStr">
        <is>
          <t>#1301 ~ #1350</t>
        </is>
      </c>
      <c r="G30" s="5">
        <f>HYPERLINK("https://www.youtube.com/watch?v=FpHJaIjKUdE", "YouTube 영상 ▶")</f>
        <v/>
      </c>
    </row>
    <row r="31" ht="24" customHeight="1">
      <c r="A31" s="6" t="n">
        <v>30</v>
      </c>
      <c r="B31" s="7" t="inlineStr">
        <is>
          <t>시즌 2</t>
        </is>
      </c>
      <c r="C31" s="7" t="inlineStr">
        <is>
          <t>총정리 28탄</t>
        </is>
      </c>
      <c r="D31" s="8" t="inlineStr">
        <is>
          <t>미국인이 진짜 입에 달고 사는 실전영어 표현 50개 (총정리 28탄)</t>
        </is>
      </c>
      <c r="E31" s="7" t="inlineStr">
        <is>
          <t>50개</t>
        </is>
      </c>
      <c r="F31" s="7" t="inlineStr">
        <is>
          <t>#1351 ~ #1400</t>
        </is>
      </c>
      <c r="G31" s="9">
        <f>HYPERLINK("https://www.youtube.com/watch?v=20-dlZsgpFk", "YouTube 영상 ▶")</f>
        <v/>
      </c>
    </row>
    <row r="32" ht="24" customHeight="1">
      <c r="A32" s="2" t="n">
        <v>31</v>
      </c>
      <c r="B32" s="3" t="inlineStr">
        <is>
          <t>시즌 2</t>
        </is>
      </c>
      <c r="C32" s="3" t="inlineStr">
        <is>
          <t>총정리 29탄</t>
        </is>
      </c>
      <c r="D32" s="4" t="inlineStr">
        <is>
          <t>미국인이 입에 달고 사는 실전 표현 모음 50개 (구슬쌤 총정리 영상 29탄)</t>
        </is>
      </c>
      <c r="E32" s="3" t="inlineStr">
        <is>
          <t>50개</t>
        </is>
      </c>
      <c r="F32" s="3" t="inlineStr">
        <is>
          <t>#1401 ~ #1450</t>
        </is>
      </c>
      <c r="G32" s="5">
        <f>HYPERLINK("https://www.youtube.com/watch?v=bgRoMP9BajE", "YouTube 영상 ▶")</f>
        <v/>
      </c>
    </row>
    <row r="33" ht="24" customHeight="1">
      <c r="A33" s="6" t="n">
        <v>32</v>
      </c>
      <c r="B33" s="7" t="inlineStr">
        <is>
          <t>시즌 2 (1,500개 달성)</t>
        </is>
      </c>
      <c r="C33" s="7" t="inlineStr">
        <is>
          <t>총정리 30탄</t>
        </is>
      </c>
      <c r="D33" s="8" t="inlineStr">
        <is>
          <t>올 해를 Finish strong하게 해줄 미국식 실전 영어 표현 50개 (구슬쌤 총정리 30탄)</t>
        </is>
      </c>
      <c r="E33" s="7" t="inlineStr">
        <is>
          <t>50개</t>
        </is>
      </c>
      <c r="F33" s="7" t="inlineStr">
        <is>
          <t>#1451 ~ #1500</t>
        </is>
      </c>
      <c r="G33" s="9">
        <f>HYPERLINK("https://www.youtube.com/watch?v=twE9gYRcQbU", "YouTube 영상 ▶")</f>
        <v/>
      </c>
    </row>
    <row r="34" ht="24" customHeight="1">
      <c r="A34" s="2" t="n">
        <v>33</v>
      </c>
      <c r="B34" s="3" t="inlineStr">
        <is>
          <t>스페셜 테마</t>
        </is>
      </c>
      <c r="C34" s="3" t="inlineStr">
        <is>
          <t>스페셜 20선</t>
        </is>
      </c>
      <c r="D34" s="4" t="inlineStr">
        <is>
          <t>네이티브와 기분 좋은 대화를 만들어주는 센스 있는 영어 표현 20개</t>
        </is>
      </c>
      <c r="E34" s="3" t="inlineStr">
        <is>
          <t>20개</t>
        </is>
      </c>
      <c r="F34" s="3" t="inlineStr">
        <is>
          <t>대화 센스 20선</t>
        </is>
      </c>
      <c r="G34" s="5">
        <f>HYPERLINK("https://www.youtube.com/watch?v=m77Sbt6TC2o", "YouTube 영상 ▶")</f>
        <v/>
      </c>
    </row>
    <row r="35" ht="24" customHeight="1">
      <c r="A35" s="6" t="n">
        <v>34</v>
      </c>
      <c r="B35" s="7" t="inlineStr">
        <is>
          <t>시즌 2</t>
        </is>
      </c>
      <c r="C35" s="7" t="inlineStr">
        <is>
          <t>총정리 31탄</t>
        </is>
      </c>
      <c r="D35" s="8" t="inlineStr">
        <is>
          <t>우리 같이 리뷰해요! 미국인들이 입에 달고 사는 실전 영어 표현 50개 (구슬쌤 총정리 31탄)</t>
        </is>
      </c>
      <c r="E35" s="7" t="inlineStr">
        <is>
          <t>50개</t>
        </is>
      </c>
      <c r="F35" s="7" t="inlineStr">
        <is>
          <t>#1501 ~ #1550</t>
        </is>
      </c>
      <c r="G35" s="9">
        <f>HYPERLINK("https://www.youtube.com/watch?v=4zErlgs6oqI", "YouTube 영상 ▶")</f>
        <v/>
      </c>
    </row>
    <row r="36" ht="24" customHeight="1">
      <c r="A36" s="2" t="n">
        <v>35</v>
      </c>
      <c r="B36" s="3" t="inlineStr">
        <is>
          <t>시즌 2</t>
        </is>
      </c>
      <c r="C36" s="3" t="inlineStr">
        <is>
          <t>총정리 32탄</t>
        </is>
      </c>
      <c r="D36" s="4" t="inlineStr">
        <is>
          <t>핵심 표현만 한 번에 리뷰 우리 같이 복습해요 (구슬쌤 총정리 영상 32탄)</t>
        </is>
      </c>
      <c r="E36" s="3" t="inlineStr">
        <is>
          <t>50개</t>
        </is>
      </c>
      <c r="F36" s="3" t="inlineStr">
        <is>
          <t>#1551 ~ #1600</t>
        </is>
      </c>
      <c r="G36" s="5">
        <f>HYPERLINK("https://www.youtube.com/watch?v=U7lavOJxf_I", "YouTube 영상 ▶")</f>
        <v/>
      </c>
    </row>
    <row r="37" ht="24" customHeight="1">
      <c r="A37" s="6" t="n">
        <v>36</v>
      </c>
      <c r="B37" s="7" t="inlineStr">
        <is>
          <t>시즌 2</t>
        </is>
      </c>
      <c r="C37" s="7" t="inlineStr">
        <is>
          <t>총정리 33탄</t>
        </is>
      </c>
      <c r="D37" s="8" t="inlineStr">
        <is>
          <t>미국인이 매일쓰는 실전영어 표현 50개 우리 같이 복습해요 (구슬쌤 총정리 영상 33탄)</t>
        </is>
      </c>
      <c r="E37" s="7" t="inlineStr">
        <is>
          <t>50개</t>
        </is>
      </c>
      <c r="F37" s="7" t="inlineStr">
        <is>
          <t>#1601 ~ #1650</t>
        </is>
      </c>
      <c r="G37" s="9">
        <f>HYPERLINK("https://www.youtube.com/watch?v=QvQUucVgmWc", "YouTube 영상 ▶")</f>
        <v/>
      </c>
    </row>
    <row r="38" ht="24" customHeight="1">
      <c r="A38" s="2" t="n">
        <v>37</v>
      </c>
      <c r="B38" s="3" t="inlineStr">
        <is>
          <t>시즌 2</t>
        </is>
      </c>
      <c r="C38" s="3" t="inlineStr">
        <is>
          <t>총정리 34탄</t>
        </is>
      </c>
      <c r="D38" s="4" t="inlineStr">
        <is>
          <t>미국인이 매일쓰는 실전영어 표현 50개 우리 같이 복습해요 (구슬쌤 총정리 영상 34탄)</t>
        </is>
      </c>
      <c r="E38" s="3" t="inlineStr">
        <is>
          <t>50개</t>
        </is>
      </c>
      <c r="F38" s="3" t="inlineStr">
        <is>
          <t>#1651 ~ #1700</t>
        </is>
      </c>
      <c r="G38" s="5">
        <f>HYPERLINK("https://www.youtube.com/watch?v=5NOqOeZdtfQ", "YouTube 영상 ▶")</f>
        <v/>
      </c>
    </row>
    <row r="39" ht="24" customHeight="1">
      <c r="A39" s="6" t="n">
        <v>38</v>
      </c>
      <c r="B39" s="7" t="inlineStr">
        <is>
          <t>시즌 2</t>
        </is>
      </c>
      <c r="C39" s="7" t="inlineStr">
        <is>
          <t>총정리 35탄</t>
        </is>
      </c>
      <c r="D39" s="8" t="inlineStr">
        <is>
          <t>미국인이 가장 많이 쓰는 실전 표현 50개! (총정리 35탄으로 같이 리뷰해요)</t>
        </is>
      </c>
      <c r="E39" s="7" t="inlineStr">
        <is>
          <t>50개</t>
        </is>
      </c>
      <c r="F39" s="7" t="inlineStr">
        <is>
          <t>#1701 ~ #1750</t>
        </is>
      </c>
      <c r="G39" s="9">
        <f>HYPERLINK("https://www.youtube.com/watch?v=p75ZLLE9ZIw", "YouTube 영상 ▶")</f>
        <v/>
      </c>
    </row>
    <row r="40" ht="24" customHeight="1">
      <c r="A40" s="2" t="n">
        <v>39</v>
      </c>
      <c r="B40" s="3" t="inlineStr">
        <is>
          <t>시즌 2</t>
        </is>
      </c>
      <c r="C40" s="3" t="inlineStr">
        <is>
          <t>총정리 36탄</t>
        </is>
      </c>
      <c r="D40" s="4" t="inlineStr">
        <is>
          <t>미국인이 평소 가장 많이 쓰는 실전 표현 50개! (총정리 36탄으로 우리 같이 리뷰해요)</t>
        </is>
      </c>
      <c r="E40" s="3" t="inlineStr">
        <is>
          <t>50개</t>
        </is>
      </c>
      <c r="F40" s="3" t="inlineStr">
        <is>
          <t>#1751 ~ #1800</t>
        </is>
      </c>
      <c r="G40" s="5">
        <f>HYPERLINK("https://www.youtube.com/watch?v=W8lGwgfRFsQ", "YouTube 영상 ▶")</f>
        <v/>
      </c>
    </row>
    <row r="41" ht="24" customHeight="1">
      <c r="A41" s="6" t="n">
        <v>40</v>
      </c>
      <c r="B41" s="7" t="inlineStr">
        <is>
          <t>시즌 2</t>
        </is>
      </c>
      <c r="C41" s="7" t="inlineStr">
        <is>
          <t>총정리 37탄</t>
        </is>
      </c>
      <c r="D41" s="8" t="inlineStr">
        <is>
          <t>원어민 느낌 팍팍 나는 영어 표현 50개 총정리 37탄!</t>
        </is>
      </c>
      <c r="E41" s="7" t="inlineStr">
        <is>
          <t>50개</t>
        </is>
      </c>
      <c r="F41" s="7" t="inlineStr">
        <is>
          <t>#1801 ~ #1850</t>
        </is>
      </c>
      <c r="G41" s="9">
        <f>HYPERLINK("https://www.youtube.com/watch?v=ExysckpNP9I", "YouTube 영상 ▶")</f>
        <v/>
      </c>
    </row>
    <row r="42" ht="24" customHeight="1">
      <c r="A42" s="2" t="n">
        <v>41</v>
      </c>
      <c r="B42" s="3" t="inlineStr">
        <is>
          <t>시즌 2</t>
        </is>
      </c>
      <c r="C42" s="3" t="inlineStr">
        <is>
          <t>총정리 38탄</t>
        </is>
      </c>
      <c r="D42" s="4" t="inlineStr">
        <is>
          <t>미국인이 평소 가장 많이 쓰는 실전 표현 50개! (총정리 38탄으로 우리 같이 리뷰해요)</t>
        </is>
      </c>
      <c r="E42" s="3" t="inlineStr">
        <is>
          <t>50개</t>
        </is>
      </c>
      <c r="F42" s="3" t="inlineStr">
        <is>
          <t>#1851 ~ #1900</t>
        </is>
      </c>
      <c r="G42" s="5">
        <f>HYPERLINK("https://www.youtube.com/watch?v=WM60HyfMDss", "YouTube 영상 ▶")</f>
        <v/>
      </c>
    </row>
    <row r="43" ht="24" customHeight="1">
      <c r="A43" s="6" t="n">
        <v>42</v>
      </c>
      <c r="B43" s="7" t="inlineStr">
        <is>
          <t>시즌 2</t>
        </is>
      </c>
      <c r="C43" s="7" t="inlineStr">
        <is>
          <t>총정리 39탄</t>
        </is>
      </c>
      <c r="D43" s="8" t="inlineStr">
        <is>
          <t>원어민 느낌 팍팍 나는 영어 표현 50개 총정리 39탄!</t>
        </is>
      </c>
      <c r="E43" s="7" t="inlineStr">
        <is>
          <t>50개</t>
        </is>
      </c>
      <c r="F43" s="7" t="inlineStr">
        <is>
          <t>#1901 ~ #1950</t>
        </is>
      </c>
      <c r="G43" s="9">
        <f>HYPERLINK("https://www.youtube.com/watch?v=3BnJMcgFObE", "YouTube 영상 ▶")</f>
        <v/>
      </c>
    </row>
    <row r="44" ht="24" customHeight="1">
      <c r="A44" s="2" t="n">
        <v>43</v>
      </c>
      <c r="B44" s="3" t="inlineStr">
        <is>
          <t>시즌 2 (2,000개 달성)</t>
        </is>
      </c>
      <c r="C44" s="3" t="inlineStr">
        <is>
          <t>총정리 40탄</t>
        </is>
      </c>
      <c r="D44" s="4" t="inlineStr">
        <is>
          <t>핵심 표현만 한 번에 모아 놓은 총정리 40탄! 우리 같이 리뷰해요</t>
        </is>
      </c>
      <c r="E44" s="3" t="inlineStr">
        <is>
          <t>50개</t>
        </is>
      </c>
      <c r="F44" s="3" t="inlineStr">
        <is>
          <t>#1951 ~ #2000</t>
        </is>
      </c>
      <c r="G44" s="5">
        <f>HYPERLINK("https://www.youtube.com/watch?v=PsBVUFrTv8Y", "YouTube 영상 ▶")</f>
        <v/>
      </c>
    </row>
    <row r="45" ht="24" customHeight="1">
      <c r="A45" s="6" t="n">
        <v>44</v>
      </c>
      <c r="B45" s="7" t="inlineStr">
        <is>
          <t>시즌 3</t>
        </is>
      </c>
      <c r="C45" s="7" t="inlineStr">
        <is>
          <t>총정리 41탄</t>
        </is>
      </c>
      <c r="D45" s="8" t="inlineStr">
        <is>
          <t>출퇴근 길, 시간날 때 듣다보면 외워져요 미국인이 매일 쓰는 실전 표현 50개 (총정리 41탄)</t>
        </is>
      </c>
      <c r="E45" s="7" t="inlineStr">
        <is>
          <t>50개</t>
        </is>
      </c>
      <c r="F45" s="7" t="inlineStr">
        <is>
          <t>#2001 ~ #2050</t>
        </is>
      </c>
      <c r="G45" s="9">
        <f>HYPERLINK("https://www.youtube.com/watch?v=ZLgM3yMlrCQ", "YouTube 영상 ▶")</f>
        <v/>
      </c>
    </row>
    <row r="46" ht="24" customHeight="1">
      <c r="A46" s="2" t="n">
        <v>45</v>
      </c>
      <c r="B46" s="3" t="inlineStr">
        <is>
          <t>시즌 3</t>
        </is>
      </c>
      <c r="C46" s="3" t="inlineStr">
        <is>
          <t>총정리 42탄</t>
        </is>
      </c>
      <c r="D46" s="4" t="inlineStr">
        <is>
          <t>출퇴근 길, 시간날 때 듣다보면 진짜 외워져요 미국인이 매일 쓰는 실전 표현 50개 (총정리 42탄)</t>
        </is>
      </c>
      <c r="E46" s="3" t="inlineStr">
        <is>
          <t>50개</t>
        </is>
      </c>
      <c r="F46" s="3" t="inlineStr">
        <is>
          <t>#2051 ~ #2100</t>
        </is>
      </c>
      <c r="G46" s="5">
        <f>HYPERLINK("https://www.youtube.com/watch?v=EJGdAlhCjj0", "YouTube 영상 ▶")</f>
        <v/>
      </c>
    </row>
    <row r="47" ht="24" customHeight="1">
      <c r="A47" s="6" t="n">
        <v>46</v>
      </c>
      <c r="B47" s="7" t="inlineStr">
        <is>
          <t>시즌 3</t>
        </is>
      </c>
      <c r="C47" s="7" t="inlineStr">
        <is>
          <t>총정리 44탄</t>
        </is>
      </c>
      <c r="D47" s="8" t="inlineStr">
        <is>
          <t>올 해 영어공부는 이걸로 끝내세요 (총정리 44탄)</t>
        </is>
      </c>
      <c r="E47" s="7" t="inlineStr">
        <is>
          <t>50개</t>
        </is>
      </c>
      <c r="F47" s="7" t="inlineStr">
        <is>
          <t>#2101 ~ #2150</t>
        </is>
      </c>
      <c r="G47" s="9">
        <f>HYPERLINK("https://www.youtube.com/watch?v=DmMDvtKYf6U", "YouTube 영상 ▶")</f>
        <v/>
      </c>
    </row>
    <row r="48" ht="24" customHeight="1">
      <c r="A48" s="2" t="n">
        <v>47</v>
      </c>
      <c r="B48" s="3" t="inlineStr">
        <is>
          <t>시즌 3</t>
        </is>
      </c>
      <c r="C48" s="3" t="inlineStr">
        <is>
          <t>총정리 45탄</t>
        </is>
      </c>
      <c r="D48" s="4" t="inlineStr">
        <is>
          <t>영어 공부, 다시 불붙이기 올 해 첫 총정리 (45탄)</t>
        </is>
      </c>
      <c r="E48" s="3" t="inlineStr">
        <is>
          <t>50개</t>
        </is>
      </c>
      <c r="F48" s="3" t="inlineStr">
        <is>
          <t>#2151 ~ #2200</t>
        </is>
      </c>
      <c r="G48" s="5">
        <f>HYPERLINK("https://www.youtube.com/watch?v=LephPM8Odhs", "YouTube 영상 ▶")</f>
        <v/>
      </c>
    </row>
    <row r="49" ht="24" customHeight="1">
      <c r="A49" s="6" t="n">
        <v>48</v>
      </c>
      <c r="B49" s="7" t="inlineStr">
        <is>
          <t>시즌 3</t>
        </is>
      </c>
      <c r="C49" s="7" t="inlineStr">
        <is>
          <t>총정리 43탄</t>
        </is>
      </c>
      <c r="D49" s="8" t="inlineStr">
        <is>
          <t>원어민이 매일 쓰는 실전 표현 50개! 듣다보면 외워져요 (총정리 43탄)</t>
        </is>
      </c>
      <c r="E49" s="7" t="inlineStr">
        <is>
          <t>50개</t>
        </is>
      </c>
      <c r="F49" s="7" t="inlineStr">
        <is>
          <t>#2201 ~ #2250</t>
        </is>
      </c>
      <c r="G49" s="9">
        <f>HYPERLINK("https://www.youtube.com/watch?v=RT0XpmQr7WU", "YouTube 영상 ▶")</f>
        <v/>
      </c>
    </row>
    <row r="50" ht="24" customHeight="1">
      <c r="A50" s="2" t="n">
        <v>49</v>
      </c>
      <c r="B50" s="3" t="inlineStr">
        <is>
          <t>시즌 3</t>
        </is>
      </c>
      <c r="C50" s="3" t="inlineStr">
        <is>
          <t>총정리 46탄</t>
        </is>
      </c>
      <c r="D50" s="4" t="inlineStr">
        <is>
          <t>출퇴근 길, 시간날 때 듣다보면 진짜 외워져요 미국인이 매일 쓰는 실전 표현 50개 (총정리 46탄)</t>
        </is>
      </c>
      <c r="E50" s="3" t="inlineStr">
        <is>
          <t>50개</t>
        </is>
      </c>
      <c r="F50" s="3" t="inlineStr">
        <is>
          <t>#2251 ~ #2300</t>
        </is>
      </c>
      <c r="G50" s="5">
        <f>HYPERLINK("https://www.youtube.com/watch?v=89lCIeVEJZY", "YouTube 영상 ▶")</f>
        <v/>
      </c>
    </row>
    <row r="51" ht="24" customHeight="1">
      <c r="A51" s="6" t="n">
        <v>50</v>
      </c>
      <c r="B51" s="7" t="inlineStr">
        <is>
          <t>시즌 3</t>
        </is>
      </c>
      <c r="C51" s="7" t="inlineStr">
        <is>
          <t>총정리 47탄</t>
        </is>
      </c>
      <c r="D51" s="8" t="inlineStr">
        <is>
          <t>긴 연휴, 듣다보면 진짜 외워져요 원어민이 진짜 쓰는 표현 50개! (총정리 47탄)</t>
        </is>
      </c>
      <c r="E51" s="7" t="inlineStr">
        <is>
          <t>50개</t>
        </is>
      </c>
      <c r="F51" s="7" t="inlineStr">
        <is>
          <t>#2301 ~ #2350</t>
        </is>
      </c>
      <c r="G51" s="9">
        <f>HYPERLINK("https://www.youtube.com/watch?v=0v7FzPh99QY", "YouTube 영상 ▶")</f>
        <v/>
      </c>
    </row>
    <row r="52" ht="24" customHeight="1">
      <c r="A52" s="2" t="n">
        <v>51</v>
      </c>
      <c r="B52" s="3" t="inlineStr">
        <is>
          <t>시즌 3</t>
        </is>
      </c>
      <c r="C52" s="3" t="inlineStr">
        <is>
          <t>총정리 48탄</t>
        </is>
      </c>
      <c r="D52" s="4" t="inlineStr">
        <is>
          <t>상반기 결산 원어민이 매일 쓰는 영어 50개! (총정리 48탄)</t>
        </is>
      </c>
      <c r="E52" s="3" t="inlineStr">
        <is>
          <t>50개</t>
        </is>
      </c>
      <c r="F52" s="3" t="inlineStr">
        <is>
          <t>#2351 ~ #2400</t>
        </is>
      </c>
      <c r="G52" s="5">
        <f>HYPERLINK("https://www.youtube.com/watch?v=ju8QXhDzKms", "YouTube 영상 ▶")</f>
        <v/>
      </c>
    </row>
    <row r="53" ht="24" customHeight="1">
      <c r="A53" s="6" t="n">
        <v>52</v>
      </c>
      <c r="B53" s="7" t="inlineStr">
        <is>
          <t>시즌 3</t>
        </is>
      </c>
      <c r="C53" s="7" t="inlineStr">
        <is>
          <t>총정리 49탄</t>
        </is>
      </c>
      <c r="D53" s="8" t="inlineStr">
        <is>
          <t>연휴에 딱 이것만 들으세요 평생 써먹는 영어 50개 [총정리 49탄]</t>
        </is>
      </c>
      <c r="E53" s="7" t="inlineStr">
        <is>
          <t>50개</t>
        </is>
      </c>
      <c r="F53" s="7" t="inlineStr">
        <is>
          <t>#2401 ~ #2450</t>
        </is>
      </c>
      <c r="G53" s="9">
        <f>HYPERLINK("https://www.youtube.com/watch?v=CuzNMPzAnpo", "YouTube 영상 ▶")</f>
        <v/>
      </c>
    </row>
    <row r="54" ht="24" customHeight="1">
      <c r="A54" s="2" t="n">
        <v>53</v>
      </c>
      <c r="B54" s="3" t="inlineStr">
        <is>
          <t>스페셜 테마</t>
        </is>
      </c>
      <c r="C54" s="3" t="inlineStr">
        <is>
          <t>전화영어 특강</t>
        </is>
      </c>
      <c r="D54" s="4" t="inlineStr">
        <is>
          <t>전화영어 이것만 외우세요! 가장 많이 쓰는 표현 45개</t>
        </is>
      </c>
      <c r="E54" s="3" t="inlineStr">
        <is>
          <t>45개</t>
        </is>
      </c>
      <c r="F54" s="3" t="inlineStr">
        <is>
          <t>전화영어 45선</t>
        </is>
      </c>
      <c r="G54" s="5">
        <f>HYPERLINK("https://www.youtube.com/watch?v=BqQecvVoMLc", "YouTube 영상 ▶")</f>
        <v/>
      </c>
    </row>
    <row r="55" ht="24" customHeight="1">
      <c r="A55" s="6" t="n">
        <v>54</v>
      </c>
      <c r="B55" s="7" t="inlineStr">
        <is>
          <t>시즌 3 (2,500개 달성)</t>
        </is>
      </c>
      <c r="C55" s="7" t="inlineStr">
        <is>
          <t>총정리 50탄</t>
        </is>
      </c>
      <c r="D55" s="8" t="inlineStr">
        <is>
          <t>출퇴근길 듣다보면 외워져요 원어민이 입에 달고사는 실전 영어 표현 50개! (총정리 50탄)</t>
        </is>
      </c>
      <c r="E55" s="7" t="inlineStr">
        <is>
          <t>50개</t>
        </is>
      </c>
      <c r="F55" s="7" t="inlineStr">
        <is>
          <t>#2451 ~ #2500</t>
        </is>
      </c>
      <c r="G55" s="9">
        <f>HYPERLINK("https://www.youtube.com/watch?v=QMDTwfwdN1Q", "YouTube 영상 ▶")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6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.5" customWidth="1" min="2" max="2"/>
    <col width="17.9" customWidth="1" min="3" max="3"/>
    <col width="38" customWidth="1" min="4" max="4"/>
    <col width="48" customWidth="1" min="5" max="5"/>
    <col width="75" customWidth="1" min="6" max="6"/>
    <col width="75" customWidth="1" min="7" max="7"/>
    <col width="70" customWidth="1" min="8" max="8"/>
  </cols>
  <sheetData>
    <row r="1" ht="28" customHeight="1">
      <c r="A1" s="10" t="inlineStr">
        <is>
          <t>No</t>
        </is>
      </c>
      <c r="B1" s="10" t="inlineStr">
        <is>
          <t>시리즈 회차</t>
        </is>
      </c>
      <c r="C1" s="10" t="inlineStr">
        <is>
          <t>카테고리/상황</t>
        </is>
      </c>
      <c r="D1" s="10" t="inlineStr">
        <is>
          <t>실전 영어 표현</t>
        </is>
      </c>
      <c r="E1" s="10" t="inlineStr">
        <is>
          <t>뉘앙스 및 한국어 뜻</t>
        </is>
      </c>
      <c r="F1" s="10" t="inlineStr">
        <is>
          <t>실전 예문 (English)</t>
        </is>
      </c>
      <c r="G1" s="10" t="inlineStr">
        <is>
          <t>자연스러운 해석 (Korean)</t>
        </is>
      </c>
      <c r="H1" s="10" t="inlineStr">
        <is>
          <t>영상 링크</t>
        </is>
      </c>
    </row>
    <row r="2" ht="26" customHeight="1">
      <c r="A2" s="2" t="n">
        <v>1</v>
      </c>
      <c r="B2" s="3" t="inlineStr">
        <is>
          <t>총정리 1탄</t>
        </is>
      </c>
      <c r="C2" s="3" t="inlineStr">
        <is>
          <t>업무 조율</t>
        </is>
      </c>
      <c r="D2" s="4" t="inlineStr">
        <is>
          <t>come up with</t>
        </is>
      </c>
      <c r="E2" s="11" t="inlineStr">
        <is>
          <t>(돈, 해결책, 아이디어 등을) 생각해내다, 마련하다</t>
        </is>
      </c>
      <c r="F2" s="11" t="inlineStr">
        <is>
          <t>Can you come up with a solution?</t>
        </is>
      </c>
      <c r="G2" s="11" t="inlineStr">
        <is>
          <t>해결책 좀 생각해낼 수 있어?</t>
        </is>
      </c>
      <c r="H2" s="5">
        <f>HYPERLINK("https://www.youtube.com/watch?v=uKoTQ_r5KvM", "영상 보기 ▶")</f>
        <v/>
      </c>
    </row>
    <row r="3" ht="26" customHeight="1">
      <c r="A3" s="6" t="n">
        <v>2</v>
      </c>
      <c r="B3" s="7" t="inlineStr">
        <is>
          <t>총정리 1탄</t>
        </is>
      </c>
      <c r="C3" s="7" t="inlineStr">
        <is>
          <t>업무 조율</t>
        </is>
      </c>
      <c r="D3" s="8" t="inlineStr">
        <is>
          <t>put together</t>
        </is>
      </c>
      <c r="E3" s="12" t="inlineStr">
        <is>
          <t>(자료, 프레젠테이션, 부품 등을) 준비하다, 취합하다</t>
        </is>
      </c>
      <c r="F3" s="12" t="inlineStr">
        <is>
          <t>Could you put together a presentation for tomorrow?</t>
        </is>
      </c>
      <c r="G3" s="12" t="inlineStr">
        <is>
          <t>내일 프레젠테이션 좀 준비해 줄 수 있어?</t>
        </is>
      </c>
      <c r="H3" s="9">
        <f>HYPERLINK("https://www.youtube.com/watch?v=uKoTQ_r5KvM", "영상 보기 ▶")</f>
        <v/>
      </c>
    </row>
    <row r="4" ht="26" customHeight="1">
      <c r="A4" s="2" t="n">
        <v>3</v>
      </c>
      <c r="B4" s="3" t="inlineStr">
        <is>
          <t>총정리 1탄</t>
        </is>
      </c>
      <c r="C4" s="3" t="inlineStr">
        <is>
          <t>일정/효과</t>
        </is>
      </c>
      <c r="D4" s="4" t="inlineStr">
        <is>
          <t>work</t>
        </is>
      </c>
      <c r="E4" s="11" t="inlineStr">
        <is>
          <t>① 일하다/야근하다 ② (일정이) 되다/괜찮다 ③ 작동하다/효과가 있다</t>
        </is>
      </c>
      <c r="F4" s="11" t="inlineStr">
        <is>
          <t>Does Friday work for you? / It really works.</t>
        </is>
      </c>
      <c r="G4" s="11" t="inlineStr">
        <is>
          <t>금요일 괜찮아? / 그거 진짜 효과 있어.</t>
        </is>
      </c>
      <c r="H4" s="5">
        <f>HYPERLINK("https://www.youtube.com/watch?v=uKoTQ_r5KvM", "영상 보기 ▶")</f>
        <v/>
      </c>
    </row>
    <row r="5" ht="26" customHeight="1">
      <c r="A5" s="6" t="n">
        <v>4</v>
      </c>
      <c r="B5" s="7" t="inlineStr">
        <is>
          <t>총정리 1탄</t>
        </is>
      </c>
      <c r="C5" s="7" t="inlineStr">
        <is>
          <t>업무 조율</t>
        </is>
      </c>
      <c r="D5" s="8" t="inlineStr">
        <is>
          <t>keep (사람) posted</t>
        </is>
      </c>
      <c r="E5" s="12" t="inlineStr">
        <is>
          <t>진행 상황/현황을 계속해서 알려주다</t>
        </is>
      </c>
      <c r="F5" s="12" t="inlineStr">
        <is>
          <t>Please keep me posted.</t>
        </is>
      </c>
      <c r="G5" s="12" t="inlineStr">
        <is>
          <t>어떻게 진행되는지 계속 알려줘.</t>
        </is>
      </c>
      <c r="H5" s="9">
        <f>HYPERLINK("https://www.youtube.com/watch?v=uKoTQ_r5KvM", "영상 보기 ▶")</f>
        <v/>
      </c>
    </row>
    <row r="6" ht="26" customHeight="1">
      <c r="A6" s="2" t="n">
        <v>5</v>
      </c>
      <c r="B6" s="3" t="inlineStr">
        <is>
          <t>총정리 1탄</t>
        </is>
      </c>
      <c r="C6" s="3" t="inlineStr">
        <is>
          <t>일정 조율</t>
        </is>
      </c>
      <c r="D6" s="4" t="inlineStr">
        <is>
          <t>move / move on</t>
        </is>
      </c>
      <c r="E6" s="11" t="inlineStr">
        <is>
          <t>① (일정을) 조정하다/옮기다 ② (다음으로) 넘어가다</t>
        </is>
      </c>
      <c r="F6" s="11" t="inlineStr">
        <is>
          <t>Let's move on to the next slide.</t>
        </is>
      </c>
      <c r="G6" s="11" t="inlineStr">
        <is>
          <t>다음 슬라이드로 넘어갑시다.</t>
        </is>
      </c>
      <c r="H6" s="5">
        <f>HYPERLINK("https://www.youtube.com/watch?v=uKoTQ_r5KvM", "영상 보기 ▶")</f>
        <v/>
      </c>
    </row>
    <row r="7" ht="26" customHeight="1">
      <c r="A7" s="6" t="n">
        <v>6</v>
      </c>
      <c r="B7" s="7" t="inlineStr">
        <is>
          <t>총정리 1탄</t>
        </is>
      </c>
      <c r="C7" s="7" t="inlineStr">
        <is>
          <t>소통</t>
        </is>
      </c>
      <c r="D7" s="8" t="inlineStr">
        <is>
          <t>pick up</t>
        </is>
      </c>
      <c r="E7" s="12" t="inlineStr">
        <is>
          <t>① 중단된 부분부터 다시 계속하다 ② (pick up on) 눈치채다</t>
        </is>
      </c>
      <c r="F7" s="12" t="inlineStr">
        <is>
          <t>Let's pick this up tomorrow.</t>
        </is>
      </c>
      <c r="G7" s="12" t="inlineStr">
        <is>
          <t>이건 내일 이어서 계속하자.</t>
        </is>
      </c>
      <c r="H7" s="9">
        <f>HYPERLINK("https://www.youtube.com/watch?v=uKoTQ_r5KvM", "영상 보기 ▶")</f>
        <v/>
      </c>
    </row>
    <row r="8" ht="26" customHeight="1">
      <c r="A8" s="2" t="n">
        <v>7</v>
      </c>
      <c r="B8" s="3" t="inlineStr">
        <is>
          <t>총정리 1탄</t>
        </is>
      </c>
      <c r="C8" s="3" t="inlineStr">
        <is>
          <t>비즈니스 소통</t>
        </is>
      </c>
      <c r="D8" s="4" t="inlineStr">
        <is>
          <t>let (사람) know</t>
        </is>
      </c>
      <c r="E8" s="11" t="inlineStr">
        <is>
          <t>~에게 알려주다 (말씀 부탁드립니다)</t>
        </is>
      </c>
      <c r="F8" s="11" t="inlineStr">
        <is>
          <t>Please let me know at your earliest convenience.</t>
        </is>
      </c>
      <c r="G8" s="11" t="inlineStr">
        <is>
          <t>편하실 때 말씀 부탁드립니다.</t>
        </is>
      </c>
      <c r="H8" s="5">
        <f>HYPERLINK("https://www.youtube.com/watch?v=uKoTQ_r5KvM", "영상 보기 ▶")</f>
        <v/>
      </c>
    </row>
    <row r="9" ht="26" customHeight="1">
      <c r="A9" s="6" t="n">
        <v>8</v>
      </c>
      <c r="B9" s="7" t="inlineStr">
        <is>
          <t>총정리 1탄</t>
        </is>
      </c>
      <c r="C9" s="7" t="inlineStr">
        <is>
          <t>일정 조율</t>
        </is>
      </c>
      <c r="D9" s="8" t="inlineStr">
        <is>
          <t>at the latest / earliest</t>
        </is>
      </c>
      <c r="E9" s="12" t="inlineStr">
        <is>
          <t>늦어도 / 빨라도</t>
        </is>
      </c>
      <c r="F9" s="12" t="inlineStr">
        <is>
          <t>Please send it by Friday at the latest.</t>
        </is>
      </c>
      <c r="G9" s="12" t="inlineStr">
        <is>
          <t>늦어도 금요일까지는 보내주세요.</t>
        </is>
      </c>
      <c r="H9" s="9">
        <f>HYPERLINK("https://www.youtube.com/watch?v=uKoTQ_r5KvM", "영상 보기 ▶")</f>
        <v/>
      </c>
    </row>
    <row r="10" ht="26" customHeight="1">
      <c r="A10" s="2" t="n">
        <v>9</v>
      </c>
      <c r="B10" s="3" t="inlineStr">
        <is>
          <t>총정리 1탄</t>
        </is>
      </c>
      <c r="C10" s="3" t="inlineStr">
        <is>
          <t>문제 해결</t>
        </is>
      </c>
      <c r="D10" s="4" t="inlineStr">
        <is>
          <t>figure out</t>
        </is>
      </c>
      <c r="E10" s="11" t="inlineStr">
        <is>
          <t>(곰곰이 생각해서) 알아내다, 해결하다</t>
        </is>
      </c>
      <c r="F10" s="11" t="inlineStr">
        <is>
          <t>We'll figure something out.</t>
        </is>
      </c>
      <c r="G10" s="11" t="inlineStr">
        <is>
          <t>우리가 어떻게든 해결책을 찾아볼게.</t>
        </is>
      </c>
      <c r="H10" s="5">
        <f>HYPERLINK("https://www.youtube.com/watch?v=uKoTQ_r5KvM", "영상 보기 ▶")</f>
        <v/>
      </c>
    </row>
    <row r="11" ht="26" customHeight="1">
      <c r="A11" s="6" t="n">
        <v>10</v>
      </c>
      <c r="B11" s="7" t="inlineStr">
        <is>
          <t>총정리 1탄</t>
        </is>
      </c>
      <c r="C11" s="7" t="inlineStr">
        <is>
          <t>비즈니스</t>
        </is>
      </c>
      <c r="D11" s="8" t="inlineStr">
        <is>
          <t>ballpark figure</t>
        </is>
      </c>
      <c r="E11" s="12" t="inlineStr">
        <is>
          <t>어림잡은 견적, 대략적인 수치</t>
        </is>
      </c>
      <c r="F11" s="12" t="inlineStr">
        <is>
          <t>Can you give me a ballpark figure?</t>
        </is>
      </c>
      <c r="G11" s="12" t="inlineStr">
        <is>
          <t>대략 얼마 정도 나오는지 알려줄 수 있어?</t>
        </is>
      </c>
      <c r="H11" s="9">
        <f>HYPERLINK("https://www.youtube.com/watch?v=uKoTQ_r5KvM", "영상 보기 ▶")</f>
        <v/>
      </c>
    </row>
    <row r="12" ht="26" customHeight="1">
      <c r="A12" s="2" t="n">
        <v>11</v>
      </c>
      <c r="B12" s="3" t="inlineStr">
        <is>
          <t>총정리 1탄</t>
        </is>
      </c>
      <c r="C12" s="3" t="inlineStr">
        <is>
          <t>상황 표현</t>
        </is>
      </c>
      <c r="D12" s="4" t="inlineStr">
        <is>
          <t>be stuck</t>
        </is>
      </c>
      <c r="E12" s="11" t="inlineStr">
        <is>
          <t>(안 좋은 상황/장소에) 갇혀 꼼짝 못하다</t>
        </is>
      </c>
      <c r="F12" s="11" t="inlineStr">
        <is>
          <t>I'm stuck in traffic.</t>
        </is>
      </c>
      <c r="G12" s="11" t="inlineStr">
        <is>
          <t>차가 막혀서 꼼짝 못하고 있어.</t>
        </is>
      </c>
      <c r="H12" s="5">
        <f>HYPERLINK("https://www.youtube.com/watch?v=uKoTQ_r5KvM", "영상 보기 ▶")</f>
        <v/>
      </c>
    </row>
    <row r="13" ht="26" customHeight="1">
      <c r="A13" s="6" t="n">
        <v>12</v>
      </c>
      <c r="B13" s="7" t="inlineStr">
        <is>
          <t>총정리 1탄</t>
        </is>
      </c>
      <c r="C13" s="7" t="inlineStr">
        <is>
          <t>의견 전달</t>
        </is>
      </c>
      <c r="D13" s="8" t="inlineStr">
        <is>
          <t>I want to say ~</t>
        </is>
      </c>
      <c r="E13" s="12" t="inlineStr">
        <is>
          <t>(진심을 담아) 꼭 ~라고 말하고 싶어요</t>
        </is>
      </c>
      <c r="F13" s="12" t="inlineStr">
        <is>
          <t>I want to say thank you.</t>
        </is>
      </c>
      <c r="G13" s="12" t="inlineStr">
        <is>
          <t>정말 고맙다고 꼭 말하고 싶어.</t>
        </is>
      </c>
      <c r="H13" s="9">
        <f>HYPERLINK("https://www.youtube.com/watch?v=uKoTQ_r5KvM", "영상 보기 ▶")</f>
        <v/>
      </c>
    </row>
    <row r="14" ht="26" customHeight="1">
      <c r="A14" s="2" t="n">
        <v>13</v>
      </c>
      <c r="B14" s="3" t="inlineStr">
        <is>
          <t>총정리 1탄</t>
        </is>
      </c>
      <c r="C14" s="3" t="inlineStr">
        <is>
          <t>소통 뉘앙스</t>
        </is>
      </c>
      <c r="D14" s="4" t="inlineStr">
        <is>
          <t>I mean it</t>
        </is>
      </c>
      <c r="E14" s="11" t="inlineStr">
        <is>
          <t>(빈말/장난이 아니라) 진심이야, 정말이야</t>
        </is>
      </c>
      <c r="F14" s="11" t="inlineStr">
        <is>
          <t>You did a great job. I mean it.</t>
        </is>
      </c>
      <c r="G14" s="11" t="inlineStr">
        <is>
          <t>너 정말 잘했어. 진심이야.</t>
        </is>
      </c>
      <c r="H14" s="5">
        <f>HYPERLINK("https://www.youtube.com/watch?v=uKoTQ_r5KvM", "영상 보기 ▶")</f>
        <v/>
      </c>
    </row>
    <row r="15" ht="26" customHeight="1">
      <c r="A15" s="6" t="n">
        <v>14</v>
      </c>
      <c r="B15" s="7" t="inlineStr">
        <is>
          <t>총정리 1탄</t>
        </is>
      </c>
      <c r="C15" s="7" t="inlineStr">
        <is>
          <t>일상 회화</t>
        </is>
      </c>
      <c r="D15" s="8" t="inlineStr">
        <is>
          <t>grab</t>
        </is>
      </c>
      <c r="E15" s="12" t="inlineStr">
        <is>
          <t>(시간 내서 재빨리/간단히) 먹다, 사다, 잡다</t>
        </is>
      </c>
      <c r="F15" s="12" t="inlineStr">
        <is>
          <t>Let's grab lunch sometime.</t>
        </is>
      </c>
      <c r="G15" s="12" t="inlineStr">
        <is>
          <t>언제 간단히 점심이나 같이 먹자.</t>
        </is>
      </c>
      <c r="H15" s="9">
        <f>HYPERLINK("https://www.youtube.com/watch?v=uKoTQ_r5KvM", "영상 보기 ▶")</f>
        <v/>
      </c>
    </row>
    <row r="16" ht="26" customHeight="1">
      <c r="A16" s="2" t="n">
        <v>15</v>
      </c>
      <c r="B16" s="3" t="inlineStr">
        <is>
          <t>총정리 1탄</t>
        </is>
      </c>
      <c r="C16" s="3" t="inlineStr">
        <is>
          <t>인간관계</t>
        </is>
      </c>
      <c r="D16" s="4" t="inlineStr">
        <is>
          <t>company</t>
        </is>
      </c>
      <c r="E16" s="11" t="inlineStr">
        <is>
          <t>동료, 일행, 함께 있어 줌 (발음: 캄퍼니)</t>
        </is>
      </c>
      <c r="F16" s="11" t="inlineStr">
        <is>
          <t>Thanks for your company.</t>
        </is>
      </c>
      <c r="G16" s="11" t="inlineStr">
        <is>
          <t>함께 시간 보내줘서/말동무 해줘서 고마워.</t>
        </is>
      </c>
      <c r="H16" s="5">
        <f>HYPERLINK("https://www.youtube.com/watch?v=uKoTQ_r5KvM", "영상 보기 ▶")</f>
        <v/>
      </c>
    </row>
    <row r="17" ht="26" customHeight="1">
      <c r="A17" s="6" t="n">
        <v>16</v>
      </c>
      <c r="B17" s="7" t="inlineStr">
        <is>
          <t>총정리 1탄</t>
        </is>
      </c>
      <c r="C17" s="7" t="inlineStr">
        <is>
          <t>직장 회화</t>
        </is>
      </c>
      <c r="D17" s="8" t="inlineStr">
        <is>
          <t>work (직장)</t>
        </is>
      </c>
      <c r="E17" s="12" t="inlineStr">
        <is>
          <t>회사, 직장 (at work / get off work)</t>
        </is>
      </c>
      <c r="F17" s="12" t="inlineStr">
        <is>
          <t>I'm still at work. What time do you get off?</t>
        </is>
      </c>
      <c r="G17" s="12" t="inlineStr">
        <is>
          <t>나 아직 회사야. 너 몇 시에 퇴근해?</t>
        </is>
      </c>
      <c r="H17" s="9">
        <f>HYPERLINK("https://www.youtube.com/watch?v=uKoTQ_r5KvM", "영상 보기 ▶")</f>
        <v/>
      </c>
    </row>
    <row r="18" ht="26" customHeight="1">
      <c r="A18" s="2" t="n">
        <v>17</v>
      </c>
      <c r="B18" s="3" t="inlineStr">
        <is>
          <t>총정리 1탄</t>
        </is>
      </c>
      <c r="C18" s="3" t="inlineStr">
        <is>
          <t>전화 매너</t>
        </is>
      </c>
      <c r="D18" s="4" t="inlineStr">
        <is>
          <t>Is this a good time?</t>
        </is>
      </c>
      <c r="E18" s="11" t="inlineStr">
        <is>
          <t>지금 통화/이야기 괜찮으세요?</t>
        </is>
      </c>
      <c r="F18" s="11" t="inlineStr">
        <is>
          <t>Hi, John. Is this a good time?</t>
        </is>
      </c>
      <c r="G18" s="11" t="inlineStr">
        <is>
          <t>존, 지금 통화 괜찮아?</t>
        </is>
      </c>
      <c r="H18" s="5">
        <f>HYPERLINK("https://www.youtube.com/watch?v=uKoTQ_r5KvM", "영상 보기 ▶")</f>
        <v/>
      </c>
    </row>
    <row r="19" ht="26" customHeight="1">
      <c r="A19" s="6" t="n">
        <v>18</v>
      </c>
      <c r="B19" s="7" t="inlineStr">
        <is>
          <t>총정리 1탄</t>
        </is>
      </c>
      <c r="C19" s="7" t="inlineStr">
        <is>
          <t>전화 매너</t>
        </is>
      </c>
      <c r="D19" s="8" t="inlineStr">
        <is>
          <t>Did I catch you at a bad time?</t>
        </is>
      </c>
      <c r="E19" s="12" t="inlineStr">
        <is>
          <t>(상대가 바빠 보일 때) 지금 통화 곤란한 때인가요?</t>
        </is>
      </c>
      <c r="F19" s="12" t="inlineStr">
        <is>
          <t>Did I catch you at a bad time? I can call back later.</t>
        </is>
      </c>
      <c r="G19" s="12" t="inlineStr">
        <is>
          <t>혹시 지금 곤란한 때인가요? 나중에 다시 전화할게요.</t>
        </is>
      </c>
      <c r="H19" s="9">
        <f>HYPERLINK("https://www.youtube.com/watch?v=uKoTQ_r5KvM", "영상 보기 ▶")</f>
        <v/>
      </c>
    </row>
    <row r="20" ht="26" customHeight="1">
      <c r="A20" s="2" t="n">
        <v>19</v>
      </c>
      <c r="B20" s="3" t="inlineStr">
        <is>
          <t>총정리 1탄</t>
        </is>
      </c>
      <c r="C20" s="3" t="inlineStr">
        <is>
          <t>전화 매너</t>
        </is>
      </c>
      <c r="D20" s="4" t="inlineStr">
        <is>
          <t>Sorry to call so late</t>
        </is>
      </c>
      <c r="E20" s="11" t="inlineStr">
        <is>
          <t>늦은 시간에 전화드려 죄송합니다</t>
        </is>
      </c>
      <c r="F20" s="11" t="inlineStr">
        <is>
          <t>Sorry to call so late, but I have a quick question.</t>
        </is>
      </c>
      <c r="G20" s="11" t="inlineStr">
        <is>
          <t>늦은 시간에 전화드려 죄송한데 간단한 질문이 있어요.</t>
        </is>
      </c>
      <c r="H20" s="5">
        <f>HYPERLINK("https://www.youtube.com/watch?v=uKoTQ_r5KvM", "영상 보기 ▶")</f>
        <v/>
      </c>
    </row>
    <row r="21" ht="26" customHeight="1">
      <c r="A21" s="6" t="n">
        <v>20</v>
      </c>
      <c r="B21" s="7" t="inlineStr">
        <is>
          <t>총정리 1탄</t>
        </is>
      </c>
      <c r="C21" s="7" t="inlineStr">
        <is>
          <t>전화 매너</t>
        </is>
      </c>
      <c r="D21" s="8" t="inlineStr">
        <is>
          <t>Sorry to call so early</t>
        </is>
      </c>
      <c r="E21" s="12" t="inlineStr">
        <is>
          <t>너무 이른 시간에 전화드려 죄송합니다</t>
        </is>
      </c>
      <c r="F21" s="12" t="inlineStr">
        <is>
          <t>Sorry to call so early. Did I wake you?</t>
        </is>
      </c>
      <c r="G21" s="12" t="inlineStr">
        <is>
          <t>이른 시간에 전화해서 미안해요. 깨웠나요?</t>
        </is>
      </c>
      <c r="H21" s="9">
        <f>HYPERLINK("https://www.youtube.com/watch?v=uKoTQ_r5KvM", "영상 보기 ▶")</f>
        <v/>
      </c>
    </row>
    <row r="22" ht="26" customHeight="1">
      <c r="A22" s="2" t="n">
        <v>21</v>
      </c>
      <c r="B22" s="3" t="inlineStr">
        <is>
          <t>총정리 1탄</t>
        </is>
      </c>
      <c r="C22" s="3" t="inlineStr">
        <is>
          <t>전화 매너</t>
        </is>
      </c>
      <c r="D22" s="4" t="inlineStr">
        <is>
          <t>May I ask who's calling?</t>
        </is>
      </c>
      <c r="E22" s="11" t="inlineStr">
        <is>
          <t>실례지만 어디 누구시라고 전해드릴까요?</t>
        </is>
      </c>
      <c r="F22" s="11" t="inlineStr">
        <is>
          <t>May I ask who's calling, please?</t>
        </is>
      </c>
      <c r="G22" s="11" t="inlineStr">
        <is>
          <t>실례지만 전화 주신 분 성함 여쭤봐도 될까요?</t>
        </is>
      </c>
      <c r="H22" s="5">
        <f>HYPERLINK("https://www.youtube.com/watch?v=uKoTQ_r5KvM", "영상 보기 ▶")</f>
        <v/>
      </c>
    </row>
    <row r="23" ht="26" customHeight="1">
      <c r="A23" s="6" t="n">
        <v>22</v>
      </c>
      <c r="B23" s="7" t="inlineStr">
        <is>
          <t>총정리 1탄</t>
        </is>
      </c>
      <c r="C23" s="7" t="inlineStr">
        <is>
          <t>전화 매너</t>
        </is>
      </c>
      <c r="D23" s="8" t="inlineStr">
        <is>
          <t>May I ask what this is regarding?</t>
        </is>
      </c>
      <c r="E23" s="12" t="inlineStr">
        <is>
          <t>어떤 용건으로 전화 주셨는지 여쭤봐도 될까요?</t>
        </is>
      </c>
      <c r="F23" s="12" t="inlineStr">
        <is>
          <t>May I ask what this is regarding?</t>
        </is>
      </c>
      <c r="G23" s="12" t="inlineStr">
        <is>
          <t>어떤 일 때문에 그러시는지 여쭤봐도 될까요?</t>
        </is>
      </c>
      <c r="H23" s="9">
        <f>HYPERLINK("https://www.youtube.com/watch?v=uKoTQ_r5KvM", "영상 보기 ▶")</f>
        <v/>
      </c>
    </row>
    <row r="24" ht="26" customHeight="1">
      <c r="A24" s="2" t="n">
        <v>23</v>
      </c>
      <c r="B24" s="3" t="inlineStr">
        <is>
          <t>총정리 1탄</t>
        </is>
      </c>
      <c r="C24" s="3" t="inlineStr">
        <is>
          <t>사교 표현</t>
        </is>
      </c>
      <c r="D24" s="4" t="inlineStr">
        <is>
          <t>To what do I owe this pleasure?</t>
        </is>
      </c>
      <c r="E24" s="11" t="inlineStr">
        <is>
          <t>웬일로 연락을/찾아오셨어요? (반가운 격식 표현)</t>
        </is>
      </c>
      <c r="F24" s="11" t="inlineStr">
        <is>
          <t>Good to hear from you! To what do I owe this pleasure?</t>
        </is>
      </c>
      <c r="G24" s="11" t="inlineStr">
        <is>
          <t>목소리 들으니 반갑네요! 웬일로 연락을 주셨어요?</t>
        </is>
      </c>
      <c r="H24" s="5">
        <f>HYPERLINK("https://www.youtube.com/watch?v=uKoTQ_r5KvM", "영상 보기 ▶")</f>
        <v/>
      </c>
    </row>
    <row r="25" ht="26" customHeight="1">
      <c r="A25" s="6" t="n">
        <v>24</v>
      </c>
      <c r="B25" s="7" t="inlineStr">
        <is>
          <t>총정리 1탄</t>
        </is>
      </c>
      <c r="C25" s="7" t="inlineStr">
        <is>
          <t>소통 뉘앙스</t>
        </is>
      </c>
      <c r="D25" s="8" t="inlineStr">
        <is>
          <t>at the moment</t>
        </is>
      </c>
      <c r="E25" s="12" t="inlineStr">
        <is>
          <t>지금 이 순간에는 (나중에는 가능할 수도 있다는 뉘앙스)</t>
        </is>
      </c>
      <c r="F25" s="12" t="inlineStr">
        <is>
          <t>I'm tied up at the moment.</t>
        </is>
      </c>
      <c r="G25" s="12" t="inlineStr">
        <is>
          <t>제가 지금은 손이 묶여서(바빠서) 곤란해요.</t>
        </is>
      </c>
      <c r="H25" s="9">
        <f>HYPERLINK("https://www.youtube.com/watch?v=uKoTQ_r5KvM", "영상 보기 ▶")</f>
        <v/>
      </c>
    </row>
    <row r="26" ht="26" customHeight="1">
      <c r="A26" s="2" t="n">
        <v>25</v>
      </c>
      <c r="B26" s="3" t="inlineStr">
        <is>
          <t>총정리 1탄</t>
        </is>
      </c>
      <c r="C26" s="3" t="inlineStr">
        <is>
          <t>비즈니스 소통</t>
        </is>
      </c>
      <c r="D26" s="4" t="inlineStr">
        <is>
          <t>When can I expect to hear from you?</t>
        </is>
      </c>
      <c r="E26" s="11" t="inlineStr">
        <is>
          <t>언제쯤 연락/답변을 주실 것으로 생각하면 될까요?</t>
        </is>
      </c>
      <c r="F26" s="11" t="inlineStr">
        <is>
          <t>When can I expect to hear from you?</t>
        </is>
      </c>
      <c r="G26" s="11" t="inlineStr">
        <is>
          <t>언제쯤 연락 주실 예정인가요?</t>
        </is>
      </c>
      <c r="H26" s="5">
        <f>HYPERLINK("https://www.youtube.com/watch?v=uKoTQ_r5KvM", "영상 보기 ▶")</f>
        <v/>
      </c>
    </row>
    <row r="27" ht="26" customHeight="1">
      <c r="A27" s="6" t="n">
        <v>26</v>
      </c>
      <c r="B27" s="7" t="inlineStr">
        <is>
          <t>총정리 1탄</t>
        </is>
      </c>
      <c r="C27" s="7" t="inlineStr">
        <is>
          <t>비즈니스 소통</t>
        </is>
      </c>
      <c r="D27" s="8" t="inlineStr">
        <is>
          <t>be in touch</t>
        </is>
      </c>
      <c r="E27" s="12" t="inlineStr">
        <is>
          <t>연락하다, 연락을 취하다</t>
        </is>
      </c>
      <c r="F27" s="12" t="inlineStr">
        <is>
          <t>I'll be in touch by next week.</t>
        </is>
      </c>
      <c r="G27" s="12" t="inlineStr">
        <is>
          <t>다음 주까지 연락드리겠습니다.</t>
        </is>
      </c>
      <c r="H27" s="9">
        <f>HYPERLINK("https://www.youtube.com/watch?v=uKoTQ_r5KvM", "영상 보기 ▶")</f>
        <v/>
      </c>
    </row>
    <row r="28" ht="26" customHeight="1">
      <c r="A28" s="2" t="n">
        <v>27</v>
      </c>
      <c r="B28" s="3" t="inlineStr">
        <is>
          <t>총정리 1탄</t>
        </is>
      </c>
      <c r="C28" s="3" t="inlineStr">
        <is>
          <t>업무 소통</t>
        </is>
      </c>
      <c r="D28" s="4" t="inlineStr">
        <is>
          <t>ASAP</t>
        </is>
      </c>
      <c r="E28" s="11" t="inlineStr">
        <is>
          <t>가능한 한 빨리 (as soon as possible)</t>
        </is>
      </c>
      <c r="F28" s="11" t="inlineStr">
        <is>
          <t>Please send it to me ASAP.</t>
        </is>
      </c>
      <c r="G28" s="11" t="inlineStr">
        <is>
          <t>가능한 한 빨리 보내주세요.</t>
        </is>
      </c>
      <c r="H28" s="5">
        <f>HYPERLINK("https://www.youtube.com/watch?v=uKoTQ_r5KvM", "영상 보기 ▶")</f>
        <v/>
      </c>
    </row>
    <row r="29" ht="26" customHeight="1">
      <c r="A29" s="6" t="n">
        <v>28</v>
      </c>
      <c r="B29" s="7" t="inlineStr">
        <is>
          <t>총정리 1탄</t>
        </is>
      </c>
      <c r="C29" s="7" t="inlineStr">
        <is>
          <t>사교/비즈니스</t>
        </is>
      </c>
      <c r="D29" s="8" t="inlineStr">
        <is>
          <t>hesitate</t>
        </is>
      </c>
      <c r="E29" s="12" t="inlineStr">
        <is>
          <t>주저하다, 망설이다 (주로 부정문 권유)</t>
        </is>
      </c>
      <c r="F29" s="12" t="inlineStr">
        <is>
          <t>Please don't hesitate to call me.</t>
        </is>
      </c>
      <c r="G29" s="12" t="inlineStr">
        <is>
          <t>필요한 게 있으시면 언제든 주저 말고 전화 주세요.</t>
        </is>
      </c>
      <c r="H29" s="9">
        <f>HYPERLINK("https://www.youtube.com/watch?v=uKoTQ_r5KvM", "영상 보기 ▶")</f>
        <v/>
      </c>
    </row>
    <row r="30" ht="26" customHeight="1">
      <c r="A30" s="2" t="n">
        <v>29</v>
      </c>
      <c r="B30" s="3" t="inlineStr">
        <is>
          <t>총정리 1탄</t>
        </is>
      </c>
      <c r="C30" s="3" t="inlineStr">
        <is>
          <t>사교/비즈니스</t>
        </is>
      </c>
      <c r="D30" s="4" t="inlineStr">
        <is>
          <t>feel free to + 동사원형</t>
        </is>
      </c>
      <c r="E30" s="11" t="inlineStr">
        <is>
          <t>부담 갖지 말고 편하게 ~하세요</t>
        </is>
      </c>
      <c r="F30" s="11" t="inlineStr">
        <is>
          <t>Feel free to ask questions anytime.</t>
        </is>
      </c>
      <c r="G30" s="11" t="inlineStr">
        <is>
          <t>언제든지 편하게 질문하세요.</t>
        </is>
      </c>
      <c r="H30" s="5">
        <f>HYPERLINK("https://www.youtube.com/watch?v=uKoTQ_r5KvM", "영상 보기 ▶")</f>
        <v/>
      </c>
    </row>
    <row r="31" ht="26" customHeight="1">
      <c r="A31" s="6" t="n">
        <v>30</v>
      </c>
      <c r="B31" s="7" t="inlineStr">
        <is>
          <t>총정리 1탄</t>
        </is>
      </c>
      <c r="C31" s="7" t="inlineStr">
        <is>
          <t>대화 마무리</t>
        </is>
      </c>
      <c r="D31" s="8" t="inlineStr">
        <is>
          <t>It was nice talking to you</t>
        </is>
      </c>
      <c r="E31" s="12" t="inlineStr">
        <is>
          <t>대화/통화 즐거웠습니다 (마무리 인사)</t>
        </is>
      </c>
      <c r="F31" s="12" t="inlineStr">
        <is>
          <t>It was nice talking to you. Have a great day!</t>
        </is>
      </c>
      <c r="G31" s="12" t="inlineStr">
        <is>
          <t>통화 즐거웠습니다. 좋은 하루 보내세요!</t>
        </is>
      </c>
      <c r="H31" s="9">
        <f>HYPERLINK("https://www.youtube.com/watch?v=uKoTQ_r5KvM", "영상 보기 ▶")</f>
        <v/>
      </c>
    </row>
    <row r="32" ht="26" customHeight="1">
      <c r="A32" s="2" t="n">
        <v>31</v>
      </c>
      <c r="B32" s="3" t="inlineStr">
        <is>
          <t>총정리 1탄</t>
        </is>
      </c>
      <c r="C32" s="3" t="inlineStr">
        <is>
          <t>감사 표현</t>
        </is>
      </c>
      <c r="D32" s="4" t="inlineStr">
        <is>
          <t>You're the best</t>
        </is>
      </c>
      <c r="E32" s="11" t="inlineStr">
        <is>
          <t>넌 정말 최고야 / 진짜 고마워!</t>
        </is>
      </c>
      <c r="F32" s="11" t="inlineStr">
        <is>
          <t>Thanks for helping me out. You're the best!</t>
        </is>
      </c>
      <c r="G32" s="11" t="inlineStr">
        <is>
          <t>도와줘서 정말 고마워. 너가 최고야!</t>
        </is>
      </c>
      <c r="H32" s="5">
        <f>HYPERLINK("https://www.youtube.com/watch?v=uKoTQ_r5KvM", "영상 보기 ▶")</f>
        <v/>
      </c>
    </row>
    <row r="33" ht="26" customHeight="1">
      <c r="A33" s="6" t="n">
        <v>32</v>
      </c>
      <c r="B33" s="7" t="inlineStr">
        <is>
          <t>총정리 1탄</t>
        </is>
      </c>
      <c r="C33" s="7" t="inlineStr">
        <is>
          <t>일상 회화</t>
        </is>
      </c>
      <c r="D33" s="8" t="inlineStr">
        <is>
          <t>catch up</t>
        </is>
      </c>
      <c r="E33" s="12" t="inlineStr">
        <is>
          <t>(오랜만에 만나) 밀린 이야기를 나누다</t>
        </is>
      </c>
      <c r="F33" s="12" t="inlineStr">
        <is>
          <t>We should catch up sometime.</t>
        </is>
      </c>
      <c r="G33" s="12" t="inlineStr">
        <is>
          <t>우리 언제 한번 밀린 이야기 좀 하자.</t>
        </is>
      </c>
      <c r="H33" s="9">
        <f>HYPERLINK("https://www.youtube.com/watch?v=uKoTQ_r5KvM", "영상 보기 ▶")</f>
        <v/>
      </c>
    </row>
    <row r="34" ht="26" customHeight="1">
      <c r="A34" s="2" t="n">
        <v>33</v>
      </c>
      <c r="B34" s="3" t="inlineStr">
        <is>
          <t>총정리 1탄</t>
        </is>
      </c>
      <c r="C34" s="3" t="inlineStr">
        <is>
          <t>일상 회화</t>
        </is>
      </c>
      <c r="D34" s="4" t="inlineStr">
        <is>
          <t>get together</t>
        </is>
      </c>
      <c r="E34" s="11" t="inlineStr">
        <is>
          <t>(약속 잡고) 만나다, 모이다</t>
        </is>
      </c>
      <c r="F34" s="11" t="inlineStr">
        <is>
          <t>Let's get together for drinks sometime.</t>
        </is>
      </c>
      <c r="G34" s="11" t="inlineStr">
        <is>
          <t>언제 한번 만나서 술 한잔하자.</t>
        </is>
      </c>
      <c r="H34" s="5">
        <f>HYPERLINK("https://www.youtube.com/watch?v=uKoTQ_r5KvM", "영상 보기 ▶")</f>
        <v/>
      </c>
    </row>
    <row r="35" ht="26" customHeight="1">
      <c r="A35" s="6" t="n">
        <v>34</v>
      </c>
      <c r="B35" s="7" t="inlineStr">
        <is>
          <t>총정리 1탄</t>
        </is>
      </c>
      <c r="C35" s="7" t="inlineStr">
        <is>
          <t>의견 표현</t>
        </is>
      </c>
      <c r="D35" s="8" t="inlineStr">
        <is>
          <t>find</t>
        </is>
      </c>
      <c r="E35" s="12" t="inlineStr">
        <is>
          <t>(겪어보고 나서) ~라고 생각하다/느끼다</t>
        </is>
      </c>
      <c r="F35" s="12" t="inlineStr">
        <is>
          <t>I found it challenging.</t>
        </is>
      </c>
      <c r="G35" s="12" t="inlineStr">
        <is>
          <t>해보니까 좀 어렵고 도전적으로 느껴지더라고요.</t>
        </is>
      </c>
      <c r="H35" s="9">
        <f>HYPERLINK("https://www.youtube.com/watch?v=uKoTQ_r5KvM", "영상 보기 ▶")</f>
        <v/>
      </c>
    </row>
    <row r="36" ht="26" customHeight="1">
      <c r="A36" s="2" t="n">
        <v>35</v>
      </c>
      <c r="B36" s="3" t="inlineStr">
        <is>
          <t>총정리 1탄</t>
        </is>
      </c>
      <c r="C36" s="3" t="inlineStr">
        <is>
          <t>상황 판단</t>
        </is>
      </c>
      <c r="D36" s="4" t="inlineStr">
        <is>
          <t>doable</t>
        </is>
      </c>
      <c r="E36" s="11" t="inlineStr">
        <is>
          <t>(무리 없이) 할 만한, 실현 가능한</t>
        </is>
      </c>
      <c r="F36" s="11" t="inlineStr">
        <is>
          <t>I think it's doable.</t>
        </is>
      </c>
      <c r="G36" s="11" t="inlineStr">
        <is>
          <t>그거 충분히 할 만하다고 생각해.</t>
        </is>
      </c>
      <c r="H36" s="5">
        <f>HYPERLINK("https://www.youtube.com/watch?v=uKoTQ_r5KvM", "영상 보기 ▶")</f>
        <v/>
      </c>
    </row>
    <row r="37" ht="26" customHeight="1">
      <c r="A37" s="6" t="n">
        <v>36</v>
      </c>
      <c r="B37" s="7" t="inlineStr">
        <is>
          <t>총정리 1탄</t>
        </is>
      </c>
      <c r="C37" s="7" t="inlineStr">
        <is>
          <t>뉘앙스 강화</t>
        </is>
      </c>
      <c r="D37" s="8" t="inlineStr">
        <is>
          <t>at all</t>
        </is>
      </c>
      <c r="E37" s="12" t="inlineStr">
        <is>
          <t>① 의문문: 조금이라도 ② 조건문: 혹시라도 조금이라도</t>
        </is>
      </c>
      <c r="F37" s="12" t="inlineStr">
        <is>
          <t>If you need anything at all, please let me know.</t>
        </is>
      </c>
      <c r="G37" s="12" t="inlineStr">
        <is>
          <t>조금이라도 필요한 게 있으시면 말씀해 주세요.</t>
        </is>
      </c>
      <c r="H37" s="9">
        <f>HYPERLINK("https://www.youtube.com/watch?v=uKoTQ_r5KvM", "영상 보기 ▶")</f>
        <v/>
      </c>
    </row>
    <row r="38" ht="26" customHeight="1">
      <c r="A38" s="2" t="n">
        <v>37</v>
      </c>
      <c r="B38" s="3" t="inlineStr">
        <is>
          <t>총정리 1탄</t>
        </is>
      </c>
      <c r="C38" s="3" t="inlineStr">
        <is>
          <t>상황 표현</t>
        </is>
      </c>
      <c r="D38" s="4" t="inlineStr">
        <is>
          <t>be in the middle of</t>
        </is>
      </c>
      <c r="E38" s="11" t="inlineStr">
        <is>
          <t>한창 ~하는 중이다</t>
        </is>
      </c>
      <c r="F38" s="11" t="inlineStr">
        <is>
          <t>I'm in the middle of something.</t>
        </is>
      </c>
      <c r="G38" s="11" t="inlineStr">
        <is>
          <t>나 지금 뭐 좀 하는 중이야.</t>
        </is>
      </c>
      <c r="H38" s="5">
        <f>HYPERLINK("https://www.youtube.com/watch?v=uKoTQ_r5KvM", "영상 보기 ▶")</f>
        <v/>
      </c>
    </row>
    <row r="39" ht="26" customHeight="1">
      <c r="A39" s="6" t="n">
        <v>38</v>
      </c>
      <c r="B39" s="7" t="inlineStr">
        <is>
          <t>총정리 1탄</t>
        </is>
      </c>
      <c r="C39" s="7" t="inlineStr">
        <is>
          <t>사과/해명</t>
        </is>
      </c>
      <c r="D39" s="8" t="inlineStr">
        <is>
          <t>I didn't mean to + 동사원형</t>
        </is>
      </c>
      <c r="E39" s="12" t="inlineStr">
        <is>
          <t>일부러 ~하려던 건 아니었어요</t>
        </is>
      </c>
      <c r="F39" s="12" t="inlineStr">
        <is>
          <t>I didn't mean to be late. I was stuck at work.</t>
        </is>
      </c>
      <c r="G39" s="12" t="inlineStr">
        <is>
          <t>일부러 늦으려던 건 아니었어요. 회사에 일이 밀려 잡혀 있었어요.</t>
        </is>
      </c>
      <c r="H39" s="9">
        <f>HYPERLINK("https://www.youtube.com/watch?v=uKoTQ_r5KvM", "영상 보기 ▶")</f>
        <v/>
      </c>
    </row>
    <row r="40" ht="26" customHeight="1">
      <c r="A40" s="2" t="n">
        <v>39</v>
      </c>
      <c r="B40" s="3" t="inlineStr">
        <is>
          <t>총정리 1탄</t>
        </is>
      </c>
      <c r="C40" s="3" t="inlineStr">
        <is>
          <t>진행 표현</t>
        </is>
      </c>
      <c r="D40" s="4" t="inlineStr">
        <is>
          <t>go</t>
        </is>
      </c>
      <c r="E40" s="11" t="inlineStr">
        <is>
          <t>(일/상황이) 진행되다, 굴러가다</t>
        </is>
      </c>
      <c r="F40" s="11" t="inlineStr">
        <is>
          <t>How did the meeting go?</t>
        </is>
      </c>
      <c r="G40" s="11" t="inlineStr">
        <is>
          <t>회의 어떻게 진행됐어?</t>
        </is>
      </c>
      <c r="H40" s="5">
        <f>HYPERLINK("https://www.youtube.com/watch?v=uKoTQ_r5KvM", "영상 보기 ▶")</f>
        <v/>
      </c>
    </row>
    <row r="41" ht="26" customHeight="1">
      <c r="A41" s="6" t="n">
        <v>40</v>
      </c>
      <c r="B41" s="7" t="inlineStr">
        <is>
          <t>총정리 1탄</t>
        </is>
      </c>
      <c r="C41" s="7" t="inlineStr">
        <is>
          <t>일정 조율</t>
        </is>
      </c>
      <c r="D41" s="8" t="inlineStr">
        <is>
          <t>wait</t>
        </is>
      </c>
      <c r="E41" s="12" t="inlineStr">
        <is>
          <t>(급하지 않아서) 나중으로 미뤄도 되다</t>
        </is>
      </c>
      <c r="F41" s="12" t="inlineStr">
        <is>
          <t>It can wait. / Can it wait?</t>
        </is>
      </c>
      <c r="G41" s="12" t="inlineStr">
        <is>
          <t>그거 안 급해. 이따 해도 돼. / 그거 나중에 해도 돼?</t>
        </is>
      </c>
      <c r="H41" s="9">
        <f>HYPERLINK("https://www.youtube.com/watch?v=uKoTQ_r5KvM", "영상 보기 ▶")</f>
        <v/>
      </c>
    </row>
    <row r="42" ht="26" customHeight="1">
      <c r="A42" s="2" t="n">
        <v>41</v>
      </c>
      <c r="B42" s="3" t="inlineStr">
        <is>
          <t>총정리 1탄</t>
        </is>
      </c>
      <c r="C42" s="3" t="inlineStr">
        <is>
          <t>업무 검토</t>
        </is>
      </c>
      <c r="D42" s="4" t="inlineStr">
        <is>
          <t>go over</t>
        </is>
      </c>
      <c r="E42" s="11" t="inlineStr">
        <is>
          <t>꼼꼼히 거듭 살펴보다, 검토하다</t>
        </is>
      </c>
      <c r="F42" s="11" t="inlineStr">
        <is>
          <t>We have a lot to go over today.</t>
        </is>
      </c>
      <c r="G42" s="11" t="inlineStr">
        <is>
          <t>오늘 꼼꼼히 살펴봐야 할 내용이 많아요.</t>
        </is>
      </c>
      <c r="H42" s="5">
        <f>HYPERLINK("https://www.youtube.com/watch?v=uKoTQ_r5KvM", "영상 보기 ▶")</f>
        <v/>
      </c>
    </row>
    <row r="43" ht="26" customHeight="1">
      <c r="A43" s="6" t="n">
        <v>42</v>
      </c>
      <c r="B43" s="7" t="inlineStr">
        <is>
          <t>총정리 1탄</t>
        </is>
      </c>
      <c r="C43" s="7" t="inlineStr">
        <is>
          <t>상황 공감</t>
        </is>
      </c>
      <c r="D43" s="8" t="inlineStr">
        <is>
          <t>go through</t>
        </is>
      </c>
      <c r="E43" s="12" t="inlineStr">
        <is>
          <t>(힘든 일/과정 등을) 겪다</t>
        </is>
      </c>
      <c r="F43" s="12" t="inlineStr">
        <is>
          <t>I'm sorry for what you're going through.</t>
        </is>
      </c>
      <c r="G43" s="12" t="inlineStr">
        <is>
          <t>지금 겪고 계신 힘든 일에 대해 정말 안타깝게 생각해요.</t>
        </is>
      </c>
      <c r="H43" s="9">
        <f>HYPERLINK("https://www.youtube.com/watch?v=uKoTQ_r5KvM", "영상 보기 ▶")</f>
        <v/>
      </c>
    </row>
    <row r="44" ht="26" customHeight="1">
      <c r="A44" s="2" t="n">
        <v>43</v>
      </c>
      <c r="B44" s="3" t="inlineStr">
        <is>
          <t>총정리 1탄</t>
        </is>
      </c>
      <c r="C44" s="3" t="inlineStr">
        <is>
          <t>선택 표현</t>
        </is>
      </c>
      <c r="D44" s="4" t="inlineStr">
        <is>
          <t>go with</t>
        </is>
      </c>
      <c r="E44" s="11" t="inlineStr">
        <is>
          <t>(선택지 중) ~로 선택하다/정하다</t>
        </is>
      </c>
      <c r="F44" s="11" t="inlineStr">
        <is>
          <t>I'll go with the pasta.</t>
        </is>
      </c>
      <c r="G44" s="11" t="inlineStr">
        <is>
          <t>저는 파스타로 할게요.</t>
        </is>
      </c>
      <c r="H44" s="5">
        <f>HYPERLINK("https://www.youtube.com/watch?v=uKoTQ_r5KvM", "영상 보기 ▶")</f>
        <v/>
      </c>
    </row>
    <row r="45" ht="26" customHeight="1">
      <c r="A45" s="6" t="n">
        <v>44</v>
      </c>
      <c r="B45" s="7" t="inlineStr">
        <is>
          <t>총정리 1탄</t>
        </is>
      </c>
      <c r="C45" s="7" t="inlineStr">
        <is>
          <t>만능동사 get</t>
        </is>
      </c>
      <c r="D45" s="8" t="inlineStr">
        <is>
          <t>get (사오다/선물하다)</t>
        </is>
      </c>
      <c r="E45" s="12" t="inlineStr">
        <is>
          <t>선물이나 음료를 사주다, 가져오다</t>
        </is>
      </c>
      <c r="F45" s="12" t="inlineStr">
        <is>
          <t>I got you a present.</t>
        </is>
      </c>
      <c r="G45" s="12" t="inlineStr">
        <is>
          <t>너 주려고 선물 사 왔어.</t>
        </is>
      </c>
      <c r="H45" s="9">
        <f>HYPERLINK("https://www.youtube.com/watch?v=uKoTQ_r5KvM", "영상 보기 ▶")</f>
        <v/>
      </c>
    </row>
    <row r="46" ht="26" customHeight="1">
      <c r="A46" s="2" t="n">
        <v>45</v>
      </c>
      <c r="B46" s="3" t="inlineStr">
        <is>
          <t>총정리 1탄</t>
        </is>
      </c>
      <c r="C46" s="3" t="inlineStr">
        <is>
          <t>만능동사 get</t>
        </is>
      </c>
      <c r="D46" s="4" t="inlineStr">
        <is>
          <t>get (상태 변화)</t>
        </is>
      </c>
      <c r="E46" s="11" t="inlineStr">
        <is>
          <t>점점 ~한 상태가 되다 (become 구어체)</t>
        </is>
      </c>
      <c r="F46" s="11" t="inlineStr">
        <is>
          <t>I hope you get better soon.</t>
        </is>
      </c>
      <c r="G46" s="11" t="inlineStr">
        <is>
          <t>얼른 나아지시길 바랄게요.</t>
        </is>
      </c>
      <c r="H46" s="5">
        <f>HYPERLINK("https://www.youtube.com/watch?v=uKoTQ_r5KvM", "영상 보기 ▶")</f>
        <v/>
      </c>
    </row>
    <row r="47" ht="26" customHeight="1">
      <c r="A47" s="6" t="n">
        <v>46</v>
      </c>
      <c r="B47" s="7" t="inlineStr">
        <is>
          <t>총정리 1탄</t>
        </is>
      </c>
      <c r="C47" s="7" t="inlineStr">
        <is>
          <t>만능동사 get</t>
        </is>
      </c>
      <c r="D47" s="8" t="inlineStr">
        <is>
          <t>get (도착하다)</t>
        </is>
      </c>
      <c r="E47" s="12" t="inlineStr">
        <is>
          <t>(목적지에) 도착하다, 닿다</t>
        </is>
      </c>
      <c r="F47" s="12" t="inlineStr">
        <is>
          <t>What time did you get here?</t>
        </is>
      </c>
      <c r="G47" s="12" t="inlineStr">
        <is>
          <t>여기 몇 시에 도착했어?</t>
        </is>
      </c>
      <c r="H47" s="9">
        <f>HYPERLINK("https://www.youtube.com/watch?v=uKoTQ_r5KvM", "영상 보기 ▶")</f>
        <v/>
      </c>
    </row>
    <row r="48" ht="26" customHeight="1">
      <c r="A48" s="2" t="n">
        <v>47</v>
      </c>
      <c r="B48" s="3" t="inlineStr">
        <is>
          <t>총정리 1탄</t>
        </is>
      </c>
      <c r="C48" s="3" t="inlineStr">
        <is>
          <t>만능동사 get</t>
        </is>
      </c>
      <c r="D48" s="4" t="inlineStr">
        <is>
          <t>get (이해하다)</t>
        </is>
      </c>
      <c r="E48" s="11" t="inlineStr">
        <is>
          <t>상대의 말을 알아듣다, 이해하다</t>
        </is>
      </c>
      <c r="F48" s="11" t="inlineStr">
        <is>
          <t>I get it. / I don't get it.</t>
        </is>
      </c>
      <c r="G48" s="11" t="inlineStr">
        <is>
          <t>아, 무슨 말인지 알겠어. / 이해가 잘 안 가.</t>
        </is>
      </c>
      <c r="H48" s="5">
        <f>HYPERLINK("https://www.youtube.com/watch?v=uKoTQ_r5KvM", "영상 보기 ▶")</f>
        <v/>
      </c>
    </row>
    <row r="49" ht="26" customHeight="1">
      <c r="A49" s="6" t="n">
        <v>48</v>
      </c>
      <c r="B49" s="7" t="inlineStr">
        <is>
          <t>총정리 1탄</t>
        </is>
      </c>
      <c r="C49" s="7" t="inlineStr">
        <is>
          <t>만능동사 get</t>
        </is>
      </c>
      <c r="D49" s="8" t="inlineStr">
        <is>
          <t>get + 사람 + to-v</t>
        </is>
      </c>
      <c r="E49" s="12" t="inlineStr">
        <is>
          <t>~가 ...하게 만들다, 설득하다</t>
        </is>
      </c>
      <c r="F49" s="12" t="inlineStr">
        <is>
          <t>I'll get him to call you.</t>
        </is>
      </c>
      <c r="G49" s="12" t="inlineStr">
        <is>
          <t>그 사람한테 전화드리라고 설득해 볼게요.</t>
        </is>
      </c>
      <c r="H49" s="9">
        <f>HYPERLINK("https://www.youtube.com/watch?v=uKoTQ_r5KvM", "영상 보기 ▶")</f>
        <v/>
      </c>
    </row>
    <row r="50" ht="26" customHeight="1">
      <c r="A50" s="2" t="n">
        <v>49</v>
      </c>
      <c r="B50" s="3" t="inlineStr">
        <is>
          <t>총정리 1탄</t>
        </is>
      </c>
      <c r="C50" s="3" t="inlineStr">
        <is>
          <t>만능동사 get</t>
        </is>
      </c>
      <c r="D50" s="4" t="inlineStr">
        <is>
          <t>get (받다)</t>
        </is>
      </c>
      <c r="E50" s="11" t="inlineStr">
        <is>
          <t>전화, 메시지, 이메일을 받다</t>
        </is>
      </c>
      <c r="F50" s="11" t="inlineStr">
        <is>
          <t>I just got a call from headquarters.</t>
        </is>
      </c>
      <c r="G50" s="11" t="inlineStr">
        <is>
          <t>방금 본사로부터 전화를 받았어.</t>
        </is>
      </c>
      <c r="H50" s="5">
        <f>HYPERLINK("https://www.youtube.com/watch?v=uKoTQ_r5KvM", "영상 보기 ▶")</f>
        <v/>
      </c>
    </row>
    <row r="51" ht="26" customHeight="1">
      <c r="A51" s="6" t="n">
        <v>50</v>
      </c>
      <c r="B51" s="7" t="inlineStr">
        <is>
          <t>총정리 1탄</t>
        </is>
      </c>
      <c r="C51" s="7" t="inlineStr">
        <is>
          <t>일상 회화</t>
        </is>
      </c>
      <c r="D51" s="8" t="inlineStr">
        <is>
          <t>take a break</t>
        </is>
      </c>
      <c r="E51" s="12" t="inlineStr">
        <is>
          <t>(일하는 도중) 잠시 휴식을 취하다</t>
        </is>
      </c>
      <c r="F51" s="12" t="inlineStr">
        <is>
          <t>Why don't we take a coffee break?</t>
        </is>
      </c>
      <c r="G51" s="12" t="inlineStr">
        <is>
          <t>커피 한잔하면서 잠깐 쉴까?</t>
        </is>
      </c>
      <c r="H51" s="9">
        <f>HYPERLINK("https://www.youtube.com/watch?v=uKoTQ_r5KvM", "영상 보기 ▶")</f>
        <v/>
      </c>
    </row>
    <row r="52" ht="26" customHeight="1">
      <c r="A52" s="2" t="n">
        <v>51</v>
      </c>
      <c r="B52" s="3" t="inlineStr">
        <is>
          <t>총정리 2탄</t>
        </is>
      </c>
      <c r="C52" s="3" t="inlineStr">
        <is>
          <t>만능동사 Take</t>
        </is>
      </c>
      <c r="D52" s="4" t="inlineStr">
        <is>
          <t>take</t>
        </is>
      </c>
      <c r="E52" s="11" t="inlineStr">
        <is>
          <t>(시간이) 걸리다</t>
        </is>
      </c>
      <c r="F52" s="11" t="inlineStr">
        <is>
          <t>How long will it take? / Good things take time.</t>
        </is>
      </c>
      <c r="G52" s="11" t="inlineStr">
        <is>
          <t>얼마나 걸릴까요? / 좋은 건 다 시간이 걸리기 마련이죠.</t>
        </is>
      </c>
      <c r="H52" s="5">
        <f>HYPERLINK("https://www.youtube.com/watch?v=IKMtRxARBZY", "영상 보기 ▶")</f>
        <v/>
      </c>
    </row>
    <row r="53" ht="26" customHeight="1">
      <c r="A53" s="6" t="n">
        <v>52</v>
      </c>
      <c r="B53" s="7" t="inlineStr">
        <is>
          <t>총정리 2탄</t>
        </is>
      </c>
      <c r="C53" s="7" t="inlineStr">
        <is>
          <t>만능동사 Take</t>
        </is>
      </c>
      <c r="D53" s="8" t="inlineStr">
        <is>
          <t>take it from here</t>
        </is>
      </c>
      <c r="E53" s="12" t="inlineStr">
        <is>
          <t>여기서부터 책임지고 맡아서 하다</t>
        </is>
      </c>
      <c r="F53" s="12" t="inlineStr">
        <is>
          <t>I'll take it from here.</t>
        </is>
      </c>
      <c r="G53" s="12" t="inlineStr">
        <is>
          <t>여기서부터는 제가 맡아서 처리할게요.</t>
        </is>
      </c>
      <c r="H53" s="9">
        <f>HYPERLINK("https://www.youtube.com/watch?v=IKMtRxARBZY", "영상 보기 ▶")</f>
        <v/>
      </c>
    </row>
    <row r="54" ht="26" customHeight="1">
      <c r="A54" s="2" t="n">
        <v>53</v>
      </c>
      <c r="B54" s="3" t="inlineStr">
        <is>
          <t>총정리 2탄</t>
        </is>
      </c>
      <c r="C54" s="3" t="inlineStr">
        <is>
          <t>만능동사 Take</t>
        </is>
      </c>
      <c r="D54" s="4" t="inlineStr">
        <is>
          <t>take (사람) out</t>
        </is>
      </c>
      <c r="E54" s="11" t="inlineStr">
        <is>
          <t>~를 데리고 나가 대접하다/사주다</t>
        </is>
      </c>
      <c r="F54" s="11" t="inlineStr">
        <is>
          <t>I'd love to take you out for coffee sometime.</t>
        </is>
      </c>
      <c r="G54" s="11" t="inlineStr">
        <is>
          <t>언제 커피 한잔 대접해 드리고 싶어요.</t>
        </is>
      </c>
      <c r="H54" s="5">
        <f>HYPERLINK("https://www.youtube.com/watch?v=IKMtRxARBZY", "영상 보기 ▶")</f>
        <v/>
      </c>
    </row>
    <row r="55" ht="26" customHeight="1">
      <c r="A55" s="6" t="n">
        <v>54</v>
      </c>
      <c r="B55" s="7" t="inlineStr">
        <is>
          <t>총정리 2탄</t>
        </is>
      </c>
      <c r="C55" s="7" t="inlineStr">
        <is>
          <t>만능동사 Take</t>
        </is>
      </c>
      <c r="D55" s="8" t="inlineStr">
        <is>
          <t>take responsibility</t>
        </is>
      </c>
      <c r="E55" s="12" t="inlineStr">
        <is>
          <t>~에 대해 책임을 지다</t>
        </is>
      </c>
      <c r="F55" s="12" t="inlineStr">
        <is>
          <t>Take responsibility for your actions.</t>
        </is>
      </c>
      <c r="G55" s="12" t="inlineStr">
        <is>
          <t>너의 행동에 대해 책임을 져라.</t>
        </is>
      </c>
      <c r="H55" s="9">
        <f>HYPERLINK("https://www.youtube.com/watch?v=IKMtRxARBZY", "영상 보기 ▶")</f>
        <v/>
      </c>
    </row>
    <row r="56" ht="26" customHeight="1">
      <c r="A56" s="2" t="n">
        <v>55</v>
      </c>
      <c r="B56" s="3" t="inlineStr">
        <is>
          <t>총정리 2탄</t>
        </is>
      </c>
      <c r="C56" s="3" t="inlineStr">
        <is>
          <t>만능동사 Take</t>
        </is>
      </c>
      <c r="D56" s="4" t="inlineStr">
        <is>
          <t>take advantage of</t>
        </is>
      </c>
      <c r="E56" s="11" t="inlineStr">
        <is>
          <t>(내게 이득이 되도록) 기회를 활용하다 / 악용하다</t>
        </is>
      </c>
      <c r="F56" s="11" t="inlineStr">
        <is>
          <t>Take advantage of this opportunity.</t>
        </is>
      </c>
      <c r="G56" s="11" t="inlineStr">
        <is>
          <t>이 기회를 잘 활용해 봐.</t>
        </is>
      </c>
      <c r="H56" s="5">
        <f>HYPERLINK("https://www.youtube.com/watch?v=IKMtRxARBZY", "영상 보기 ▶")</f>
        <v/>
      </c>
    </row>
    <row r="57" ht="26" customHeight="1">
      <c r="A57" s="6" t="n">
        <v>56</v>
      </c>
      <c r="B57" s="7" t="inlineStr">
        <is>
          <t>총정리 2탄</t>
        </is>
      </c>
      <c r="C57" s="7" t="inlineStr">
        <is>
          <t>사교 표현</t>
        </is>
      </c>
      <c r="D57" s="8" t="inlineStr">
        <is>
          <t>hospitality</t>
        </is>
      </c>
      <c r="E57" s="12" t="inlineStr">
        <is>
          <t>환대 (I don't want to take advantage of your hospitality)</t>
        </is>
      </c>
      <c r="F57" s="12" t="inlineStr">
        <is>
          <t>I don't want to take advantage of your hospitality.</t>
        </is>
      </c>
      <c r="G57" s="12" t="inlineStr">
        <is>
          <t>환대를 악용하고 싶지 않아요 (계속 신세를 질 순 없죠).</t>
        </is>
      </c>
      <c r="H57" s="9">
        <f>HYPERLINK("https://www.youtube.com/watch?v=IKMtRxARBZY", "영상 보기 ▶")</f>
        <v/>
      </c>
    </row>
    <row r="58" ht="26" customHeight="1">
      <c r="A58" s="2" t="n">
        <v>57</v>
      </c>
      <c r="B58" s="3" t="inlineStr">
        <is>
          <t>총정리 2탄</t>
        </is>
      </c>
      <c r="C58" s="3" t="inlineStr">
        <is>
          <t>만능동사 Take</t>
        </is>
      </c>
      <c r="D58" s="4" t="inlineStr">
        <is>
          <t>take off</t>
        </is>
      </c>
      <c r="E58" s="11" t="inlineStr">
        <is>
          <t>① 옷/신발을 벗다 ② 이륙하다/가다 ③ 쉬다</t>
        </is>
      </c>
      <c r="F58" s="11" t="inlineStr">
        <is>
          <t>I gotta take off.</t>
        </is>
      </c>
      <c r="G58" s="11" t="inlineStr">
        <is>
          <t>나 이제 가봐야 해.</t>
        </is>
      </c>
      <c r="H58" s="5">
        <f>HYPERLINK("https://www.youtube.com/watch?v=IKMtRxARBZY", "영상 보기 ▶")</f>
        <v/>
      </c>
    </row>
    <row r="59" ht="26" customHeight="1">
      <c r="A59" s="6" t="n">
        <v>58</v>
      </c>
      <c r="B59" s="7" t="inlineStr">
        <is>
          <t>총정리 2탄</t>
        </is>
      </c>
      <c r="C59" s="7" t="inlineStr">
        <is>
          <t>조동사 must</t>
        </is>
      </c>
      <c r="D59" s="8" t="inlineStr">
        <is>
          <t>must (환영/위로)</t>
        </is>
      </c>
      <c r="E59" s="12" t="inlineStr">
        <is>
          <t>~임에 틀림없다 (격한 환영 &amp; 공감 위로)</t>
        </is>
      </c>
      <c r="F59" s="12" t="inlineStr">
        <is>
          <t>You must be Alex! / That must be hard.</t>
        </is>
      </c>
      <c r="G59" s="12" t="inlineStr">
        <is>
          <t>너가 알렉스구나! / 정말 힘들겠어요.</t>
        </is>
      </c>
      <c r="H59" s="9">
        <f>HYPERLINK("https://www.youtube.com/watch?v=IKMtRxARBZY", "영상 보기 ▶")</f>
        <v/>
      </c>
    </row>
    <row r="60" ht="26" customHeight="1">
      <c r="A60" s="2" t="n">
        <v>59</v>
      </c>
      <c r="B60" s="3" t="inlineStr">
        <is>
          <t>총정리 2탄</t>
        </is>
      </c>
      <c r="C60" s="3" t="inlineStr">
        <is>
          <t>인간관계</t>
        </is>
      </c>
      <c r="D60" s="4" t="inlineStr">
        <is>
          <t>speak highly of</t>
        </is>
      </c>
      <c r="E60" s="11" t="inlineStr">
        <is>
          <t>~에 대해 좋은 얘기를 많이 하다/칭찬하다</t>
        </is>
      </c>
      <c r="F60" s="11" t="inlineStr">
        <is>
          <t>Everyone speaks highly of you.</t>
        </is>
      </c>
      <c r="G60" s="11" t="inlineStr">
        <is>
          <t>다들 당신에 대해 칭찬을 정말 많이 하더라고요.</t>
        </is>
      </c>
      <c r="H60" s="5">
        <f>HYPERLINK("https://www.youtube.com/watch?v=IKMtRxARBZY", "영상 보기 ▶")</f>
        <v/>
      </c>
    </row>
    <row r="61" ht="26" customHeight="1">
      <c r="A61" s="6" t="n">
        <v>60</v>
      </c>
      <c r="B61" s="7" t="inlineStr">
        <is>
          <t>총정리 2탄</t>
        </is>
      </c>
      <c r="C61" s="7" t="inlineStr">
        <is>
          <t>칭찬 표현</t>
        </is>
      </c>
      <c r="D61" s="8" t="inlineStr">
        <is>
          <t>suit</t>
        </is>
      </c>
      <c r="E61" s="12" t="inlineStr">
        <is>
          <t>잘 어울리다</t>
        </is>
      </c>
      <c r="F61" s="12" t="inlineStr">
        <is>
          <t>It suits you well.</t>
        </is>
      </c>
      <c r="G61" s="12" t="inlineStr">
        <is>
          <t>너한테 정말 잘 어울린다.</t>
        </is>
      </c>
      <c r="H61" s="9">
        <f>HYPERLINK("https://www.youtube.com/watch?v=IKMtRxARBZY", "영상 보기 ▶")</f>
        <v/>
      </c>
    </row>
    <row r="62" ht="26" customHeight="1">
      <c r="A62" s="2" t="n">
        <v>61</v>
      </c>
      <c r="B62" s="3" t="inlineStr">
        <is>
          <t>총정리 2탄</t>
        </is>
      </c>
      <c r="C62" s="3" t="inlineStr">
        <is>
          <t>칭찬 표현</t>
        </is>
      </c>
      <c r="D62" s="4" t="inlineStr">
        <is>
          <t>I like your ~</t>
        </is>
      </c>
      <c r="E62" s="11" t="inlineStr">
        <is>
          <t>(외모 대신 옷/장신구 칭찬) ~가 마음에 드네/예쁘네</t>
        </is>
      </c>
      <c r="F62" s="11" t="inlineStr">
        <is>
          <t>I like your shirt.</t>
        </is>
      </c>
      <c r="G62" s="11" t="inlineStr">
        <is>
          <t>셔츠가 아주 예쁜데요/마음에 들어요.</t>
        </is>
      </c>
      <c r="H62" s="5">
        <f>HYPERLINK("https://www.youtube.com/watch?v=IKMtRxARBZY", "영상 보기 ▶")</f>
        <v/>
      </c>
    </row>
    <row r="63" ht="26" customHeight="1">
      <c r="A63" s="6" t="n">
        <v>62</v>
      </c>
      <c r="B63" s="7" t="inlineStr">
        <is>
          <t>총정리 2탄</t>
        </is>
      </c>
      <c r="C63" s="7" t="inlineStr">
        <is>
          <t>공손한 질문</t>
        </is>
      </c>
      <c r="D63" s="8" t="inlineStr">
        <is>
          <t>If you don't mind me asking,</t>
        </is>
      </c>
      <c r="E63" s="12" t="inlineStr">
        <is>
          <t>이런 질문 드려도 될지 모르겠지만,</t>
        </is>
      </c>
      <c r="F63" s="12" t="inlineStr">
        <is>
          <t>If you don't mind me asking, what do you do?</t>
        </is>
      </c>
      <c r="G63" s="12" t="inlineStr">
        <is>
          <t>실례가 안 된다면 하시는 일이 어떻게 되세요?</t>
        </is>
      </c>
      <c r="H63" s="9">
        <f>HYPERLINK("https://www.youtube.com/watch?v=IKMtRxARBZY", "영상 보기 ▶")</f>
        <v/>
      </c>
    </row>
    <row r="64" ht="26" customHeight="1">
      <c r="A64" s="2" t="n">
        <v>63</v>
      </c>
      <c r="B64" s="3" t="inlineStr">
        <is>
          <t>총정리 2탄</t>
        </is>
      </c>
      <c r="C64" s="3" t="inlineStr">
        <is>
          <t>열린 질문</t>
        </is>
      </c>
      <c r="D64" s="4" t="inlineStr">
        <is>
          <t>How was ~?</t>
        </is>
      </c>
      <c r="E64" s="11" t="inlineStr">
        <is>
          <t>(Did보다 긴 답변 유도) ~는 어땠어?</t>
        </is>
      </c>
      <c r="F64" s="11" t="inlineStr">
        <is>
          <t>How was your day?</t>
        </is>
      </c>
      <c r="G64" s="11" t="inlineStr">
        <is>
          <t>오늘 하루 어땠어?</t>
        </is>
      </c>
      <c r="H64" s="5">
        <f>HYPERLINK("https://www.youtube.com/watch?v=IKMtRxARBZY", "영상 보기 ▶")</f>
        <v/>
      </c>
    </row>
    <row r="65" ht="26" customHeight="1">
      <c r="A65" s="6" t="n">
        <v>64</v>
      </c>
      <c r="B65" s="7" t="inlineStr">
        <is>
          <t>총정리 2탄</t>
        </is>
      </c>
      <c r="C65" s="7" t="inlineStr">
        <is>
          <t>안부 답변</t>
        </is>
      </c>
      <c r="D65" s="8" t="inlineStr">
        <is>
          <t>Same old, same old</t>
        </is>
      </c>
      <c r="E65" s="12" t="inlineStr">
        <is>
          <t>늘 똑같지 뭐, 그저 그래</t>
        </is>
      </c>
      <c r="F65" s="12" t="inlineStr">
        <is>
          <t>How's work? - Same old, same old.</t>
        </is>
      </c>
      <c r="G65" s="12" t="inlineStr">
        <is>
          <t>일은 어때? - 늘 똑같지 뭐.</t>
        </is>
      </c>
      <c r="H65" s="9">
        <f>HYPERLINK("https://www.youtube.com/watch?v=IKMtRxARBZY", "영상 보기 ▶")</f>
        <v/>
      </c>
    </row>
    <row r="66" ht="26" customHeight="1">
      <c r="A66" s="2" t="n">
        <v>65</v>
      </c>
      <c r="B66" s="3" t="inlineStr">
        <is>
          <t>총정리 2탄</t>
        </is>
      </c>
      <c r="C66" s="3" t="inlineStr">
        <is>
          <t>일정 회화</t>
        </is>
      </c>
      <c r="D66" s="4" t="inlineStr">
        <is>
          <t>have plans</t>
        </is>
      </c>
      <c r="E66" s="11" t="inlineStr">
        <is>
          <t>(지인과의) 약속이 있다 (appointment와 구분)</t>
        </is>
      </c>
      <c r="F66" s="11" t="inlineStr">
        <is>
          <t>I already have plans.</t>
        </is>
      </c>
      <c r="G66" s="11" t="inlineStr">
        <is>
          <t>나 이미 선약이 있어.</t>
        </is>
      </c>
      <c r="H66" s="5">
        <f>HYPERLINK("https://www.youtube.com/watch?v=IKMtRxARBZY", "영상 보기 ▶")</f>
        <v/>
      </c>
    </row>
    <row r="67" ht="26" customHeight="1">
      <c r="A67" s="6" t="n">
        <v>66</v>
      </c>
      <c r="B67" s="7" t="inlineStr">
        <is>
          <t>총정리 2탄</t>
        </is>
      </c>
      <c r="C67" s="7" t="inlineStr">
        <is>
          <t>구어 표현</t>
        </is>
      </c>
      <c r="D67" s="8" t="inlineStr">
        <is>
          <t>freak</t>
        </is>
      </c>
      <c r="E67" s="12" t="inlineStr">
        <is>
          <t>괴짜, ~에 광적으로 관심이 많은 사람</t>
        </is>
      </c>
      <c r="F67" s="12" t="inlineStr">
        <is>
          <t>He's a neat freak.</t>
        </is>
      </c>
      <c r="G67" s="12" t="inlineStr">
        <is>
          <t>그 사람은 결벽증/깔끔쟁이야.</t>
        </is>
      </c>
      <c r="H67" s="9">
        <f>HYPERLINK("https://www.youtube.com/watch?v=IKMtRxARBZY", "영상 보기 ▶")</f>
        <v/>
      </c>
    </row>
    <row r="68" ht="26" customHeight="1">
      <c r="A68" s="2" t="n">
        <v>67</v>
      </c>
      <c r="B68" s="3" t="inlineStr">
        <is>
          <t>총정리 2탄</t>
        </is>
      </c>
      <c r="C68" s="3" t="inlineStr">
        <is>
          <t>감정 표현</t>
        </is>
      </c>
      <c r="D68" s="4" t="inlineStr">
        <is>
          <t>freak out</t>
        </is>
      </c>
      <c r="E68" s="11" t="inlineStr">
        <is>
          <t>깜짝 놀라다, 멘붕 오다, 어쩔 줄 몰라하다</t>
        </is>
      </c>
      <c r="F68" s="11" t="inlineStr">
        <is>
          <t>Don't freak out.</t>
        </is>
      </c>
      <c r="G68" s="11" t="inlineStr">
        <is>
          <t>너무 당황하지 마 / 멘붕 오지 마.</t>
        </is>
      </c>
      <c r="H68" s="5">
        <f>HYPERLINK("https://www.youtube.com/watch?v=IKMtRxARBZY", "영상 보기 ▶")</f>
        <v/>
      </c>
    </row>
    <row r="69" ht="26" customHeight="1">
      <c r="A69" s="6" t="n">
        <v>68</v>
      </c>
      <c r="B69" s="7" t="inlineStr">
        <is>
          <t>총정리 2탄</t>
        </is>
      </c>
      <c r="C69" s="7" t="inlineStr">
        <is>
          <t>구어 표현</t>
        </is>
      </c>
      <c r="D69" s="8" t="inlineStr">
        <is>
          <t>legit (= legitimate)</t>
        </is>
      </c>
      <c r="E69" s="12" t="inlineStr">
        <is>
          <t>합법적인, (누가 봐도 인정할 만큼) 찐인, 끝내주는</t>
        </is>
      </c>
      <c r="F69" s="12" t="inlineStr">
        <is>
          <t>This place is legit.</t>
        </is>
      </c>
      <c r="G69" s="12" t="inlineStr">
        <is>
          <t>여기 진짜 찐이다 / 제대로네.</t>
        </is>
      </c>
      <c r="H69" s="9">
        <f>HYPERLINK("https://www.youtube.com/watch?v=IKMtRxARBZY", "영상 보기 ▶")</f>
        <v/>
      </c>
    </row>
    <row r="70" ht="26" customHeight="1">
      <c r="A70" s="2" t="n">
        <v>69</v>
      </c>
      <c r="B70" s="3" t="inlineStr">
        <is>
          <t>총정리 2탄</t>
        </is>
      </c>
      <c r="C70" s="3" t="inlineStr">
        <is>
          <t>가격 표현</t>
        </is>
      </c>
      <c r="D70" s="4" t="inlineStr">
        <is>
          <t>cheap</t>
        </is>
      </c>
      <c r="E70" s="11" t="inlineStr">
        <is>
          <t>(품질 보장 없이) 가격만 싼, 싸구려의</t>
        </is>
      </c>
      <c r="F70" s="11" t="inlineStr">
        <is>
          <t>It feels a bit cheap.</t>
        </is>
      </c>
      <c r="G70" s="11" t="inlineStr">
        <is>
          <t>약간 싸구려 느낌이 나.</t>
        </is>
      </c>
      <c r="H70" s="5">
        <f>HYPERLINK("https://www.youtube.com/watch?v=IKMtRxARBZY", "영상 보기 ▶")</f>
        <v/>
      </c>
    </row>
    <row r="71" ht="26" customHeight="1">
      <c r="A71" s="6" t="n">
        <v>70</v>
      </c>
      <c r="B71" s="7" t="inlineStr">
        <is>
          <t>총정리 2탄</t>
        </is>
      </c>
      <c r="C71" s="7" t="inlineStr">
        <is>
          <t>가격 표현</t>
        </is>
      </c>
      <c r="D71" s="8" t="inlineStr">
        <is>
          <t>affordable</t>
        </is>
      </c>
      <c r="E71" s="12" t="inlineStr">
        <is>
          <t>가격이 적당한, 감당할 만한 비용인</t>
        </is>
      </c>
      <c r="F71" s="12" t="inlineStr">
        <is>
          <t>It's very affordable.</t>
        </is>
      </c>
      <c r="G71" s="12" t="inlineStr">
        <is>
          <t>가격이 아주 합리적이고 부담 없어요.</t>
        </is>
      </c>
      <c r="H71" s="9">
        <f>HYPERLINK("https://www.youtube.com/watch?v=IKMtRxARBZY", "영상 보기 ▶")</f>
        <v/>
      </c>
    </row>
    <row r="72" ht="26" customHeight="1">
      <c r="A72" s="2" t="n">
        <v>71</v>
      </c>
      <c r="B72" s="3" t="inlineStr">
        <is>
          <t>총정리 2탄</t>
        </is>
      </c>
      <c r="C72" s="3" t="inlineStr">
        <is>
          <t>소비 습관</t>
        </is>
      </c>
      <c r="D72" s="4" t="inlineStr">
        <is>
          <t>be smart with money</t>
        </is>
      </c>
      <c r="E72" s="11" t="inlineStr">
        <is>
          <t>현명한 소비습관을 지니다</t>
        </is>
      </c>
      <c r="F72" s="11" t="inlineStr">
        <is>
          <t>She is smart with money.</t>
        </is>
      </c>
      <c r="G72" s="11" t="inlineStr">
        <is>
          <t>그녀는 돈을 똑똑하게 잘 써요.</t>
        </is>
      </c>
      <c r="H72" s="5">
        <f>HYPERLINK("https://www.youtube.com/watch?v=IKMtRxARBZY", "영상 보기 ▶")</f>
        <v/>
      </c>
    </row>
    <row r="73" ht="26" customHeight="1">
      <c r="A73" s="6" t="n">
        <v>72</v>
      </c>
      <c r="B73" s="7" t="inlineStr">
        <is>
          <t>총정리 2탄</t>
        </is>
      </c>
      <c r="C73" s="7" t="inlineStr">
        <is>
          <t>상태 표현</t>
        </is>
      </c>
      <c r="D73" s="8" t="inlineStr">
        <is>
          <t>weird</t>
        </is>
      </c>
      <c r="E73" s="12" t="inlineStr">
        <is>
          <t>(내 상식/경험과 달라) 이상한</t>
        </is>
      </c>
      <c r="F73" s="12" t="inlineStr">
        <is>
          <t>That's weird.</t>
        </is>
      </c>
      <c r="G73" s="12" t="inlineStr">
        <is>
          <t>그거 참 이상하네.</t>
        </is>
      </c>
      <c r="H73" s="9">
        <f>HYPERLINK("https://www.youtube.com/watch?v=IKMtRxARBZY", "영상 보기 ▶")</f>
        <v/>
      </c>
    </row>
    <row r="74" ht="26" customHeight="1">
      <c r="A74" s="2" t="n">
        <v>73</v>
      </c>
      <c r="B74" s="3" t="inlineStr">
        <is>
          <t>총정리 2탄</t>
        </is>
      </c>
      <c r="C74" s="3" t="inlineStr">
        <is>
          <t>구어 뉘앙스</t>
        </is>
      </c>
      <c r="D74" s="4" t="inlineStr">
        <is>
          <t>kind of / sort of</t>
        </is>
      </c>
      <c r="E74" s="11" t="inlineStr">
        <is>
          <t>약간, 어느 정도, 말하자면</t>
        </is>
      </c>
      <c r="F74" s="11" t="inlineStr">
        <is>
          <t>I'm kind of tired.</t>
        </is>
      </c>
      <c r="G74" s="11" t="inlineStr">
        <is>
          <t>나 약간 피곤해.</t>
        </is>
      </c>
      <c r="H74" s="5">
        <f>HYPERLINK("https://www.youtube.com/watch?v=IKMtRxARBZY", "영상 보기 ▶")</f>
        <v/>
      </c>
    </row>
    <row r="75" ht="26" customHeight="1">
      <c r="A75" s="6" t="n">
        <v>74</v>
      </c>
      <c r="B75" s="7" t="inlineStr">
        <is>
          <t>총정리 2탄</t>
        </is>
      </c>
      <c r="C75" s="7" t="inlineStr">
        <is>
          <t>상황 표현</t>
        </is>
      </c>
      <c r="D75" s="8" t="inlineStr">
        <is>
          <t>mess</t>
        </is>
      </c>
      <c r="E75" s="12" t="inlineStr">
        <is>
          <t>엉망진창인 상태/상황</t>
        </is>
      </c>
      <c r="F75" s="12" t="inlineStr">
        <is>
          <t>My desk is a mess.</t>
        </is>
      </c>
      <c r="G75" s="12" t="inlineStr">
        <is>
          <t>내 책상이 완전 난장판이야.</t>
        </is>
      </c>
      <c r="H75" s="9">
        <f>HYPERLINK("https://www.youtube.com/watch?v=IKMtRxARBZY", "영상 보기 ▶")</f>
        <v/>
      </c>
    </row>
    <row r="76" ht="26" customHeight="1">
      <c r="A76" s="2" t="n">
        <v>75</v>
      </c>
      <c r="B76" s="3" t="inlineStr">
        <is>
          <t>총정리 2탄</t>
        </is>
      </c>
      <c r="C76" s="3" t="inlineStr">
        <is>
          <t>실수/상황</t>
        </is>
      </c>
      <c r="D76" s="4" t="inlineStr">
        <is>
          <t>mess up</t>
        </is>
      </c>
      <c r="E76" s="11" t="inlineStr">
        <is>
          <t>~를 엉망으로 만들다, 망치다</t>
        </is>
      </c>
      <c r="F76" s="11" t="inlineStr">
        <is>
          <t>I messed up.</t>
        </is>
      </c>
      <c r="G76" s="11" t="inlineStr">
        <is>
          <t>내가 일을 망쳤어 / 큰 실수했어.</t>
        </is>
      </c>
      <c r="H76" s="5">
        <f>HYPERLINK("https://www.youtube.com/watch?v=IKMtRxARBZY", "영상 보기 ▶")</f>
        <v/>
      </c>
    </row>
    <row r="77" ht="26" customHeight="1">
      <c r="A77" s="6" t="n">
        <v>76</v>
      </c>
      <c r="B77" s="7" t="inlineStr">
        <is>
          <t>총정리 2탄</t>
        </is>
      </c>
      <c r="C77" s="7" t="inlineStr">
        <is>
          <t>예측 표현</t>
        </is>
      </c>
      <c r="D77" s="8" t="inlineStr">
        <is>
          <t>I saw this coming</t>
        </is>
      </c>
      <c r="E77" s="12" t="inlineStr">
        <is>
          <t>이럴 줄 알았어 / 이렇게 될 줄 알았어</t>
        </is>
      </c>
      <c r="F77" s="12" t="inlineStr">
        <is>
          <t>I saw this coming.</t>
        </is>
      </c>
      <c r="G77" s="12" t="inlineStr">
        <is>
          <t>나 이렇게 될 줄 진작에 알았어.</t>
        </is>
      </c>
      <c r="H77" s="9">
        <f>HYPERLINK("https://www.youtube.com/watch?v=IKMtRxARBZY", "영상 보기 ▶")</f>
        <v/>
      </c>
    </row>
    <row r="78" ht="26" customHeight="1">
      <c r="A78" s="2" t="n">
        <v>77</v>
      </c>
      <c r="B78" s="3" t="inlineStr">
        <is>
          <t>총정리 2탄</t>
        </is>
      </c>
      <c r="C78" s="3" t="inlineStr">
        <is>
          <t>방문 인사</t>
        </is>
      </c>
      <c r="D78" s="4" t="inlineStr">
        <is>
          <t>What brings you here?</t>
        </is>
      </c>
      <c r="E78" s="11" t="inlineStr">
        <is>
          <t>여기 웬일로 오셨어요? / 무슨 일로 오셨어요?</t>
        </is>
      </c>
      <c r="F78" s="11" t="inlineStr">
        <is>
          <t>Hey, what brings you here?</t>
        </is>
      </c>
      <c r="G78" s="11" t="inlineStr">
        <is>
          <t>어, 여기 어쩐 일로 오셨어요?</t>
        </is>
      </c>
      <c r="H78" s="5">
        <f>HYPERLINK("https://www.youtube.com/watch?v=IKMtRxARBZY", "영상 보기 ▶")</f>
        <v/>
      </c>
    </row>
    <row r="79" ht="26" customHeight="1">
      <c r="A79" s="6" t="n">
        <v>78</v>
      </c>
      <c r="B79" s="7" t="inlineStr">
        <is>
          <t>총정리 2탄</t>
        </is>
      </c>
      <c r="C79" s="7" t="inlineStr">
        <is>
          <t>소통 방식</t>
        </is>
      </c>
      <c r="D79" s="8" t="inlineStr">
        <is>
          <t>in person</t>
        </is>
      </c>
      <c r="E79" s="12" t="inlineStr">
        <is>
          <t>직접, 대면하여 (= face to face)</t>
        </is>
      </c>
      <c r="F79" s="12" t="inlineStr">
        <is>
          <t>It's great to meet you in person.</t>
        </is>
      </c>
      <c r="G79" s="12" t="inlineStr">
        <is>
          <t>직접 뵙게 되어 정말 반갑습니다.</t>
        </is>
      </c>
      <c r="H79" s="9">
        <f>HYPERLINK("https://www.youtube.com/watch?v=IKMtRxARBZY", "영상 보기 ▶")</f>
        <v/>
      </c>
    </row>
    <row r="80" ht="26" customHeight="1">
      <c r="A80" s="2" t="n">
        <v>79</v>
      </c>
      <c r="B80" s="3" t="inlineStr">
        <is>
          <t>총정리 2탄</t>
        </is>
      </c>
      <c r="C80" s="3" t="inlineStr">
        <is>
          <t>연락 소통</t>
        </is>
      </c>
      <c r="D80" s="4" t="inlineStr">
        <is>
          <t>reach</t>
        </is>
      </c>
      <c r="E80" s="11" t="inlineStr">
        <is>
          <t>(전화/이메일/문자로) 연락이 닿다</t>
        </is>
      </c>
      <c r="F80" s="11" t="inlineStr">
        <is>
          <t>How can I reach you?</t>
        </is>
      </c>
      <c r="G80" s="11" t="inlineStr">
        <is>
          <t>어디로 연락드리면 될까요?</t>
        </is>
      </c>
      <c r="H80" s="5">
        <f>HYPERLINK("https://www.youtube.com/watch?v=IKMtRxARBZY", "영상 보기 ▶")</f>
        <v/>
      </c>
    </row>
    <row r="81" ht="26" customHeight="1">
      <c r="A81" s="6" t="n">
        <v>80</v>
      </c>
      <c r="B81" s="7" t="inlineStr">
        <is>
          <t>총정리 2탄</t>
        </is>
      </c>
      <c r="C81" s="7" t="inlineStr">
        <is>
          <t>기분 표현</t>
        </is>
      </c>
      <c r="D81" s="8" t="inlineStr">
        <is>
          <t>be in the mood for</t>
        </is>
      </c>
      <c r="E81" s="12" t="inlineStr">
        <is>
          <t>~하고/먹고/보고 싶은 기분이다</t>
        </is>
      </c>
      <c r="F81" s="12" t="inlineStr">
        <is>
          <t>I'm in the mood for pizza.</t>
        </is>
      </c>
      <c r="G81" s="12" t="inlineStr">
        <is>
          <t>나 오늘 피자 먹고 싶은 기분이야.</t>
        </is>
      </c>
      <c r="H81" s="9">
        <f>HYPERLINK("https://www.youtube.com/watch?v=IKMtRxARBZY", "영상 보기 ▶")</f>
        <v/>
      </c>
    </row>
    <row r="82" ht="26" customHeight="1">
      <c r="A82" s="2" t="n">
        <v>81</v>
      </c>
      <c r="B82" s="3" t="inlineStr">
        <is>
          <t>총정리 2탄</t>
        </is>
      </c>
      <c r="C82" s="3" t="inlineStr">
        <is>
          <t>배려 표현</t>
        </is>
      </c>
      <c r="D82" s="4" t="inlineStr">
        <is>
          <t>Is there anything I can do?</t>
        </is>
      </c>
      <c r="E82" s="11" t="inlineStr">
        <is>
          <t>내가 도울 수 있는 게 뭐라도 있을까?</t>
        </is>
      </c>
      <c r="F82" s="11" t="inlineStr">
        <is>
          <t>Is there anything I can do to help?</t>
        </is>
      </c>
      <c r="G82" s="11" t="inlineStr">
        <is>
          <t>내가 도와줄 수 있는 게 뭐라도 있을까?</t>
        </is>
      </c>
      <c r="H82" s="5">
        <f>HYPERLINK("https://www.youtube.com/watch?v=IKMtRxARBZY", "영상 보기 ▶")</f>
        <v/>
      </c>
    </row>
    <row r="83" ht="26" customHeight="1">
      <c r="A83" s="6" t="n">
        <v>82</v>
      </c>
      <c r="B83" s="7" t="inlineStr">
        <is>
          <t>총정리 2탄</t>
        </is>
      </c>
      <c r="C83" s="7" t="inlineStr">
        <is>
          <t>단어 뉘앙스</t>
        </is>
      </c>
      <c r="D83" s="8" t="inlineStr">
        <is>
          <t>else</t>
        </is>
      </c>
      <c r="E83" s="12" t="inlineStr">
        <is>
          <t>또, 다른 (그 밖에)</t>
        </is>
      </c>
      <c r="F83" s="12" t="inlineStr">
        <is>
          <t>Anything else?</t>
        </is>
      </c>
      <c r="G83" s="12" t="inlineStr">
        <is>
          <t>그 밖에 더 필요한 거 있으세요?</t>
        </is>
      </c>
      <c r="H83" s="9">
        <f>HYPERLINK("https://www.youtube.com/watch?v=IKMtRxARBZY", "영상 보기 ▶")</f>
        <v/>
      </c>
    </row>
    <row r="84" ht="26" customHeight="1">
      <c r="A84" s="2" t="n">
        <v>83</v>
      </c>
      <c r="B84" s="3" t="inlineStr">
        <is>
          <t>총정리 2탄</t>
        </is>
      </c>
      <c r="C84" s="3" t="inlineStr">
        <is>
          <t>정중한 제안</t>
        </is>
      </c>
      <c r="D84" s="4" t="inlineStr">
        <is>
          <t>Allow me to + 동사원형</t>
        </is>
      </c>
      <c r="E84" s="11" t="inlineStr">
        <is>
          <t>제가 ~하도록 허락해 주세요 (제가 ~해 드릴게요)</t>
        </is>
      </c>
      <c r="F84" s="11" t="inlineStr">
        <is>
          <t>Allow me to introduce myself.</t>
        </is>
      </c>
      <c r="G84" s="11" t="inlineStr">
        <is>
          <t>제 소개를 드리겠습니다.</t>
        </is>
      </c>
      <c r="H84" s="5">
        <f>HYPERLINK("https://www.youtube.com/watch?v=IKMtRxARBZY", "영상 보기 ▶")</f>
        <v/>
      </c>
    </row>
    <row r="85" ht="26" customHeight="1">
      <c r="A85" s="6" t="n">
        <v>84</v>
      </c>
      <c r="B85" s="7" t="inlineStr">
        <is>
          <t>총정리 2탄</t>
        </is>
      </c>
      <c r="C85" s="7" t="inlineStr">
        <is>
          <t>업무 소통</t>
        </is>
      </c>
      <c r="D85" s="8" t="inlineStr">
        <is>
          <t>get back to (사람)</t>
        </is>
      </c>
      <c r="E85" s="12" t="inlineStr">
        <is>
          <t>~에게 나중에 연락하다/답변하다</t>
        </is>
      </c>
      <c r="F85" s="12" t="inlineStr">
        <is>
          <t>I'll get back to you soon.</t>
        </is>
      </c>
      <c r="G85" s="12" t="inlineStr">
        <is>
          <t>확인 후 곧 답변드리겠습니다.</t>
        </is>
      </c>
      <c r="H85" s="9">
        <f>HYPERLINK("https://www.youtube.com/watch?v=IKMtRxARBZY", "영상 보기 ▶")</f>
        <v/>
      </c>
    </row>
    <row r="86" ht="26" customHeight="1">
      <c r="A86" s="2" t="n">
        <v>85</v>
      </c>
      <c r="B86" s="3" t="inlineStr">
        <is>
          <t>총정리 2탄</t>
        </is>
      </c>
      <c r="C86" s="3" t="inlineStr">
        <is>
          <t>비즈니스</t>
        </is>
      </c>
      <c r="D86" s="4" t="inlineStr">
        <is>
          <t>area of expertise</t>
        </is>
      </c>
      <c r="E86" s="11" t="inlineStr">
        <is>
          <t>전문 분야</t>
        </is>
      </c>
      <c r="F86" s="11" t="inlineStr">
        <is>
          <t>That's not my area of expertise.</t>
        </is>
      </c>
      <c r="G86" s="11" t="inlineStr">
        <is>
          <t>그건 제 전문 분야가 아닙니다.</t>
        </is>
      </c>
      <c r="H86" s="5">
        <f>HYPERLINK("https://www.youtube.com/watch?v=IKMtRxARBZY", "영상 보기 ▶")</f>
        <v/>
      </c>
    </row>
    <row r="87" ht="26" customHeight="1">
      <c r="A87" s="6" t="n">
        <v>86</v>
      </c>
      <c r="B87" s="7" t="inlineStr">
        <is>
          <t>총정리 2탄</t>
        </is>
      </c>
      <c r="C87" s="7" t="inlineStr">
        <is>
          <t>정중한 감사</t>
        </is>
      </c>
      <c r="D87" s="8" t="inlineStr">
        <is>
          <t>Thank you for taking time out of your busy schedule</t>
        </is>
      </c>
      <c r="E87" s="12" t="inlineStr">
        <is>
          <t>바쁜 일정 중에 시간 내주셔서 감사합니다</t>
        </is>
      </c>
      <c r="F87" s="12" t="inlineStr">
        <is>
          <t>Thank you for taking time out of your busy schedule.</t>
        </is>
      </c>
      <c r="G87" s="12" t="inlineStr">
        <is>
          <t>바쁘신 와중에 시간 내주셔서 감사드립니다.</t>
        </is>
      </c>
      <c r="H87" s="9">
        <f>HYPERLINK("https://www.youtube.com/watch?v=IKMtRxARBZY", "영상 보기 ▶")</f>
        <v/>
      </c>
    </row>
    <row r="88" ht="26" customHeight="1">
      <c r="A88" s="2" t="n">
        <v>87</v>
      </c>
      <c r="B88" s="3" t="inlineStr">
        <is>
          <t>총정리 2탄</t>
        </is>
      </c>
      <c r="C88" s="3" t="inlineStr">
        <is>
          <t>마무리 표현</t>
        </is>
      </c>
      <c r="D88" s="4" t="inlineStr">
        <is>
          <t>wrap up</t>
        </is>
      </c>
      <c r="E88" s="11" t="inlineStr">
        <is>
          <t>마무리하다 (집에 간다는 보장은 없음)</t>
        </is>
      </c>
      <c r="F88" s="11" t="inlineStr">
        <is>
          <t>Let's wrap up this meeting.</t>
        </is>
      </c>
      <c r="G88" s="11" t="inlineStr">
        <is>
          <t>이번 회의 마무리합시다.</t>
        </is>
      </c>
      <c r="H88" s="5">
        <f>HYPERLINK("https://www.youtube.com/watch?v=IKMtRxARBZY", "영상 보기 ▶")</f>
        <v/>
      </c>
    </row>
    <row r="89" ht="26" customHeight="1">
      <c r="A89" s="6" t="n">
        <v>88</v>
      </c>
      <c r="B89" s="7" t="inlineStr">
        <is>
          <t>총정리 2탄</t>
        </is>
      </c>
      <c r="C89" s="7" t="inlineStr">
        <is>
          <t>퇴근 표현</t>
        </is>
      </c>
      <c r="D89" s="8" t="inlineStr">
        <is>
          <t>call it a day / night</t>
        </is>
      </c>
      <c r="E89" s="12" t="inlineStr">
        <is>
          <t>오늘 일과를 마무리하다 (집에 가자는 뉘앙스)</t>
        </is>
      </c>
      <c r="F89" s="12" t="inlineStr">
        <is>
          <t>Let's call it a day.</t>
        </is>
      </c>
      <c r="G89" s="12" t="inlineStr">
        <is>
          <t>오늘 일은 여기서 마칩시다(퇴근합시다).</t>
        </is>
      </c>
      <c r="H89" s="9">
        <f>HYPERLINK("https://www.youtube.com/watch?v=IKMtRxARBZY", "영상 보기 ▶")</f>
        <v/>
      </c>
    </row>
    <row r="90" ht="26" customHeight="1">
      <c r="A90" s="2" t="n">
        <v>89</v>
      </c>
      <c r="B90" s="3" t="inlineStr">
        <is>
          <t>총정리 2탄</t>
        </is>
      </c>
      <c r="C90" s="3" t="inlineStr">
        <is>
          <t>일상 회화</t>
        </is>
      </c>
      <c r="D90" s="4" t="inlineStr">
        <is>
          <t>errand</t>
        </is>
      </c>
      <c r="E90" s="11" t="inlineStr">
        <is>
          <t>심부름, 볼일, 용무</t>
        </is>
      </c>
      <c r="F90" s="11" t="inlineStr">
        <is>
          <t>I have errands to run.</t>
        </is>
      </c>
      <c r="G90" s="11" t="inlineStr">
        <is>
          <t>나 볼일 보러 다녀와야 해.</t>
        </is>
      </c>
      <c r="H90" s="5">
        <f>HYPERLINK("https://www.youtube.com/watch?v=IKMtRxARBZY", "영상 보기 ▶")</f>
        <v/>
      </c>
    </row>
    <row r="91" ht="26" customHeight="1">
      <c r="A91" s="6" t="n">
        <v>90</v>
      </c>
      <c r="B91" s="7" t="inlineStr">
        <is>
          <t>총정리 2탄</t>
        </is>
      </c>
      <c r="C91" s="7" t="inlineStr">
        <is>
          <t>보상/사과</t>
        </is>
      </c>
      <c r="D91" s="8" t="inlineStr">
        <is>
          <t>make it up to (사람)</t>
        </is>
      </c>
      <c r="E91" s="12" t="inlineStr">
        <is>
          <t>(신세나 잘못을) 만회하다, 보상하다</t>
        </is>
      </c>
      <c r="F91" s="12" t="inlineStr">
        <is>
          <t>I'll make it up to you.</t>
        </is>
      </c>
      <c r="G91" s="12" t="inlineStr">
        <is>
          <t>내가 다음번에 꼭 만회할게/보답할게.</t>
        </is>
      </c>
      <c r="H91" s="9">
        <f>HYPERLINK("https://www.youtube.com/watch?v=IKMtRxARBZY", "영상 보기 ▶")</f>
        <v/>
      </c>
    </row>
    <row r="92" ht="26" customHeight="1">
      <c r="A92" s="2" t="n">
        <v>91</v>
      </c>
      <c r="B92" s="3" t="inlineStr">
        <is>
          <t>총정리 2탄</t>
        </is>
      </c>
      <c r="C92" s="3" t="inlineStr">
        <is>
          <t>사교 표현</t>
        </is>
      </c>
      <c r="D92" s="4" t="inlineStr">
        <is>
          <t>treat</t>
        </is>
      </c>
      <c r="E92" s="11" t="inlineStr">
        <is>
          <t>대접하다, 한턱내다</t>
        </is>
      </c>
      <c r="F92" s="11" t="inlineStr">
        <is>
          <t>It's my treat.</t>
        </is>
      </c>
      <c r="G92" s="11" t="inlineStr">
        <is>
          <t>내가 쏘는 거야 / 내가 대접할게.</t>
        </is>
      </c>
      <c r="H92" s="5">
        <f>HYPERLINK("https://www.youtube.com/watch?v=IKMtRxARBZY", "영상 보기 ▶")</f>
        <v/>
      </c>
    </row>
    <row r="93" ht="26" customHeight="1">
      <c r="A93" s="6" t="n">
        <v>92</v>
      </c>
      <c r="B93" s="7" t="inlineStr">
        <is>
          <t>총정리 2탄</t>
        </is>
      </c>
      <c r="C93" s="7" t="inlineStr">
        <is>
          <t>사교 표현</t>
        </is>
      </c>
      <c r="D93" s="8" t="inlineStr">
        <is>
          <t>~ is on me</t>
        </is>
      </c>
      <c r="E93" s="12" t="inlineStr">
        <is>
          <t>~는 내가 쏠게 / 내가 낼게</t>
        </is>
      </c>
      <c r="F93" s="12" t="inlineStr">
        <is>
          <t>Lunch is on me today.</t>
        </is>
      </c>
      <c r="G93" s="12" t="inlineStr">
        <is>
          <t>오늘 점심은 내가 쏠게.</t>
        </is>
      </c>
      <c r="H93" s="9">
        <f>HYPERLINK("https://www.youtube.com/watch?v=IKMtRxARBZY", "영상 보기 ▶")</f>
        <v/>
      </c>
    </row>
    <row r="94" ht="26" customHeight="1">
      <c r="A94" s="2" t="n">
        <v>93</v>
      </c>
      <c r="B94" s="3" t="inlineStr">
        <is>
          <t>총정리 2탄</t>
        </is>
      </c>
      <c r="C94" s="3" t="inlineStr">
        <is>
          <t>배려 표현</t>
        </is>
      </c>
      <c r="D94" s="4" t="inlineStr">
        <is>
          <t>I insist</t>
        </is>
      </c>
      <c r="E94" s="11" t="inlineStr">
        <is>
          <t>거절 마, 내 뜻대로 해줘</t>
        </is>
      </c>
      <c r="F94" s="11" t="inlineStr">
        <is>
          <t>Please, I insist.</t>
        </is>
      </c>
      <c r="G94" s="11" t="inlineStr">
        <is>
          <t>제발 거절하지 마세요 (제가 낼게요).</t>
        </is>
      </c>
      <c r="H94" s="5">
        <f>HYPERLINK("https://www.youtube.com/watch?v=IKMtRxARBZY", "영상 보기 ▶")</f>
        <v/>
      </c>
    </row>
    <row r="95" ht="26" customHeight="1">
      <c r="A95" s="6" t="n">
        <v>94</v>
      </c>
      <c r="B95" s="7" t="inlineStr">
        <is>
          <t>총정리 2탄</t>
        </is>
      </c>
      <c r="C95" s="7" t="inlineStr">
        <is>
          <t>겸양 표현</t>
        </is>
      </c>
      <c r="D95" s="8" t="inlineStr">
        <is>
          <t>It's the least I can do</t>
        </is>
      </c>
      <c r="E95" s="12" t="inlineStr">
        <is>
          <t>제가 할 수 있는 최소한의 도리입니다</t>
        </is>
      </c>
      <c r="F95" s="12" t="inlineStr">
        <is>
          <t>It's the least I can do.</t>
        </is>
      </c>
      <c r="G95" s="12" t="inlineStr">
        <is>
          <t>당연히 이 정도는 제가 해드려야죠.</t>
        </is>
      </c>
      <c r="H95" s="9">
        <f>HYPERLINK("https://www.youtube.com/watch?v=IKMtRxARBZY", "영상 보기 ▶")</f>
        <v/>
      </c>
    </row>
    <row r="96" ht="26" customHeight="1">
      <c r="A96" s="2" t="n">
        <v>95</v>
      </c>
      <c r="B96" s="3" t="inlineStr">
        <is>
          <t>총정리 2탄</t>
        </is>
      </c>
      <c r="C96" s="3" t="inlineStr">
        <is>
          <t>실수 해명</t>
        </is>
      </c>
      <c r="D96" s="4" t="inlineStr">
        <is>
          <t>honest mistake</t>
        </is>
      </c>
      <c r="E96" s="11" t="inlineStr">
        <is>
          <t>악의 없는 순수한 실수, 부지불식간의 실수</t>
        </is>
      </c>
      <c r="F96" s="11" t="inlineStr">
        <is>
          <t>It was an honest mistake.</t>
        </is>
      </c>
      <c r="G96" s="11" t="inlineStr">
        <is>
          <t>일부러 그런 게 아니라 어쩌다 보니 한 실수였어요.</t>
        </is>
      </c>
      <c r="H96" s="5">
        <f>HYPERLINK("https://www.youtube.com/watch?v=IKMtRxARBZY", "영상 보기 ▶")</f>
        <v/>
      </c>
    </row>
    <row r="97" ht="26" customHeight="1">
      <c r="A97" s="6" t="n">
        <v>96</v>
      </c>
      <c r="B97" s="7" t="inlineStr">
        <is>
          <t>총정리 2탄</t>
        </is>
      </c>
      <c r="C97" s="7" t="inlineStr">
        <is>
          <t>평가 표현</t>
        </is>
      </c>
      <c r="D97" s="8" t="inlineStr">
        <is>
          <t>solid</t>
        </is>
      </c>
      <c r="E97" s="12" t="inlineStr">
        <is>
          <t>믿음직한, 탄탄한, 괜찮은</t>
        </is>
      </c>
      <c r="F97" s="12" t="inlineStr">
        <is>
          <t>He gave a solid presentation.</t>
        </is>
      </c>
      <c r="G97" s="12" t="inlineStr">
        <is>
          <t>그는 아주 탄탄하고 훌륭한 발표를 했어.</t>
        </is>
      </c>
      <c r="H97" s="9">
        <f>HYPERLINK("https://www.youtube.com/watch?v=IKMtRxARBZY", "영상 보기 ▶")</f>
        <v/>
      </c>
    </row>
    <row r="98" ht="26" customHeight="1">
      <c r="A98" s="2" t="n">
        <v>97</v>
      </c>
      <c r="B98" s="3" t="inlineStr">
        <is>
          <t>총정리 2탄</t>
        </is>
      </c>
      <c r="C98" s="3" t="inlineStr">
        <is>
          <t>정보 공유</t>
        </is>
      </c>
      <c r="D98" s="4" t="inlineStr">
        <is>
          <t>Thanks for the heads-up</t>
        </is>
      </c>
      <c r="E98" s="11" t="inlineStr">
        <is>
          <t>미리 귀띔해줘서 고마워 / 미리 알려줘서 고마워</t>
        </is>
      </c>
      <c r="F98" s="11" t="inlineStr">
        <is>
          <t>Thanks for the heads-up.</t>
        </is>
      </c>
      <c r="G98" s="11" t="inlineStr">
        <is>
          <t>미리 알려줘서 고마워.</t>
        </is>
      </c>
      <c r="H98" s="5">
        <f>HYPERLINK("https://www.youtube.com/watch?v=IKMtRxARBZY", "영상 보기 ▶")</f>
        <v/>
      </c>
    </row>
    <row r="99" ht="26" customHeight="1">
      <c r="A99" s="6" t="n">
        <v>98</v>
      </c>
      <c r="B99" s="7" t="inlineStr">
        <is>
          <t>총정리 2탄</t>
        </is>
      </c>
      <c r="C99" s="7" t="inlineStr">
        <is>
          <t>초대 매너</t>
        </is>
      </c>
      <c r="D99" s="8" t="inlineStr">
        <is>
          <t>RSVP</t>
        </is>
      </c>
      <c r="E99" s="12" t="inlineStr">
        <is>
          <t>참석 여부를 회신해 주시기 바랍니다</t>
        </is>
      </c>
      <c r="F99" s="12" t="inlineStr">
        <is>
          <t>Please RSVP by Friday.</t>
        </is>
      </c>
      <c r="G99" s="12" t="inlineStr">
        <is>
          <t>금요일까지 참석 여부를 회신해 주세요.</t>
        </is>
      </c>
      <c r="H99" s="9">
        <f>HYPERLINK("https://www.youtube.com/watch?v=IKMtRxARBZY", "영상 보기 ▶")</f>
        <v/>
      </c>
    </row>
    <row r="100" ht="26" customHeight="1">
      <c r="A100" s="2" t="n">
        <v>99</v>
      </c>
      <c r="B100" s="3" t="inlineStr">
        <is>
          <t>총정리 2탄</t>
        </is>
      </c>
      <c r="C100" s="3" t="inlineStr">
        <is>
          <t>참석 약속</t>
        </is>
      </c>
      <c r="D100" s="4" t="inlineStr">
        <is>
          <t>I'll be there</t>
        </is>
      </c>
      <c r="E100" s="11" t="inlineStr">
        <is>
          <t>(거기에 꼭) 갈게요</t>
        </is>
      </c>
      <c r="F100" s="11" t="inlineStr">
        <is>
          <t>Don't worry, I'll be there.</t>
        </is>
      </c>
      <c r="G100" s="11" t="inlineStr">
        <is>
          <t>걱정 마, 꼭 참석할게.</t>
        </is>
      </c>
      <c r="H100" s="5">
        <f>HYPERLINK("https://www.youtube.com/watch?v=IKMtRxARBZY", "영상 보기 ▶")</f>
        <v/>
      </c>
    </row>
    <row r="101" ht="26" customHeight="1">
      <c r="A101" s="6" t="n">
        <v>100</v>
      </c>
      <c r="B101" s="7" t="inlineStr">
        <is>
          <t>총정리 2탄</t>
        </is>
      </c>
      <c r="C101" s="7" t="inlineStr">
        <is>
          <t>만능동사 make</t>
        </is>
      </c>
      <c r="D101" s="8" t="inlineStr">
        <is>
          <t>make</t>
        </is>
      </c>
      <c r="E101" s="12" t="inlineStr">
        <is>
          <t>(어떤 장소나 시간에) 힘들게 도착하다 / 참석하다</t>
        </is>
      </c>
      <c r="F101" s="12" t="inlineStr">
        <is>
          <t>I don't think I can make it.</t>
        </is>
      </c>
      <c r="G101" s="12" t="inlineStr">
        <is>
          <t>나 거기 못 갈 것 같아 / 제시간에 못 맞출 것 같아.</t>
        </is>
      </c>
      <c r="H101" s="9">
        <f>HYPERLINK("https://www.youtube.com/watch?v=IKMtRxARBZY", "영상 보기 ▶")</f>
        <v/>
      </c>
    </row>
    <row r="102" ht="26" customHeight="1">
      <c r="A102" s="2" t="n">
        <v>101</v>
      </c>
      <c r="B102" s="3" t="inlineStr">
        <is>
          <t>총정리 3탄</t>
        </is>
      </c>
      <c r="C102" s="3" t="inlineStr">
        <is>
          <t>정중한 확인</t>
        </is>
      </c>
      <c r="D102" s="4" t="inlineStr">
        <is>
          <t>Did you get a chance to + 동사원형?</t>
        </is>
      </c>
      <c r="E102" s="11" t="inlineStr">
        <is>
          <t>바쁘시겠지만 혹시 ~할 시간/기회 있으셨나요?</t>
        </is>
      </c>
      <c r="F102" s="11" t="inlineStr">
        <is>
          <t>Did you get a chance to read my email?</t>
        </is>
      </c>
      <c r="G102" s="11" t="inlineStr">
        <is>
          <t>혹시 제 이메일 읽어보실 시간 있으셨나요?</t>
        </is>
      </c>
      <c r="H102" s="5">
        <f>HYPERLINK("https://www.youtube.com/watch?v=WEDvuTDF9hY", "영상 보기 ▶")</f>
        <v/>
      </c>
    </row>
    <row r="103" ht="26" customHeight="1">
      <c r="A103" s="6" t="n">
        <v>102</v>
      </c>
      <c r="B103" s="7" t="inlineStr">
        <is>
          <t>총정리 3탄</t>
        </is>
      </c>
      <c r="C103" s="7" t="inlineStr">
        <is>
          <t>조심스런 질문</t>
        </is>
      </c>
      <c r="D103" s="8" t="inlineStr">
        <is>
          <t>If you don't mind me/my asking ~</t>
        </is>
      </c>
      <c r="E103" s="12" t="inlineStr">
        <is>
          <t>결례가 안 된다면 여쭤봐도 될지 모르겠지만 ~</t>
        </is>
      </c>
      <c r="F103" s="12" t="inlineStr">
        <is>
          <t>If you don't mind me asking, are you married?</t>
        </is>
      </c>
      <c r="G103" s="12" t="inlineStr">
        <is>
          <t>실례가 안 된다면 결혼하셨는지 여쭤봐도 될까요?</t>
        </is>
      </c>
      <c r="H103" s="9">
        <f>HYPERLINK("https://www.youtube.com/watch?v=WEDvuTDF9hY", "영상 보기 ▶")</f>
        <v/>
      </c>
    </row>
    <row r="104" ht="26" customHeight="1">
      <c r="A104" s="2" t="n">
        <v>103</v>
      </c>
      <c r="B104" s="3" t="inlineStr">
        <is>
          <t>총정리 3탄</t>
        </is>
      </c>
      <c r="C104" s="3" t="inlineStr">
        <is>
          <t>외람된 의견</t>
        </is>
      </c>
      <c r="D104" s="4" t="inlineStr">
        <is>
          <t>With all due respect,</t>
        </is>
      </c>
      <c r="E104" s="11" t="inlineStr">
        <is>
          <t>외람된 말씀이지만, 죄송하지만 (상사/고객에게)</t>
        </is>
      </c>
      <c r="F104" s="11" t="inlineStr">
        <is>
          <t>With all due respect, I disagree.</t>
        </is>
      </c>
      <c r="G104" s="11" t="inlineStr">
        <is>
          <t>외람된 말씀입니다만, 저는 생각이 다릅니다.</t>
        </is>
      </c>
      <c r="H104" s="5">
        <f>HYPERLINK("https://www.youtube.com/watch?v=WEDvuTDF9hY", "영상 보기 ▶")</f>
        <v/>
      </c>
    </row>
    <row r="105" ht="26" customHeight="1">
      <c r="A105" s="6" t="n">
        <v>104</v>
      </c>
      <c r="B105" s="7" t="inlineStr">
        <is>
          <t>총정리 3탄</t>
        </is>
      </c>
      <c r="C105" s="7" t="inlineStr">
        <is>
          <t>정중한 요청</t>
        </is>
      </c>
      <c r="D105" s="8" t="inlineStr">
        <is>
          <t>If possible</t>
        </is>
      </c>
      <c r="E105" s="12" t="inlineStr">
        <is>
          <t>가능하다면 (부탁 어조 완화)</t>
        </is>
      </c>
      <c r="F105" s="12" t="inlineStr">
        <is>
          <t>Could I get a quiet room, if possible?</t>
        </is>
      </c>
      <c r="G105" s="12" t="inlineStr">
        <is>
          <t>가능하다면 조용한 방으로 배정받을 수 있을까요?</t>
        </is>
      </c>
      <c r="H105" s="9">
        <f>HYPERLINK("https://www.youtube.com/watch?v=WEDvuTDF9hY", "영상 보기 ▶")</f>
        <v/>
      </c>
    </row>
    <row r="106" ht="26" customHeight="1">
      <c r="A106" s="2" t="n">
        <v>105</v>
      </c>
      <c r="B106" s="3" t="inlineStr">
        <is>
          <t>총정리 3탄</t>
        </is>
      </c>
      <c r="C106" s="3" t="inlineStr">
        <is>
          <t>정중한 타진</t>
        </is>
      </c>
      <c r="D106" s="4" t="inlineStr">
        <is>
          <t>I was wondering if ~</t>
        </is>
      </c>
      <c r="E106" s="11" t="inlineStr">
        <is>
          <t>혹시 ~해도 괜찮은지 여쭤보려 했어요</t>
        </is>
      </c>
      <c r="F106" s="11" t="inlineStr">
        <is>
          <t>I was wondering if you're available tonight.</t>
        </is>
      </c>
      <c r="G106" s="11" t="inlineStr">
        <is>
          <t>오늘 저녁에 혹시 시간 괜찮으신가 해서요.</t>
        </is>
      </c>
      <c r="H106" s="5">
        <f>HYPERLINK("https://www.youtube.com/watch?v=WEDvuTDF9hY", "영상 보기 ▶")</f>
        <v/>
      </c>
    </row>
    <row r="107" ht="26" customHeight="1">
      <c r="A107" s="6" t="n">
        <v>106</v>
      </c>
      <c r="B107" s="7" t="inlineStr">
        <is>
          <t>총정리 3탄</t>
        </is>
      </c>
      <c r="C107" s="7" t="inlineStr">
        <is>
          <t>감사 답변</t>
        </is>
      </c>
      <c r="D107" s="8" t="inlineStr">
        <is>
          <t>My pleasure / Don't mention it</t>
        </is>
      </c>
      <c r="E107" s="12" t="inlineStr">
        <is>
          <t>도움이 되어 기쁜걸요 / 별말씀을요</t>
        </is>
      </c>
      <c r="F107" s="12" t="inlineStr">
        <is>
          <t>My pleasure! / It's no trouble at all.</t>
        </is>
      </c>
      <c r="G107" s="12" t="inlineStr">
        <is>
          <t>제가 더 기쁜걸요! / 전혀 번거롭지 않았어요.</t>
        </is>
      </c>
      <c r="H107" s="9">
        <f>HYPERLINK("https://www.youtube.com/watch?v=WEDvuTDF9hY", "영상 보기 ▶")</f>
        <v/>
      </c>
    </row>
    <row r="108" ht="26" customHeight="1">
      <c r="A108" s="2" t="n">
        <v>107</v>
      </c>
      <c r="B108" s="3" t="inlineStr">
        <is>
          <t>총정리 3탄</t>
        </is>
      </c>
      <c r="C108" s="3" t="inlineStr">
        <is>
          <t>이메일 첫인사</t>
        </is>
      </c>
      <c r="D108" s="4" t="inlineStr">
        <is>
          <t>I hope you are well</t>
        </is>
      </c>
      <c r="E108" s="11" t="inlineStr">
        <is>
          <t>(오랜만에 연락할 때) 잘 지내고 계시길 바랍니다</t>
        </is>
      </c>
      <c r="F108" s="11" t="inlineStr">
        <is>
          <t>I hope this email finds you well.</t>
        </is>
      </c>
      <c r="G108" s="11" t="inlineStr">
        <is>
          <t>모쪼록 잘 지내고 계시길 바랍니다.</t>
        </is>
      </c>
      <c r="H108" s="5">
        <f>HYPERLINK("https://www.youtube.com/watch?v=WEDvuTDF9hY", "영상 보기 ▶")</f>
        <v/>
      </c>
    </row>
    <row r="109" ht="26" customHeight="1">
      <c r="A109" s="6" t="n">
        <v>108</v>
      </c>
      <c r="B109" s="7" t="inlineStr">
        <is>
          <t>총정리 3탄</t>
        </is>
      </c>
      <c r="C109" s="7" t="inlineStr">
        <is>
          <t>이메일 첫인사</t>
        </is>
      </c>
      <c r="D109" s="8" t="inlineStr">
        <is>
          <t>I hope you're having a great week</t>
        </is>
      </c>
      <c r="E109" s="12" t="inlineStr">
        <is>
          <t>(자주 연락할 때) 좋은 한 주 보내고 계시길 바라요</t>
        </is>
      </c>
      <c r="F109" s="12" t="inlineStr">
        <is>
          <t>I hope you're having a productive week.</t>
        </is>
      </c>
      <c r="G109" s="12" t="inlineStr">
        <is>
          <t>알찬 한 주 보내고 계시길 바랍니다.</t>
        </is>
      </c>
      <c r="H109" s="9">
        <f>HYPERLINK("https://www.youtube.com/watch?v=WEDvuTDF9hY", "영상 보기 ▶")</f>
        <v/>
      </c>
    </row>
    <row r="110" ht="26" customHeight="1">
      <c r="A110" s="2" t="n">
        <v>109</v>
      </c>
      <c r="B110" s="3" t="inlineStr">
        <is>
          <t>총정리 3탄</t>
        </is>
      </c>
      <c r="C110" s="3" t="inlineStr">
        <is>
          <t>연락 반가움</t>
        </is>
      </c>
      <c r="D110" s="4" t="inlineStr">
        <is>
          <t>It's great to hear from you</t>
        </is>
      </c>
      <c r="E110" s="11" t="inlineStr">
        <is>
          <t>(오랜만에 연락받았을 때) 연락받으니 정말 반갑네요</t>
        </is>
      </c>
      <c r="F110" s="11" t="inlineStr">
        <is>
          <t>It's so great to hear from you!</t>
        </is>
      </c>
      <c r="G110" s="11" t="inlineStr">
        <is>
          <t>연락 주셔서 정말 반가워요!</t>
        </is>
      </c>
      <c r="H110" s="5">
        <f>HYPERLINK("https://www.youtube.com/watch?v=WEDvuTDF9hY", "영상 보기 ▶")</f>
        <v/>
      </c>
    </row>
    <row r="111" ht="26" customHeight="1">
      <c r="A111" s="6" t="n">
        <v>110</v>
      </c>
      <c r="B111" s="7" t="inlineStr">
        <is>
          <t>총정리 3탄</t>
        </is>
      </c>
      <c r="C111" s="7" t="inlineStr">
        <is>
          <t>연락 반가움</t>
        </is>
      </c>
      <c r="D111" s="8" t="inlineStr">
        <is>
          <t>What a nice surprise!</t>
        </is>
      </c>
      <c r="E111" s="12" t="inlineStr">
        <is>
          <t>(친한 지인의 뜻밖의 연락에) 정말 기분 좋은 서프라이즈네!</t>
        </is>
      </c>
      <c r="F111" s="12" t="inlineStr">
        <is>
          <t>What a nice surprise! How have you been?</t>
        </is>
      </c>
      <c r="G111" s="12" t="inlineStr">
        <is>
          <t>웬일이야! 정말 반갑다, 그동안 어떻게 지냈어?</t>
        </is>
      </c>
      <c r="H111" s="9">
        <f>HYPERLINK("https://www.youtube.com/watch?v=WEDvuTDF9hY", "영상 보기 ▶")</f>
        <v/>
      </c>
    </row>
    <row r="112" ht="26" customHeight="1">
      <c r="A112" s="2" t="n">
        <v>111</v>
      </c>
      <c r="B112" s="3" t="inlineStr">
        <is>
          <t>총정리 3탄</t>
        </is>
      </c>
      <c r="C112" s="3" t="inlineStr">
        <is>
          <t>이메일 실무</t>
        </is>
      </c>
      <c r="D112" s="4" t="inlineStr">
        <is>
          <t>attach</t>
        </is>
      </c>
      <c r="E112" s="11" t="inlineStr">
        <is>
          <t>(이메일에 파일을) 첨부하다</t>
        </is>
      </c>
      <c r="F112" s="11" t="inlineStr">
        <is>
          <t>Please find the attached file.</t>
        </is>
      </c>
      <c r="G112" s="11" t="inlineStr">
        <is>
          <t>첨부된 파일을 확인해 주시기 바랍니다.</t>
        </is>
      </c>
      <c r="H112" s="5">
        <f>HYPERLINK("https://www.youtube.com/watch?v=WEDvuTDF9hY", "영상 보기 ▶")</f>
        <v/>
      </c>
    </row>
    <row r="113" ht="26" customHeight="1">
      <c r="A113" s="6" t="n">
        <v>112</v>
      </c>
      <c r="B113" s="7" t="inlineStr">
        <is>
          <t>총정리 3탄</t>
        </is>
      </c>
      <c r="C113" s="7" t="inlineStr">
        <is>
          <t>이메일 실무</t>
        </is>
      </c>
      <c r="D113" s="8" t="inlineStr">
        <is>
          <t>CC (= Carbon Copy)</t>
        </is>
      </c>
      <c r="E113" s="12" t="inlineStr">
        <is>
          <t>참조에 넣다</t>
        </is>
      </c>
      <c r="F113" s="12" t="inlineStr">
        <is>
          <t>I CC'd Alex on this email.</t>
        </is>
      </c>
      <c r="G113" s="12" t="inlineStr">
        <is>
          <t>이 이메일에 알렉스를 참조로 넣었습니다.</t>
        </is>
      </c>
      <c r="H113" s="9">
        <f>HYPERLINK("https://www.youtube.com/watch?v=WEDvuTDF9hY", "영상 보기 ▶")</f>
        <v/>
      </c>
    </row>
    <row r="114" ht="26" customHeight="1">
      <c r="A114" s="2" t="n">
        <v>113</v>
      </c>
      <c r="B114" s="3" t="inlineStr">
        <is>
          <t>총정리 3탄</t>
        </is>
      </c>
      <c r="C114" s="3" t="inlineStr">
        <is>
          <t>이메일 실무</t>
        </is>
      </c>
      <c r="D114" s="4" t="inlineStr">
        <is>
          <t>forward</t>
        </is>
      </c>
      <c r="E114" s="11" t="inlineStr">
        <is>
          <t>(이메일을 타인에게) 전달하다</t>
        </is>
      </c>
      <c r="F114" s="11" t="inlineStr">
        <is>
          <t>I'll forward the email to you.</t>
        </is>
      </c>
      <c r="G114" s="11" t="inlineStr">
        <is>
          <t>그 이메일 당신에게 전달해 드릴게요.</t>
        </is>
      </c>
      <c r="H114" s="5">
        <f>HYPERLINK("https://www.youtube.com/watch?v=WEDvuTDF9hY", "영상 보기 ▶")</f>
        <v/>
      </c>
    </row>
    <row r="115" ht="26" customHeight="1">
      <c r="A115" s="6" t="n">
        <v>114</v>
      </c>
      <c r="B115" s="7" t="inlineStr">
        <is>
          <t>총정리 3탄</t>
        </is>
      </c>
      <c r="C115" s="7" t="inlineStr">
        <is>
          <t>업무 후속조치</t>
        </is>
      </c>
      <c r="D115" s="8" t="inlineStr">
        <is>
          <t>follow up (동사)</t>
        </is>
      </c>
      <c r="E115" s="12" t="inlineStr">
        <is>
          <t>후속 조치하다, 추가 확인하다</t>
        </is>
      </c>
      <c r="F115" s="12" t="inlineStr">
        <is>
          <t>I'm writing to follow up on our meeting.</t>
        </is>
      </c>
      <c r="G115" s="12" t="inlineStr">
        <is>
          <t>지난 회의 관련 후속 조치 건으로 메일 드립니다.</t>
        </is>
      </c>
      <c r="H115" s="9">
        <f>HYPERLINK("https://www.youtube.com/watch?v=WEDvuTDF9hY", "영상 보기 ▶")</f>
        <v/>
      </c>
    </row>
    <row r="116" ht="26" customHeight="1">
      <c r="A116" s="2" t="n">
        <v>115</v>
      </c>
      <c r="B116" s="3" t="inlineStr">
        <is>
          <t>총정리 3탄</t>
        </is>
      </c>
      <c r="C116" s="3" t="inlineStr">
        <is>
          <t>업무 후속조치</t>
        </is>
      </c>
      <c r="D116" s="4" t="inlineStr">
        <is>
          <t>follow-up (형용사)</t>
        </is>
      </c>
      <c r="E116" s="11" t="inlineStr">
        <is>
          <t>후속의, 추가의 (follow-up question / meeting)</t>
        </is>
      </c>
      <c r="F116" s="11" t="inlineStr">
        <is>
          <t>I have a quick follow-up question.</t>
        </is>
      </c>
      <c r="G116" s="11" t="inlineStr">
        <is>
          <t>간단한 추가 질문이 하나 있습니다.</t>
        </is>
      </c>
      <c r="H116" s="5">
        <f>HYPERLINK("https://www.youtube.com/watch?v=WEDvuTDF9hY", "영상 보기 ▶")</f>
        <v/>
      </c>
    </row>
    <row r="117" ht="26" customHeight="1">
      <c r="A117" s="6" t="n">
        <v>116</v>
      </c>
      <c r="B117" s="7" t="inlineStr">
        <is>
          <t>총정리 3탄</t>
        </is>
      </c>
      <c r="C117" s="7" t="inlineStr">
        <is>
          <t>동의 요청</t>
        </is>
      </c>
      <c r="D117" s="8" t="inlineStr">
        <is>
          <t>Is it okay if I ~?</t>
        </is>
      </c>
      <c r="E117" s="12" t="inlineStr">
        <is>
          <t>제가 ~해도 괜찮을까요?</t>
        </is>
      </c>
      <c r="F117" s="12" t="inlineStr">
        <is>
          <t>Is it okay if I leave a bit early today?</t>
        </is>
      </c>
      <c r="G117" s="12" t="inlineStr">
        <is>
          <t>오늘 제가 조금 일찍 퇴근해도 괜찮을까요?</t>
        </is>
      </c>
      <c r="H117" s="9">
        <f>HYPERLINK("https://www.youtube.com/watch?v=WEDvuTDF9hY", "영상 보기 ▶")</f>
        <v/>
      </c>
    </row>
    <row r="118" ht="26" customHeight="1">
      <c r="A118" s="2" t="n">
        <v>117</v>
      </c>
      <c r="B118" s="3" t="inlineStr">
        <is>
          <t>총정리 3탄</t>
        </is>
      </c>
      <c r="C118" s="3" t="inlineStr">
        <is>
          <t>공지/안내</t>
        </is>
      </c>
      <c r="D118" s="4" t="inlineStr">
        <is>
          <t>Please note that ~</t>
        </is>
      </c>
      <c r="E118" s="11" t="inlineStr">
        <is>
          <t>~라는 점을 유념/참고해 주시기 바랍니다</t>
        </is>
      </c>
      <c r="F118" s="11" t="inlineStr">
        <is>
          <t>Please note that the deadline is Friday.</t>
        </is>
      </c>
      <c r="G118" s="11" t="inlineStr">
        <is>
          <t>마감일이 금요일이라는 점 유념해 주시기 바랍니다.</t>
        </is>
      </c>
      <c r="H118" s="5">
        <f>HYPERLINK("https://www.youtube.com/watch?v=WEDvuTDF9hY", "영상 보기 ▶")</f>
        <v/>
      </c>
    </row>
    <row r="119" ht="26" customHeight="1">
      <c r="A119" s="6" t="n">
        <v>118</v>
      </c>
      <c r="B119" s="7" t="inlineStr">
        <is>
          <t>총정리 3탄</t>
        </is>
      </c>
      <c r="C119" s="7" t="inlineStr">
        <is>
          <t>메모/기억</t>
        </is>
      </c>
      <c r="D119" s="8" t="inlineStr">
        <is>
          <t>make a note of</t>
        </is>
      </c>
      <c r="E119" s="12" t="inlineStr">
        <is>
          <t>~를 메모해 두다, 기억해 두다</t>
        </is>
      </c>
      <c r="F119" s="12" t="inlineStr">
        <is>
          <t>I'll make a note of it.</t>
        </is>
      </c>
      <c r="G119" s="12" t="inlineStr">
        <is>
          <t>메모해 두고 기억하겠습니다.</t>
        </is>
      </c>
      <c r="H119" s="9">
        <f>HYPERLINK("https://www.youtube.com/watch?v=WEDvuTDF9hY", "영상 보기 ▶")</f>
        <v/>
      </c>
    </row>
    <row r="120" ht="26" customHeight="1">
      <c r="A120" s="2" t="n">
        <v>119</v>
      </c>
      <c r="B120" s="3" t="inlineStr">
        <is>
          <t>총정리 3탄</t>
        </is>
      </c>
      <c r="C120" s="3" t="inlineStr">
        <is>
          <t>기한 전치사</t>
        </is>
      </c>
      <c r="D120" s="4" t="inlineStr">
        <is>
          <t>by</t>
        </is>
      </c>
      <c r="E120" s="11" t="inlineStr">
        <is>
          <t>~까지는 (완료/마감의 기한)</t>
        </is>
      </c>
      <c r="F120" s="11" t="inlineStr">
        <is>
          <t>Submit it by 5 PM.</t>
        </is>
      </c>
      <c r="G120" s="11" t="inlineStr">
        <is>
          <t>오후 5시까지는 제출하세요.</t>
        </is>
      </c>
      <c r="H120" s="5">
        <f>HYPERLINK("https://www.youtube.com/watch?v=WEDvuTDF9hY", "영상 보기 ▶")</f>
        <v/>
      </c>
    </row>
    <row r="121" ht="26" customHeight="1">
      <c r="A121" s="6" t="n">
        <v>120</v>
      </c>
      <c r="B121" s="7" t="inlineStr">
        <is>
          <t>총정리 3탄</t>
        </is>
      </c>
      <c r="C121" s="7" t="inlineStr">
        <is>
          <t>지속 전치사</t>
        </is>
      </c>
      <c r="D121" s="8" t="inlineStr">
        <is>
          <t>until</t>
        </is>
      </c>
      <c r="E121" s="12" t="inlineStr">
        <is>
          <t>~까지 쭉 (동작/상태의 지속)</t>
        </is>
      </c>
      <c r="F121" s="12" t="inlineStr">
        <is>
          <t>I'll wait here until you arrive.</t>
        </is>
      </c>
      <c r="G121" s="12" t="inlineStr">
        <is>
          <t>도착하실 때까지 여기서 쭉 기다릴게요.</t>
        </is>
      </c>
      <c r="H121" s="9">
        <f>HYPERLINK("https://www.youtube.com/watch?v=WEDvuTDF9hY", "영상 보기 ▶")</f>
        <v/>
      </c>
    </row>
    <row r="122" ht="26" customHeight="1">
      <c r="A122" s="2" t="n">
        <v>121</v>
      </c>
      <c r="B122" s="3" t="inlineStr">
        <is>
          <t>총정리 3탄</t>
        </is>
      </c>
      <c r="C122" s="3" t="inlineStr">
        <is>
          <t>비즈니스 부사</t>
        </is>
      </c>
      <c r="D122" s="4" t="inlineStr">
        <is>
          <t>further</t>
        </is>
      </c>
      <c r="E122" s="11" t="inlineStr">
        <is>
          <t>추가의, 더 나아간 (further questions / assistance)</t>
        </is>
      </c>
      <c r="F122" s="11" t="inlineStr">
        <is>
          <t>If you have any further questions, let me know.</t>
        </is>
      </c>
      <c r="G122" s="11" t="inlineStr">
        <is>
          <t>추가 질문이 있으시면 언제든 말씀해 주세요.</t>
        </is>
      </c>
      <c r="H122" s="5">
        <f>HYPERLINK("https://www.youtube.com/watch?v=WEDvuTDF9hY", "영상 보기 ▶")</f>
        <v/>
      </c>
    </row>
    <row r="123" ht="26" customHeight="1">
      <c r="A123" s="6" t="n">
        <v>122</v>
      </c>
      <c r="B123" s="7" t="inlineStr">
        <is>
          <t>총정리 3탄</t>
        </is>
      </c>
      <c r="C123" s="7" t="inlineStr">
        <is>
          <t>이메일 맺음말</t>
        </is>
      </c>
      <c r="D123" s="8" t="inlineStr">
        <is>
          <t>I look forward to hearing from you</t>
        </is>
      </c>
      <c r="E123" s="12" t="inlineStr">
        <is>
          <t>답변/소식 기다리겠습니다</t>
        </is>
      </c>
      <c r="F123" s="12" t="inlineStr">
        <is>
          <t>I look forward to hearing from you soon.</t>
        </is>
      </c>
      <c r="G123" s="12" t="inlineStr">
        <is>
          <t>곧 좋은 답변 듣기를 기대하겠습니다.</t>
        </is>
      </c>
      <c r="H123" s="9">
        <f>HYPERLINK("https://www.youtube.com/watch?v=WEDvuTDF9hY", "영상 보기 ▶")</f>
        <v/>
      </c>
    </row>
    <row r="124" ht="26" customHeight="1">
      <c r="A124" s="2" t="n">
        <v>123</v>
      </c>
      <c r="B124" s="3" t="inlineStr">
        <is>
          <t>총정리 3탄</t>
        </is>
      </c>
      <c r="C124" s="3" t="inlineStr">
        <is>
          <t>정보 공유</t>
        </is>
      </c>
      <c r="D124" s="4" t="inlineStr">
        <is>
          <t>keep me in the loop</t>
        </is>
      </c>
      <c r="E124" s="11" t="inlineStr">
        <is>
          <t>진행 상황 공유 대상에 계속 포함해 줘</t>
        </is>
      </c>
      <c r="F124" s="11" t="inlineStr">
        <is>
          <t>Please keep me in the loop.</t>
        </is>
      </c>
      <c r="G124" s="11" t="inlineStr">
        <is>
          <t>어떻게 진행되는지 계속 공유해 줘.</t>
        </is>
      </c>
      <c r="H124" s="5">
        <f>HYPERLINK("https://www.youtube.com/watch?v=WEDvuTDF9hY", "영상 보기 ▶")</f>
        <v/>
      </c>
    </row>
    <row r="125" ht="26" customHeight="1">
      <c r="A125" s="6" t="n">
        <v>124</v>
      </c>
      <c r="B125" s="7" t="inlineStr">
        <is>
          <t>총정리 3탄</t>
        </is>
      </c>
      <c r="C125" s="7" t="inlineStr">
        <is>
          <t>이메일 맺음말</t>
        </is>
      </c>
      <c r="D125" s="8" t="inlineStr">
        <is>
          <t>I hope this helps</t>
        </is>
      </c>
      <c r="E125" s="12" t="inlineStr">
        <is>
          <t>도움이 되었기를 바랍니다</t>
        </is>
      </c>
      <c r="F125" s="12" t="inlineStr">
        <is>
          <t>I hope this helps. Let me know if you need more.</t>
        </is>
      </c>
      <c r="G125" s="12" t="inlineStr">
        <is>
          <t>도움이 되었기를 바라며, 더 필요하시면 말씀하세요.</t>
        </is>
      </c>
      <c r="H125" s="9">
        <f>HYPERLINK("https://www.youtube.com/watch?v=WEDvuTDF9hY", "영상 보기 ▶")</f>
        <v/>
      </c>
    </row>
    <row r="126" ht="26" customHeight="1">
      <c r="A126" s="2" t="n">
        <v>125</v>
      </c>
      <c r="B126" s="3" t="inlineStr">
        <is>
          <t>총정리 3탄</t>
        </is>
      </c>
      <c r="C126" s="3" t="inlineStr">
        <is>
          <t>회신 약속</t>
        </is>
      </c>
      <c r="D126" s="4" t="inlineStr">
        <is>
          <t>I'll get back to you as soon as I can</t>
        </is>
      </c>
      <c r="E126" s="11" t="inlineStr">
        <is>
          <t>가능한 한 빨리 다시 연락/답변드리겠습니다</t>
        </is>
      </c>
      <c r="F126" s="11" t="inlineStr">
        <is>
          <t>I'll get back to you as soon as I can.</t>
        </is>
      </c>
      <c r="G126" s="11" t="inlineStr">
        <is>
          <t>가능한 한 신속하게 답변드리겠습니다.</t>
        </is>
      </c>
      <c r="H126" s="5">
        <f>HYPERLINK("https://www.youtube.com/watch?v=WEDvuTDF9hY", "영상 보기 ▶")</f>
        <v/>
      </c>
    </row>
    <row r="127" ht="26" customHeight="1">
      <c r="A127" s="6" t="n">
        <v>126</v>
      </c>
      <c r="B127" s="7" t="inlineStr">
        <is>
          <t>총정리 3탄</t>
        </is>
      </c>
      <c r="C127" s="7" t="inlineStr">
        <is>
          <t>나이 변화</t>
        </is>
      </c>
      <c r="D127" s="8" t="inlineStr">
        <is>
          <t>turn (~살이 되다)</t>
        </is>
      </c>
      <c r="E127" s="12" t="inlineStr">
        <is>
          <t>나이가 바뀌다, ~살이 되다</t>
        </is>
      </c>
      <c r="F127" s="12" t="inlineStr">
        <is>
          <t>I'm turning 30 next month.</t>
        </is>
      </c>
      <c r="G127" s="12" t="inlineStr">
        <is>
          <t>저 다음 달에 서른 살이 돼요.</t>
        </is>
      </c>
      <c r="H127" s="9">
        <f>HYPERLINK("https://www.youtube.com/watch?v=WEDvuTDF9hY", "영상 보기 ▶")</f>
        <v/>
      </c>
    </row>
    <row r="128" ht="26" customHeight="1">
      <c r="A128" s="2" t="n">
        <v>127</v>
      </c>
      <c r="B128" s="3" t="inlineStr">
        <is>
          <t>총정리 3탄</t>
        </is>
      </c>
      <c r="C128" s="3" t="inlineStr">
        <is>
          <t>순서 명사</t>
        </is>
      </c>
      <c r="D128" s="4" t="inlineStr">
        <is>
          <t>turn (명사)</t>
        </is>
      </c>
      <c r="E128" s="11" t="inlineStr">
        <is>
          <t>차례, 순서 (It's your turn)</t>
        </is>
      </c>
      <c r="F128" s="11" t="inlineStr">
        <is>
          <t>It's your turn now.</t>
        </is>
      </c>
      <c r="G128" s="11" t="inlineStr">
        <is>
          <t>이제 네 차례야.</t>
        </is>
      </c>
      <c r="H128" s="5">
        <f>HYPERLINK("https://www.youtube.com/watch?v=WEDvuTDF9hY", "영상 보기 ▶")</f>
        <v/>
      </c>
    </row>
    <row r="129" ht="26" customHeight="1">
      <c r="A129" s="6" t="n">
        <v>128</v>
      </c>
      <c r="B129" s="7" t="inlineStr">
        <is>
          <t>총정리 3탄</t>
        </is>
      </c>
      <c r="C129" s="7" t="inlineStr">
        <is>
          <t>반전/호전</t>
        </is>
      </c>
      <c r="D129" s="8" t="inlineStr">
        <is>
          <t>turn around</t>
        </is>
      </c>
      <c r="E129" s="12" t="inlineStr">
        <is>
          <t>(상황/실적을) 호전시키다, 뒤바꾸다</t>
        </is>
      </c>
      <c r="F129" s="12" t="inlineStr">
        <is>
          <t>We managed to turn things around.</t>
        </is>
      </c>
      <c r="G129" s="12" t="inlineStr">
        <is>
          <t>우리는 상황을 긍정적으로 호전시켰습니다.</t>
        </is>
      </c>
      <c r="H129" s="9">
        <f>HYPERLINK("https://www.youtube.com/watch?v=WEDvuTDF9hY", "영상 보기 ▶")</f>
        <v/>
      </c>
    </row>
    <row r="130" ht="26" customHeight="1">
      <c r="A130" s="2" t="n">
        <v>129</v>
      </c>
      <c r="B130" s="3" t="inlineStr">
        <is>
          <t>총정리 3탄</t>
        </is>
      </c>
      <c r="C130" s="3" t="inlineStr">
        <is>
          <t>일의 풀림</t>
        </is>
      </c>
      <c r="D130" s="4" t="inlineStr">
        <is>
          <t>work out</t>
        </is>
      </c>
      <c r="E130" s="11" t="inlineStr">
        <is>
          <t>① 운동하다 ② (일이) 잘 풀리다/해결되다</t>
        </is>
      </c>
      <c r="F130" s="11" t="inlineStr">
        <is>
          <t>Everything will work out.</t>
        </is>
      </c>
      <c r="G130" s="11" t="inlineStr">
        <is>
          <t>모든 게 잘 풀릴 거야.</t>
        </is>
      </c>
      <c r="H130" s="5">
        <f>HYPERLINK("https://www.youtube.com/watch?v=WEDvuTDF9hY", "영상 보기 ▶")</f>
        <v/>
      </c>
    </row>
    <row r="131" ht="26" customHeight="1">
      <c r="A131" s="6" t="n">
        <v>130</v>
      </c>
      <c r="B131" s="7" t="inlineStr">
        <is>
          <t>총정리 3탄</t>
        </is>
      </c>
      <c r="C131" s="7" t="inlineStr">
        <is>
          <t>결과 확인</t>
        </is>
      </c>
      <c r="D131" s="8" t="inlineStr">
        <is>
          <t>turn out</t>
        </is>
      </c>
      <c r="E131" s="12" t="inlineStr">
        <is>
          <t>(알고 보니) ~로 밝혀지다, 드러나다</t>
        </is>
      </c>
      <c r="F131" s="12" t="inlineStr">
        <is>
          <t>It turned out to be a great success.</t>
        </is>
      </c>
      <c r="G131" s="12" t="inlineStr">
        <is>
          <t>알고 보니 대성공으로 끝났어.</t>
        </is>
      </c>
      <c r="H131" s="9">
        <f>HYPERLINK("https://www.youtube.com/watch?v=WEDvuTDF9hY", "영상 보기 ▶")</f>
        <v/>
      </c>
    </row>
    <row r="132" ht="26" customHeight="1">
      <c r="A132" s="2" t="n">
        <v>131</v>
      </c>
      <c r="B132" s="3" t="inlineStr">
        <is>
          <t>총정리 3탄</t>
        </is>
      </c>
      <c r="C132" s="3" t="inlineStr">
        <is>
          <t>변화 동사</t>
        </is>
      </c>
      <c r="D132" s="4" t="inlineStr">
        <is>
          <t>turn into</t>
        </is>
      </c>
      <c r="E132" s="11" t="inlineStr">
        <is>
          <t>~로 변하다, 바뀌다</t>
        </is>
      </c>
      <c r="F132" s="11" t="inlineStr">
        <is>
          <t>A small argument turned into a big fight.</t>
        </is>
      </c>
      <c r="G132" s="11" t="inlineStr">
        <is>
          <t>작은 말다툼이 큰 싸움으로 번졌어.</t>
        </is>
      </c>
      <c r="H132" s="5">
        <f>HYPERLINK("https://www.youtube.com/watch?v=WEDvuTDF9hY", "영상 보기 ▶")</f>
        <v/>
      </c>
    </row>
    <row r="133" ht="26" customHeight="1">
      <c r="A133" s="6" t="n">
        <v>132</v>
      </c>
      <c r="B133" s="7" t="inlineStr">
        <is>
          <t>총정리 3탄</t>
        </is>
      </c>
      <c r="C133" s="7" t="inlineStr">
        <is>
          <t>기기 조작</t>
        </is>
      </c>
      <c r="D133" s="8" t="inlineStr">
        <is>
          <t>turn on / off</t>
        </is>
      </c>
      <c r="E133" s="12" t="inlineStr">
        <is>
          <t>(전자기기, 불을) 켜다 / 끄다</t>
        </is>
      </c>
      <c r="F133" s="12" t="inlineStr">
        <is>
          <t>Could you turn off the light?</t>
        </is>
      </c>
      <c r="G133" s="12" t="inlineStr">
        <is>
          <t>불 좀 꺼줄 수 있어?</t>
        </is>
      </c>
      <c r="H133" s="9">
        <f>HYPERLINK("https://www.youtube.com/watch?v=WEDvuTDF9hY", "영상 보기 ▶")</f>
        <v/>
      </c>
    </row>
    <row r="134" ht="26" customHeight="1">
      <c r="A134" s="2" t="n">
        <v>133</v>
      </c>
      <c r="B134" s="3" t="inlineStr">
        <is>
          <t>총정리 3탄</t>
        </is>
      </c>
      <c r="C134" s="3" t="inlineStr">
        <is>
          <t>소리/등장</t>
        </is>
      </c>
      <c r="D134" s="4" t="inlineStr">
        <is>
          <t>turn up</t>
        </is>
      </c>
      <c r="E134" s="11" t="inlineStr">
        <is>
          <t>① 소리를 키우다 ② (뜻밖에) 나타나다</t>
        </is>
      </c>
      <c r="F134" s="11" t="inlineStr">
        <is>
          <t>Turn up the volume. / He finally turned up.</t>
        </is>
      </c>
      <c r="G134" s="11" t="inlineStr">
        <is>
          <t>볼륨 좀 올려봐. / 그가 마침내 나타났어.</t>
        </is>
      </c>
      <c r="H134" s="5">
        <f>HYPERLINK("https://www.youtube.com/watch?v=WEDvuTDF9hY", "영상 보기 ▶")</f>
        <v/>
      </c>
    </row>
    <row r="135" ht="26" customHeight="1">
      <c r="A135" s="6" t="n">
        <v>134</v>
      </c>
      <c r="B135" s="7" t="inlineStr">
        <is>
          <t>총정리 3탄</t>
        </is>
      </c>
      <c r="C135" s="7" t="inlineStr">
        <is>
          <t>거절 표현</t>
        </is>
      </c>
      <c r="D135" s="8" t="inlineStr">
        <is>
          <t>turn down</t>
        </is>
      </c>
      <c r="E135" s="12" t="inlineStr">
        <is>
          <t>① 소리를 줄이다 ② 제안을 거절하다</t>
        </is>
      </c>
      <c r="F135" s="12" t="inlineStr">
        <is>
          <t>I had to turn down the offer.</t>
        </is>
      </c>
      <c r="G135" s="12" t="inlineStr">
        <is>
          <t>그 제안을 거절해야만 했어.</t>
        </is>
      </c>
      <c r="H135" s="9">
        <f>HYPERLINK("https://www.youtube.com/watch?v=WEDvuTDF9hY", "영상 보기 ▶")</f>
        <v/>
      </c>
    </row>
    <row r="136" ht="26" customHeight="1">
      <c r="A136" s="2" t="n">
        <v>135</v>
      </c>
      <c r="B136" s="3" t="inlineStr">
        <is>
          <t>총정리 3탄</t>
        </is>
      </c>
      <c r="C136" s="3" t="inlineStr">
        <is>
          <t>정중한 거절</t>
        </is>
      </c>
      <c r="D136" s="4" t="inlineStr">
        <is>
          <t>I'm gonna have to + 동사원형</t>
        </is>
      </c>
      <c r="E136" s="11" t="inlineStr">
        <is>
          <t>(유감스럽지만) ~해야 할 것 같아요</t>
        </is>
      </c>
      <c r="F136" s="11" t="inlineStr">
        <is>
          <t>I'm gonna have to pass on this.</t>
        </is>
      </c>
      <c r="G136" s="11" t="inlineStr">
        <is>
          <t>이번엔 사양해야 할 것 같아요.</t>
        </is>
      </c>
      <c r="H136" s="5">
        <f>HYPERLINK("https://www.youtube.com/watch?v=WEDvuTDF9hY", "영상 보기 ▶")</f>
        <v/>
      </c>
    </row>
    <row r="137" ht="26" customHeight="1">
      <c r="A137" s="6" t="n">
        <v>136</v>
      </c>
      <c r="B137" s="7" t="inlineStr">
        <is>
          <t>총정리 3탄</t>
        </is>
      </c>
      <c r="C137" s="7" t="inlineStr">
        <is>
          <t>기쁨 표현</t>
        </is>
      </c>
      <c r="D137" s="8" t="inlineStr">
        <is>
          <t>You made my day</t>
        </is>
      </c>
      <c r="E137" s="12" t="inlineStr">
        <is>
          <t>너 덕분에 오늘 하루가 정말 행복해졌어!</t>
        </is>
      </c>
      <c r="F137" s="12" t="inlineStr">
        <is>
          <t>Thank you so much, you made my day!</t>
        </is>
      </c>
      <c r="G137" s="12" t="inlineStr">
        <is>
          <t>정말 고마워, 너 덕분에 오늘 하루가 최고야!</t>
        </is>
      </c>
      <c r="H137" s="9">
        <f>HYPERLINK("https://www.youtube.com/watch?v=WEDvuTDF9hY", "영상 보기 ▶")</f>
        <v/>
      </c>
    </row>
    <row r="138" ht="26" customHeight="1">
      <c r="A138" s="2" t="n">
        <v>137</v>
      </c>
      <c r="B138" s="3" t="inlineStr">
        <is>
          <t>총정리 3탄</t>
        </is>
      </c>
      <c r="C138" s="3" t="inlineStr">
        <is>
          <t>시작 표현</t>
        </is>
      </c>
      <c r="D138" s="4" t="inlineStr">
        <is>
          <t>from scratch</t>
        </is>
      </c>
      <c r="E138" s="11" t="inlineStr">
        <is>
          <t>맨 처음부터, 아무것도 없는 바닥부터</t>
        </is>
      </c>
      <c r="F138" s="11" t="inlineStr">
        <is>
          <t>We had to start from scratch.</t>
        </is>
      </c>
      <c r="G138" s="11" t="inlineStr">
        <is>
          <t>우린 맨 처음부터 다시 시작해야 했어.</t>
        </is>
      </c>
      <c r="H138" s="5">
        <f>HYPERLINK("https://www.youtube.com/watch?v=WEDvuTDF9hY", "영상 보기 ▶")</f>
        <v/>
      </c>
    </row>
    <row r="139" ht="26" customHeight="1">
      <c r="A139" s="6" t="n">
        <v>138</v>
      </c>
      <c r="B139" s="7" t="inlineStr">
        <is>
          <t>총정리 3탄</t>
        </is>
      </c>
      <c r="C139" s="7" t="inlineStr">
        <is>
          <t>만능동사 make</t>
        </is>
      </c>
      <c r="D139" s="8" t="inlineStr">
        <is>
          <t>make</t>
        </is>
      </c>
      <c r="E139" s="12" t="inlineStr">
        <is>
          <t>(약속 시간/장소에) 맞춰 가다</t>
        </is>
      </c>
      <c r="F139" s="12" t="inlineStr">
        <is>
          <t>Can you make it by 6?</t>
        </is>
      </c>
      <c r="G139" s="12" t="inlineStr">
        <is>
          <t>6시까지 올 수 있어?</t>
        </is>
      </c>
      <c r="H139" s="9">
        <f>HYPERLINK("https://www.youtube.com/watch?v=WEDvuTDF9hY", "영상 보기 ▶")</f>
        <v/>
      </c>
    </row>
    <row r="140" ht="26" customHeight="1">
      <c r="A140" s="2" t="n">
        <v>139</v>
      </c>
      <c r="B140" s="3" t="inlineStr">
        <is>
          <t>총정리 3탄</t>
        </is>
      </c>
      <c r="C140" s="3" t="inlineStr">
        <is>
          <t>결정 표현</t>
        </is>
      </c>
      <c r="D140" s="4" t="inlineStr">
        <is>
          <t>make a decision</t>
        </is>
      </c>
      <c r="E140" s="11" t="inlineStr">
        <is>
          <t>결정을 내리다</t>
        </is>
      </c>
      <c r="F140" s="11" t="inlineStr">
        <is>
          <t>Take your time to make a decision.</t>
        </is>
      </c>
      <c r="G140" s="11" t="inlineStr">
        <is>
          <t>천천히 결정하세요.</t>
        </is>
      </c>
      <c r="H140" s="5">
        <f>HYPERLINK("https://www.youtube.com/watch?v=WEDvuTDF9hY", "영상 보기 ▶")</f>
        <v/>
      </c>
    </row>
    <row r="141" ht="26" customHeight="1">
      <c r="A141" s="6" t="n">
        <v>140</v>
      </c>
      <c r="B141" s="7" t="inlineStr">
        <is>
          <t>총정리 3탄</t>
        </is>
      </c>
      <c r="C141" s="7" t="inlineStr">
        <is>
          <t>불편 표현</t>
        </is>
      </c>
      <c r="D141" s="8" t="inlineStr">
        <is>
          <t>I don't feel comfortable -ing</t>
        </is>
      </c>
      <c r="E141" s="12" t="inlineStr">
        <is>
          <t>~하기가 좀 껄끄럽네요/불편해요</t>
        </is>
      </c>
      <c r="F141" s="12" t="inlineStr">
        <is>
          <t>I don't feel comfortable sharing that.</t>
        </is>
      </c>
      <c r="G141" s="12" t="inlineStr">
        <is>
          <t>그걸 공유하기는 좀 껄끄럽네요.</t>
        </is>
      </c>
      <c r="H141" s="9">
        <f>HYPERLINK("https://www.youtube.com/watch?v=WEDvuTDF9hY", "영상 보기 ▶")</f>
        <v/>
      </c>
    </row>
    <row r="142" ht="26" customHeight="1">
      <c r="A142" s="2" t="n">
        <v>141</v>
      </c>
      <c r="B142" s="3" t="inlineStr">
        <is>
          <t>총정리 3탄</t>
        </is>
      </c>
      <c r="C142" s="3" t="inlineStr">
        <is>
          <t>의무/선택</t>
        </is>
      </c>
      <c r="D142" s="4" t="inlineStr">
        <is>
          <t>mandatory vs optional</t>
        </is>
      </c>
      <c r="E142" s="11" t="inlineStr">
        <is>
          <t>필수의 vs 선택적인</t>
        </is>
      </c>
      <c r="F142" s="11" t="inlineStr">
        <is>
          <t>Attendance is mandatory.</t>
        </is>
      </c>
      <c r="G142" s="11" t="inlineStr">
        <is>
          <t>참석은 필수입니다.</t>
        </is>
      </c>
      <c r="H142" s="5">
        <f>HYPERLINK("https://www.youtube.com/watch?v=WEDvuTDF9hY", "영상 보기 ▶")</f>
        <v/>
      </c>
    </row>
    <row r="143" ht="26" customHeight="1">
      <c r="A143" s="6" t="n">
        <v>142</v>
      </c>
      <c r="B143" s="7" t="inlineStr">
        <is>
          <t>총정리 3탄</t>
        </is>
      </c>
      <c r="C143" s="7" t="inlineStr">
        <is>
          <t>노력 표현</t>
        </is>
      </c>
      <c r="D143" s="8" t="inlineStr">
        <is>
          <t>make every effort to</t>
        </is>
      </c>
      <c r="E143" s="12" t="inlineStr">
        <is>
          <t>~하기 위해 온갖 노력을 다하다</t>
        </is>
      </c>
      <c r="F143" s="12" t="inlineStr">
        <is>
          <t>We will make every effort to assist you.</t>
        </is>
      </c>
      <c r="G143" s="12" t="inlineStr">
        <is>
          <t>도와드리기 위해 모든 노력을 다하겠습니다.</t>
        </is>
      </c>
      <c r="H143" s="9">
        <f>HYPERLINK("https://www.youtube.com/watch?v=WEDvuTDF9hY", "영상 보기 ▶")</f>
        <v/>
      </c>
    </row>
    <row r="144" ht="26" customHeight="1">
      <c r="A144" s="2" t="n">
        <v>143</v>
      </c>
      <c r="B144" s="3" t="inlineStr">
        <is>
          <t>총정리 3탄</t>
        </is>
      </c>
      <c r="C144" s="3" t="inlineStr">
        <is>
          <t>기회 활용</t>
        </is>
      </c>
      <c r="D144" s="4" t="inlineStr">
        <is>
          <t>make the most of</t>
        </is>
      </c>
      <c r="E144" s="11" t="inlineStr">
        <is>
          <t>~를 최대한으로 활용하다/즐기다</t>
        </is>
      </c>
      <c r="F144" s="11" t="inlineStr">
        <is>
          <t>Make the most of your weekend!</t>
        </is>
      </c>
      <c r="G144" s="11" t="inlineStr">
        <is>
          <t>주말 알차게 최대한 즐겨!</t>
        </is>
      </c>
      <c r="H144" s="5">
        <f>HYPERLINK("https://www.youtube.com/watch?v=WEDvuTDF9hY", "영상 보기 ▶")</f>
        <v/>
      </c>
    </row>
    <row r="145" ht="26" customHeight="1">
      <c r="A145" s="6" t="n">
        <v>144</v>
      </c>
      <c r="B145" s="7" t="inlineStr">
        <is>
          <t>총정리 3탄</t>
        </is>
      </c>
      <c r="C145" s="7" t="inlineStr">
        <is>
          <t>확인 표현</t>
        </is>
      </c>
      <c r="D145" s="8" t="inlineStr">
        <is>
          <t>make sure</t>
        </is>
      </c>
      <c r="E145" s="12" t="inlineStr">
        <is>
          <t>반드시 ~하도록 확인하다/명심하다</t>
        </is>
      </c>
      <c r="F145" s="12" t="inlineStr">
        <is>
          <t>Make sure to lock the door.</t>
        </is>
      </c>
      <c r="G145" s="12" t="inlineStr">
        <is>
          <t>반드시 문 잠그는 거 잊지 마.</t>
        </is>
      </c>
      <c r="H145" s="9">
        <f>HYPERLINK("https://www.youtube.com/watch?v=WEDvuTDF9hY", "영상 보기 ▶")</f>
        <v/>
      </c>
    </row>
    <row r="146" ht="26" customHeight="1">
      <c r="A146" s="2" t="n">
        <v>145</v>
      </c>
      <c r="B146" s="3" t="inlineStr">
        <is>
          <t>총정리 3탄</t>
        </is>
      </c>
      <c r="C146" s="3" t="inlineStr">
        <is>
          <t>비즈니스 의견</t>
        </is>
      </c>
      <c r="D146" s="4" t="inlineStr">
        <is>
          <t>input</t>
        </is>
      </c>
      <c r="E146" s="11" t="inlineStr">
        <is>
          <t>(의견, 조언, 피드백 등) 기여, 투입</t>
        </is>
      </c>
      <c r="F146" s="11" t="inlineStr">
        <is>
          <t>Thank you for your valuable input.</t>
        </is>
      </c>
      <c r="G146" s="11" t="inlineStr">
        <is>
          <t>소중한 의견 감사드립니다.</t>
        </is>
      </c>
      <c r="H146" s="5">
        <f>HYPERLINK("https://www.youtube.com/watch?v=WEDvuTDF9hY", "영상 보기 ▶")</f>
        <v/>
      </c>
    </row>
    <row r="147" ht="26" customHeight="1">
      <c r="A147" s="6" t="n">
        <v>146</v>
      </c>
      <c r="B147" s="7" t="inlineStr">
        <is>
          <t>총정리 3탄</t>
        </is>
      </c>
      <c r="C147" s="7" t="inlineStr">
        <is>
          <t>업무 신속화</t>
        </is>
      </c>
      <c r="D147" s="8" t="inlineStr">
        <is>
          <t>expedite</t>
        </is>
      </c>
      <c r="E147" s="12" t="inlineStr">
        <is>
          <t>신속히 처리하다, 진척시키다</t>
        </is>
      </c>
      <c r="F147" s="12" t="inlineStr">
        <is>
          <t>We'll do our best to expedite the process.</t>
        </is>
      </c>
      <c r="G147" s="12" t="inlineStr">
        <is>
          <t>절차를 신속히 처리할 수 있도록 최선을 다하겠습니다.</t>
        </is>
      </c>
      <c r="H147" s="9">
        <f>HYPERLINK("https://www.youtube.com/watch?v=WEDvuTDF9hY", "영상 보기 ▶")</f>
        <v/>
      </c>
    </row>
    <row r="148" ht="26" customHeight="1">
      <c r="A148" s="2" t="n">
        <v>147</v>
      </c>
      <c r="B148" s="3" t="inlineStr">
        <is>
          <t>총정리 3탄</t>
        </is>
      </c>
      <c r="C148" s="3" t="inlineStr">
        <is>
          <t>바쁜 상태</t>
        </is>
      </c>
      <c r="D148" s="4" t="inlineStr">
        <is>
          <t>swamped</t>
        </is>
      </c>
      <c r="E148" s="11" t="inlineStr">
        <is>
          <t>일이 파도처럼 밀려들어 눈코 뜰 새 없이 바쁜</t>
        </is>
      </c>
      <c r="F148" s="11" t="inlineStr">
        <is>
          <t>I'm completely swamped this week.</t>
        </is>
      </c>
      <c r="G148" s="11" t="inlineStr">
        <is>
          <t>나 이번 주에 일이 너무 밀려 정신없어.</t>
        </is>
      </c>
      <c r="H148" s="5">
        <f>HYPERLINK("https://www.youtube.com/watch?v=WEDvuTDF9hY", "영상 보기 ▶")</f>
        <v/>
      </c>
    </row>
    <row r="149" ht="26" customHeight="1">
      <c r="A149" s="6" t="n">
        <v>148</v>
      </c>
      <c r="B149" s="7" t="inlineStr">
        <is>
          <t>총정리 3탄</t>
        </is>
      </c>
      <c r="C149" s="7" t="inlineStr">
        <is>
          <t>바쁜 상태</t>
        </is>
      </c>
      <c r="D149" s="8" t="inlineStr">
        <is>
          <t>slammed</t>
        </is>
      </c>
      <c r="E149" s="12" t="inlineStr">
        <is>
          <t>일이나 업무에 치여 옴짝달싹 못하는</t>
        </is>
      </c>
      <c r="F149" s="12" t="inlineStr">
        <is>
          <t>We got slammed with orders.</t>
        </is>
      </c>
      <c r="G149" s="12" t="inlineStr">
        <is>
          <t>주문이 폭주해서 정신없이 바빴어.</t>
        </is>
      </c>
      <c r="H149" s="9">
        <f>HYPERLINK("https://www.youtube.com/watch?v=WEDvuTDF9hY", "영상 보기 ▶")</f>
        <v/>
      </c>
    </row>
    <row r="150" ht="26" customHeight="1">
      <c r="A150" s="2" t="n">
        <v>149</v>
      </c>
      <c r="B150" s="3" t="inlineStr">
        <is>
          <t>총정리 3탄</t>
        </is>
      </c>
      <c r="C150" s="3" t="inlineStr">
        <is>
          <t>칭찬/격려</t>
        </is>
      </c>
      <c r="D150" s="4" t="inlineStr">
        <is>
          <t>Give yourself a pat on the back</t>
        </is>
      </c>
      <c r="E150" s="11" t="inlineStr">
        <is>
          <t>스스로 쓰다듬어줘, 정말 수고했어!</t>
        </is>
      </c>
      <c r="F150" s="11" t="inlineStr">
        <is>
          <t>You did great. Give yourself a pat on the back.</t>
        </is>
      </c>
      <c r="G150" s="11" t="inlineStr">
        <is>
          <t>진짜 잘했어. 셀프 칭찬해 줘도 돼!</t>
        </is>
      </c>
      <c r="H150" s="5">
        <f>HYPERLINK("https://www.youtube.com/watch?v=WEDvuTDF9hY", "영상 보기 ▶")</f>
        <v/>
      </c>
    </row>
    <row r="151" ht="26" customHeight="1">
      <c r="A151" s="6" t="n">
        <v>150</v>
      </c>
      <c r="B151" s="7" t="inlineStr">
        <is>
          <t>총정리 3탄</t>
        </is>
      </c>
      <c r="C151" s="7" t="inlineStr">
        <is>
          <t>깊은 감사</t>
        </is>
      </c>
      <c r="D151" s="8" t="inlineStr">
        <is>
          <t>I couldn't have done this without you</t>
        </is>
      </c>
      <c r="E151" s="12" t="inlineStr">
        <is>
          <t>너 없었으면 나 이거 절대 못 해냈을 거야</t>
        </is>
      </c>
      <c r="F151" s="12" t="inlineStr">
        <is>
          <t>I couldn't have done this without you.</t>
        </is>
      </c>
      <c r="G151" s="12" t="inlineStr">
        <is>
          <t>너 없었으면 나 진짜 못 해냈을 거야.</t>
        </is>
      </c>
      <c r="H151" s="9">
        <f>HYPERLINK("https://www.youtube.com/watch?v=WEDvuTDF9hY", "영상 보기 ▶")</f>
        <v/>
      </c>
    </row>
    <row r="152" ht="26" customHeight="1">
      <c r="A152" s="2" t="n">
        <v>151</v>
      </c>
      <c r="B152" s="3" t="inlineStr">
        <is>
          <t>총정리 4탄</t>
        </is>
      </c>
      <c r="C152" s="3" t="inlineStr">
        <is>
          <t>거리/위치</t>
        </is>
      </c>
      <c r="D152" s="4" t="inlineStr">
        <is>
          <t>down the street</t>
        </is>
      </c>
      <c r="E152" s="11" t="inlineStr">
        <is>
          <t>근처에 (사람이 걸어 다닐 수 있는 가까운 거리)</t>
        </is>
      </c>
      <c r="F152" s="11" t="inlineStr">
        <is>
          <t>There's a great cafe just down the street.</t>
        </is>
      </c>
      <c r="G152" s="11" t="inlineStr">
        <is>
          <t>근처에 멋진 카페가 하나 있어요.</t>
        </is>
      </c>
      <c r="H152" s="5">
        <f>HYPERLINK("https://www.youtube.com/watch?v=2eL9r9rlcOc", "영상 보기 ▶")</f>
        <v/>
      </c>
    </row>
    <row r="153" ht="26" customHeight="1">
      <c r="A153" s="6" t="n">
        <v>152</v>
      </c>
      <c r="B153" s="7" t="inlineStr">
        <is>
          <t>총정리 4탄</t>
        </is>
      </c>
      <c r="C153" s="7" t="inlineStr">
        <is>
          <t>거리/시간</t>
        </is>
      </c>
      <c r="D153" s="8" t="inlineStr">
        <is>
          <t>down the road</t>
        </is>
      </c>
      <c r="E153" s="12" t="inlineStr">
        <is>
          <t>① 근처에 (차도 중심) ② 앞으로 살면서, 나중에</t>
        </is>
      </c>
      <c r="F153" s="12" t="inlineStr">
        <is>
          <t>It'll help you down the road.</t>
        </is>
      </c>
      <c r="G153" s="12" t="inlineStr">
        <is>
          <t>앞으로 살아가면서 다 도움이 될 거야.</t>
        </is>
      </c>
      <c r="H153" s="9">
        <f>HYPERLINK("https://www.youtube.com/watch?v=2eL9r9rlcOc", "영상 보기 ▶")</f>
        <v/>
      </c>
    </row>
    <row r="154" ht="26" customHeight="1">
      <c r="A154" s="2" t="n">
        <v>153</v>
      </c>
      <c r="B154" s="3" t="inlineStr">
        <is>
          <t>총정리 4탄</t>
        </is>
      </c>
      <c r="C154" s="3" t="inlineStr">
        <is>
          <t>시간/전망</t>
        </is>
      </c>
      <c r="D154" s="4" t="inlineStr">
        <is>
          <t>in the long run</t>
        </is>
      </c>
      <c r="E154" s="11" t="inlineStr">
        <is>
          <t>장기적으로 보면</t>
        </is>
      </c>
      <c r="F154" s="11" t="inlineStr">
        <is>
          <t>This will save us time in the long run.</t>
        </is>
      </c>
      <c r="G154" s="11" t="inlineStr">
        <is>
          <t>장기적으로 보면 이게 우리 시간을 절약해 줄 거야.</t>
        </is>
      </c>
      <c r="H154" s="5">
        <f>HYPERLINK("https://www.youtube.com/watch?v=2eL9r9rlcOc", "영상 보기 ▶")</f>
        <v/>
      </c>
    </row>
    <row r="155" ht="26" customHeight="1">
      <c r="A155" s="6" t="n">
        <v>154</v>
      </c>
      <c r="B155" s="7" t="inlineStr">
        <is>
          <t>총정리 4탄</t>
        </is>
      </c>
      <c r="C155" s="7" t="inlineStr">
        <is>
          <t>감정 표현</t>
        </is>
      </c>
      <c r="D155" s="8" t="inlineStr">
        <is>
          <t>frustrated</t>
        </is>
      </c>
      <c r="E155" s="12" t="inlineStr">
        <is>
          <t>(내 뜻대로 되지 않아) 짜증나고 답답한</t>
        </is>
      </c>
      <c r="F155" s="12" t="inlineStr">
        <is>
          <t>I'm so frustrated right now.</t>
        </is>
      </c>
      <c r="G155" s="12" t="inlineStr">
        <is>
          <t>나 지금 너무 짜증나고 답답해.</t>
        </is>
      </c>
      <c r="H155" s="9">
        <f>HYPERLINK("https://www.youtube.com/watch?v=2eL9r9rlcOc", "영상 보기 ▶")</f>
        <v/>
      </c>
    </row>
    <row r="156" ht="26" customHeight="1">
      <c r="A156" s="2" t="n">
        <v>155</v>
      </c>
      <c r="B156" s="3" t="inlineStr">
        <is>
          <t>총정리 4탄</t>
        </is>
      </c>
      <c r="C156" s="3" t="inlineStr">
        <is>
          <t>감정 표현</t>
        </is>
      </c>
      <c r="D156" s="4" t="inlineStr">
        <is>
          <t>embarrassed</t>
        </is>
      </c>
      <c r="E156" s="11" t="inlineStr">
        <is>
          <t>당황스러운, 민망한, 쪽팔리는</t>
        </is>
      </c>
      <c r="F156" s="11" t="inlineStr">
        <is>
          <t>I was so embarrassed.</t>
        </is>
      </c>
      <c r="G156" s="11" t="inlineStr">
        <is>
          <t>나 너무 민망하고 쪽팔렸어.</t>
        </is>
      </c>
      <c r="H156" s="5">
        <f>HYPERLINK("https://www.youtube.com/watch?v=2eL9r9rlcOc", "영상 보기 ▶")</f>
        <v/>
      </c>
    </row>
    <row r="157" ht="26" customHeight="1">
      <c r="A157" s="6" t="n">
        <v>156</v>
      </c>
      <c r="B157" s="7" t="inlineStr">
        <is>
          <t>총정리 4탄</t>
        </is>
      </c>
      <c r="C157" s="7" t="inlineStr">
        <is>
          <t>감정 표현</t>
        </is>
      </c>
      <c r="D157" s="8" t="inlineStr">
        <is>
          <t>devastated</t>
        </is>
      </c>
      <c r="E157" s="12" t="inlineStr">
        <is>
          <t>(온몸이 무너질 정도로) 엄청난 충격을 받은, 망연자실한</t>
        </is>
      </c>
      <c r="F157" s="12" t="inlineStr">
        <is>
          <t>She was devastated by the news.</t>
        </is>
      </c>
      <c r="G157" s="12" t="inlineStr">
        <is>
          <t>그녀는 그 소식을 듣고 큰 충격을 받았어.</t>
        </is>
      </c>
      <c r="H157" s="9">
        <f>HYPERLINK("https://www.youtube.com/watch?v=2eL9r9rlcOc", "영상 보기 ▶")</f>
        <v/>
      </c>
    </row>
    <row r="158" ht="26" customHeight="1">
      <c r="A158" s="2" t="n">
        <v>157</v>
      </c>
      <c r="B158" s="3" t="inlineStr">
        <is>
          <t>총정리 4탄</t>
        </is>
      </c>
      <c r="C158" s="3" t="inlineStr">
        <is>
          <t>감정 표현</t>
        </is>
      </c>
      <c r="D158" s="4" t="inlineStr">
        <is>
          <t>upset</t>
        </is>
      </c>
      <c r="E158" s="11" t="inlineStr">
        <is>
          <t>속상한, 마음이 상한 (화난 게 아니라 마음이 상한 것)</t>
        </is>
      </c>
      <c r="F158" s="11" t="inlineStr">
        <is>
          <t>Don't be upset. It's not your fault.</t>
        </is>
      </c>
      <c r="G158" s="11" t="inlineStr">
        <is>
          <t>너무 속상해하지 마. 네 잘못이 아니야.</t>
        </is>
      </c>
      <c r="H158" s="5">
        <f>HYPERLINK("https://www.youtube.com/watch?v=2eL9r9rlcOc", "영상 보기 ▶")</f>
        <v/>
      </c>
    </row>
    <row r="159" ht="26" customHeight="1">
      <c r="A159" s="6" t="n">
        <v>158</v>
      </c>
      <c r="B159" s="7" t="inlineStr">
        <is>
          <t>총정리 4탄</t>
        </is>
      </c>
      <c r="C159" s="7" t="inlineStr">
        <is>
          <t>감정 표현</t>
        </is>
      </c>
      <c r="D159" s="8" t="inlineStr">
        <is>
          <t>humiliated</t>
        </is>
      </c>
      <c r="E159" s="12" t="inlineStr">
        <is>
          <t>굴욕적인, 심한 수치심을 느끼는</t>
        </is>
      </c>
      <c r="F159" s="12" t="inlineStr">
        <is>
          <t>I felt so humiliated.</t>
        </is>
      </c>
      <c r="G159" s="12" t="inlineStr">
        <is>
          <t>나 정말 굴욕적이었어.</t>
        </is>
      </c>
      <c r="H159" s="9">
        <f>HYPERLINK("https://www.youtube.com/watch?v=2eL9r9rlcOc", "영상 보기 ▶")</f>
        <v/>
      </c>
    </row>
    <row r="160" ht="26" customHeight="1">
      <c r="A160" s="2" t="n">
        <v>159</v>
      </c>
      <c r="B160" s="3" t="inlineStr">
        <is>
          <t>총정리 4탄</t>
        </is>
      </c>
      <c r="C160" s="3" t="inlineStr">
        <is>
          <t>일상 회화</t>
        </is>
      </c>
      <c r="D160" s="4" t="inlineStr">
        <is>
          <t>I gotta run</t>
        </is>
      </c>
      <c r="E160" s="11" t="inlineStr">
        <is>
          <t>나 빨리 가봐야 해 (서둘러 자리를 뜰 때)</t>
        </is>
      </c>
      <c r="F160" s="11" t="inlineStr">
        <is>
          <t>Sorry, but I gotta run.</t>
        </is>
      </c>
      <c r="G160" s="11" t="inlineStr">
        <is>
          <t>미안한데 나 지금 빨리 가봐야 해.</t>
        </is>
      </c>
      <c r="H160" s="5">
        <f>HYPERLINK("https://www.youtube.com/watch?v=2eL9r9rlcOc", "영상 보기 ▶")</f>
        <v/>
      </c>
    </row>
    <row r="161" ht="26" customHeight="1">
      <c r="A161" s="6" t="n">
        <v>160</v>
      </c>
      <c r="B161" s="7" t="inlineStr">
        <is>
          <t>총정리 4탄</t>
        </is>
      </c>
      <c r="C161" s="7" t="inlineStr">
        <is>
          <t>일상 회화</t>
        </is>
      </c>
      <c r="D161" s="8" t="inlineStr">
        <is>
          <t>run an errand</t>
        </is>
      </c>
      <c r="E161" s="12" t="inlineStr">
        <is>
          <t>볼일을 보다, 심부름 가다</t>
        </is>
      </c>
      <c r="F161" s="12" t="inlineStr">
        <is>
          <t>I need to run an errand during lunch.</t>
        </is>
      </c>
      <c r="G161" s="12" t="inlineStr">
        <is>
          <t>점심시간에 잠깐 볼일 좀 보고 와야 해.</t>
        </is>
      </c>
      <c r="H161" s="9">
        <f>HYPERLINK("https://www.youtube.com/watch?v=2eL9r9rlcOc", "영상 보기 ▶")</f>
        <v/>
      </c>
    </row>
    <row r="162" ht="26" customHeight="1">
      <c r="A162" s="2" t="n">
        <v>161</v>
      </c>
      <c r="B162" s="3" t="inlineStr">
        <is>
          <t>총정리 4탄</t>
        </is>
      </c>
      <c r="C162" s="3" t="inlineStr">
        <is>
          <t>상황 표현</t>
        </is>
      </c>
      <c r="D162" s="4" t="inlineStr">
        <is>
          <t>run around</t>
        </is>
      </c>
      <c r="E162" s="11" t="inlineStr">
        <is>
          <t>이곳저곳 정신없이 다니다</t>
        </is>
      </c>
      <c r="F162" s="11" t="inlineStr">
        <is>
          <t>I've been running around all morning.</t>
        </is>
      </c>
      <c r="G162" s="11" t="inlineStr">
        <is>
          <t>아침 내내 정신없이 이리저리 뛰어다녔어.</t>
        </is>
      </c>
      <c r="H162" s="5">
        <f>HYPERLINK("https://www.youtube.com/watch?v=2eL9r9rlcOc", "영상 보기 ▶")</f>
        <v/>
      </c>
    </row>
    <row r="163" ht="26" customHeight="1">
      <c r="A163" s="6" t="n">
        <v>162</v>
      </c>
      <c r="B163" s="7" t="inlineStr">
        <is>
          <t>총정리 4탄</t>
        </is>
      </c>
      <c r="C163" s="7" t="inlineStr">
        <is>
          <t>업무 역할</t>
        </is>
      </c>
      <c r="D163" s="8" t="inlineStr">
        <is>
          <t>be in charge</t>
        </is>
      </c>
      <c r="E163" s="12" t="inlineStr">
        <is>
          <t>~를 담당하다, 책임지다</t>
        </is>
      </c>
      <c r="F163" s="12" t="inlineStr">
        <is>
          <t>Who is in charge of this project?</t>
        </is>
      </c>
      <c r="G163" s="12" t="inlineStr">
        <is>
          <t>이 프로젝트 담당자가 누구인가요?</t>
        </is>
      </c>
      <c r="H163" s="9">
        <f>HYPERLINK("https://www.youtube.com/watch?v=2eL9r9rlcOc", "영상 보기 ▶")</f>
        <v/>
      </c>
    </row>
    <row r="164" ht="26" customHeight="1">
      <c r="A164" s="2" t="n">
        <v>163</v>
      </c>
      <c r="B164" s="3" t="inlineStr">
        <is>
          <t>총정리 4탄</t>
        </is>
      </c>
      <c r="C164" s="3" t="inlineStr">
        <is>
          <t>일정 지연</t>
        </is>
      </c>
      <c r="D164" s="4" t="inlineStr">
        <is>
          <t>ran late</t>
        </is>
      </c>
      <c r="E164" s="11" t="inlineStr">
        <is>
          <t>(회의/일정이) 늦게 끝나다, 지체되다</t>
        </is>
      </c>
      <c r="F164" s="11" t="inlineStr">
        <is>
          <t>My previous meeting ran late.</t>
        </is>
      </c>
      <c r="G164" s="11" t="inlineStr">
        <is>
          <t>이전 회의가 늦게 끝났어요.</t>
        </is>
      </c>
      <c r="H164" s="5">
        <f>HYPERLINK("https://www.youtube.com/watch?v=2eL9r9rlcOc", "영상 보기 ▶")</f>
        <v/>
      </c>
    </row>
    <row r="165" ht="26" customHeight="1">
      <c r="A165" s="6" t="n">
        <v>164</v>
      </c>
      <c r="B165" s="7" t="inlineStr">
        <is>
          <t>총정리 4탄</t>
        </is>
      </c>
      <c r="C165" s="7" t="inlineStr">
        <is>
          <t>약속 지각</t>
        </is>
      </c>
      <c r="D165" s="8" t="inlineStr">
        <is>
          <t>run late</t>
        </is>
      </c>
      <c r="E165" s="12" t="inlineStr">
        <is>
          <t>(약속 시간에) 늦다, 지각하다</t>
        </is>
      </c>
      <c r="F165" s="12" t="inlineStr">
        <is>
          <t>I'm running a few minutes late.</t>
        </is>
      </c>
      <c r="G165" s="12" t="inlineStr">
        <is>
          <t>저 몇 분 정도 늦을 것 같아요.</t>
        </is>
      </c>
      <c r="H165" s="9">
        <f>HYPERLINK("https://www.youtube.com/watch?v=2eL9r9rlcOc", "영상 보기 ▶")</f>
        <v/>
      </c>
    </row>
    <row r="166" ht="26" customHeight="1">
      <c r="A166" s="2" t="n">
        <v>165</v>
      </c>
      <c r="B166" s="3" t="inlineStr">
        <is>
          <t>총정리 4탄</t>
        </is>
      </c>
      <c r="C166" s="3" t="inlineStr">
        <is>
          <t>일상 마주침</t>
        </is>
      </c>
      <c r="D166" s="4" t="inlineStr">
        <is>
          <t>run into</t>
        </is>
      </c>
      <c r="E166" s="11" t="inlineStr">
        <is>
          <t>우연히 마주치다 (= bump into)</t>
        </is>
      </c>
      <c r="F166" s="11" t="inlineStr">
        <is>
          <t>I ran into an old friend today.</t>
        </is>
      </c>
      <c r="G166" s="11" t="inlineStr">
        <is>
          <t>오늘 우연히 옛날 친구를 마주쳤어.</t>
        </is>
      </c>
      <c r="H166" s="5">
        <f>HYPERLINK("https://www.youtube.com/watch?v=2eL9r9rlcOc", "영상 보기 ▶")</f>
        <v/>
      </c>
    </row>
    <row r="167" ht="26" customHeight="1">
      <c r="A167" s="6" t="n">
        <v>166</v>
      </c>
      <c r="B167" s="7" t="inlineStr">
        <is>
          <t>총정리 4탄</t>
        </is>
      </c>
      <c r="C167" s="7" t="inlineStr">
        <is>
          <t>자원 부족</t>
        </is>
      </c>
      <c r="D167" s="8" t="inlineStr">
        <is>
          <t>run out of</t>
        </is>
      </c>
      <c r="E167" s="12" t="inlineStr">
        <is>
          <t>바닥나다, 다 떨어지다</t>
        </is>
      </c>
      <c r="F167" s="12" t="inlineStr">
        <is>
          <t>We're running out of time.</t>
        </is>
      </c>
      <c r="G167" s="12" t="inlineStr">
        <is>
          <t>우리 시간이 다 떨어져 가.</t>
        </is>
      </c>
      <c r="H167" s="9">
        <f>HYPERLINK("https://www.youtube.com/watch?v=2eL9r9rlcOc", "영상 보기 ▶")</f>
        <v/>
      </c>
    </row>
    <row r="168" ht="26" customHeight="1">
      <c r="A168" s="2" t="n">
        <v>167</v>
      </c>
      <c r="B168" s="3" t="inlineStr">
        <is>
          <t>총정리 4탄</t>
        </is>
      </c>
      <c r="C168" s="3" t="inlineStr">
        <is>
          <t>자원 부족</t>
        </is>
      </c>
      <c r="D168" s="4" t="inlineStr">
        <is>
          <t>run short on</t>
        </is>
      </c>
      <c r="E168" s="11" t="inlineStr">
        <is>
          <t>부족하다, 딸리다</t>
        </is>
      </c>
      <c r="F168" s="11" t="inlineStr">
        <is>
          <t>We're running short on cash.</t>
        </is>
      </c>
      <c r="G168" s="11" t="inlineStr">
        <is>
          <t>우리 현금이 좀 부족해.</t>
        </is>
      </c>
      <c r="H168" s="5">
        <f>HYPERLINK("https://www.youtube.com/watch?v=2eL9r9rlcOc", "영상 보기 ▶")</f>
        <v/>
      </c>
    </row>
    <row r="169" ht="26" customHeight="1">
      <c r="A169" s="6" t="n">
        <v>168</v>
      </c>
      <c r="B169" s="7" t="inlineStr">
        <is>
          <t>총정리 4탄</t>
        </is>
      </c>
      <c r="C169" s="7" t="inlineStr">
        <is>
          <t>작동 방식</t>
        </is>
      </c>
      <c r="D169" s="8" t="inlineStr">
        <is>
          <t>run on</t>
        </is>
      </c>
      <c r="E169" s="12" t="inlineStr">
        <is>
          <t>~로 작동하다, 굴러가다</t>
        </is>
      </c>
      <c r="F169" s="12" t="inlineStr">
        <is>
          <t>This car runs on electricity.</t>
        </is>
      </c>
      <c r="G169" s="12" t="inlineStr">
        <is>
          <t>이 차는 전기로 작동해요.</t>
        </is>
      </c>
      <c r="H169" s="9">
        <f>HYPERLINK("https://www.youtube.com/watch?v=2eL9r9rlcOc", "영상 보기 ▶")</f>
        <v/>
      </c>
    </row>
    <row r="170" ht="26" customHeight="1">
      <c r="A170" s="2" t="n">
        <v>169</v>
      </c>
      <c r="B170" s="3" t="inlineStr">
        <is>
          <t>총정리 4탄</t>
        </is>
      </c>
      <c r="C170" s="3" t="inlineStr">
        <is>
          <t>의견 타진</t>
        </is>
      </c>
      <c r="D170" s="4" t="inlineStr">
        <is>
          <t>run (sth) by/past (sb)</t>
        </is>
      </c>
      <c r="E170" s="11" t="inlineStr">
        <is>
          <t>(피드백을 듣기 위해) ~에게 의견을 구하다</t>
        </is>
      </c>
      <c r="F170" s="11" t="inlineStr">
        <is>
          <t>Can I run an idea by you?</t>
        </is>
      </c>
      <c r="G170" s="11" t="inlineStr">
        <is>
          <t>내 아이디어에 대해 의견 좀 물어봐도 될까?</t>
        </is>
      </c>
      <c r="H170" s="5">
        <f>HYPERLINK("https://www.youtube.com/watch?v=2eL9r9rlcOc", "영상 보기 ▶")</f>
        <v/>
      </c>
    </row>
    <row r="171" ht="26" customHeight="1">
      <c r="A171" s="6" t="n">
        <v>170</v>
      </c>
      <c r="B171" s="7" t="inlineStr">
        <is>
          <t>총정리 4탄</t>
        </is>
      </c>
      <c r="C171" s="7" t="inlineStr">
        <is>
          <t>조건 표현</t>
        </is>
      </c>
      <c r="D171" s="8" t="inlineStr">
        <is>
          <t>in that case</t>
        </is>
      </c>
      <c r="E171" s="12" t="inlineStr">
        <is>
          <t>그런 경우라면, 그렇다면</t>
        </is>
      </c>
      <c r="F171" s="12" t="inlineStr">
        <is>
          <t>In that case, let's meet tomorrow.</t>
        </is>
      </c>
      <c r="G171" s="12" t="inlineStr">
        <is>
          <t>그렇다면 우리 내일 만나요.</t>
        </is>
      </c>
      <c r="H171" s="9">
        <f>HYPERLINK("https://www.youtube.com/watch?v=2eL9r9rlcOc", "영상 보기 ▶")</f>
        <v/>
      </c>
    </row>
    <row r="172" ht="26" customHeight="1">
      <c r="A172" s="2" t="n">
        <v>171</v>
      </c>
      <c r="B172" s="3" t="inlineStr">
        <is>
          <t>총정리 4탄</t>
        </is>
      </c>
      <c r="C172" s="3" t="inlineStr">
        <is>
          <t>대비 표현</t>
        </is>
      </c>
      <c r="D172" s="4" t="inlineStr">
        <is>
          <t>just in case</t>
        </is>
      </c>
      <c r="E172" s="11" t="inlineStr">
        <is>
          <t>혹시 모르니까, 만약의 경우를 대비해</t>
        </is>
      </c>
      <c r="F172" s="11" t="inlineStr">
        <is>
          <t>Take an umbrella just in case.</t>
        </is>
      </c>
      <c r="G172" s="11" t="inlineStr">
        <is>
          <t>혹시 모르니까 우산 챙겨가.</t>
        </is>
      </c>
      <c r="H172" s="5">
        <f>HYPERLINK("https://www.youtube.com/watch?v=2eL9r9rlcOc", "영상 보기 ▶")</f>
        <v/>
      </c>
    </row>
    <row r="173" ht="26" customHeight="1">
      <c r="A173" s="6" t="n">
        <v>172</v>
      </c>
      <c r="B173" s="7" t="inlineStr">
        <is>
          <t>총정리 4탄</t>
        </is>
      </c>
      <c r="C173" s="7" t="inlineStr">
        <is>
          <t>상황 판단</t>
        </is>
      </c>
      <c r="D173" s="8" t="inlineStr">
        <is>
          <t>case-by-case</t>
        </is>
      </c>
      <c r="E173" s="12" t="inlineStr">
        <is>
          <t>상황에 따라 다른, 그때그때 다른</t>
        </is>
      </c>
      <c r="F173" s="12" t="inlineStr">
        <is>
          <t>It depends, it's case-by-case.</t>
        </is>
      </c>
      <c r="G173" s="12" t="inlineStr">
        <is>
          <t>상황에 따라 그때그때 달라요.</t>
        </is>
      </c>
      <c r="H173" s="9">
        <f>HYPERLINK("https://www.youtube.com/watch?v=2eL9r9rlcOc", "영상 보기 ▶")</f>
        <v/>
      </c>
    </row>
    <row r="174" ht="26" customHeight="1">
      <c r="A174" s="2" t="n">
        <v>173</v>
      </c>
      <c r="B174" s="3" t="inlineStr">
        <is>
          <t>총정리 4탄</t>
        </is>
      </c>
      <c r="C174" s="3" t="inlineStr">
        <is>
          <t>걱정/가정</t>
        </is>
      </c>
      <c r="D174" s="4" t="inlineStr">
        <is>
          <t>What if ~?</t>
        </is>
      </c>
      <c r="E174" s="11" t="inlineStr">
        <is>
          <t>(아직 안 일어난 일을 걱정하며) ~하면 어쩌지?</t>
        </is>
      </c>
      <c r="F174" s="11" t="inlineStr">
        <is>
          <t>What if it doesn't work?</t>
        </is>
      </c>
      <c r="G174" s="11" t="inlineStr">
        <is>
          <t>효과가 없으면 어쩌지?</t>
        </is>
      </c>
      <c r="H174" s="5">
        <f>HYPERLINK("https://www.youtube.com/watch?v=2eL9r9rlcOc", "영상 보기 ▶")</f>
        <v/>
      </c>
    </row>
    <row r="175" ht="26" customHeight="1">
      <c r="A175" s="6" t="n">
        <v>174</v>
      </c>
      <c r="B175" s="7" t="inlineStr">
        <is>
          <t>총정리 4탄</t>
        </is>
      </c>
      <c r="C175" s="7" t="inlineStr">
        <is>
          <t>고의 여부</t>
        </is>
      </c>
      <c r="D175" s="8" t="inlineStr">
        <is>
          <t>on purpose</t>
        </is>
      </c>
      <c r="E175" s="12" t="inlineStr">
        <is>
          <t>일부러, 고의로</t>
        </is>
      </c>
      <c r="F175" s="12" t="inlineStr">
        <is>
          <t>I didn't do it on purpose.</t>
        </is>
      </c>
      <c r="G175" s="12" t="inlineStr">
        <is>
          <t>저 그거 일부러 그런 거 아니에요.</t>
        </is>
      </c>
      <c r="H175" s="9">
        <f>HYPERLINK("https://www.youtube.com/watch?v=2eL9r9rlcOc", "영상 보기 ▶")</f>
        <v/>
      </c>
    </row>
    <row r="176" ht="26" customHeight="1">
      <c r="A176" s="2" t="n">
        <v>175</v>
      </c>
      <c r="B176" s="3" t="inlineStr">
        <is>
          <t>총정리 4탄</t>
        </is>
      </c>
      <c r="C176" s="3" t="inlineStr">
        <is>
          <t>의도 표현</t>
        </is>
      </c>
      <c r="D176" s="4" t="inlineStr">
        <is>
          <t>meant to</t>
        </is>
      </c>
      <c r="E176" s="11" t="inlineStr">
        <is>
          <t>의도한 (I didn't mean to ~)</t>
        </is>
      </c>
      <c r="F176" s="11" t="inlineStr">
        <is>
          <t>I didn't mean to hurt your feelings.</t>
        </is>
      </c>
      <c r="G176" s="11" t="inlineStr">
        <is>
          <t>너 마음 상하게 하려던 의도는 아니었어.</t>
        </is>
      </c>
      <c r="H176" s="5">
        <f>HYPERLINK("https://www.youtube.com/watch?v=2eL9r9rlcOc", "영상 보기 ▶")</f>
        <v/>
      </c>
    </row>
    <row r="177" ht="26" customHeight="1">
      <c r="A177" s="6" t="n">
        <v>176</v>
      </c>
      <c r="B177" s="7" t="inlineStr">
        <is>
          <t>총정리 4탄</t>
        </is>
      </c>
      <c r="C177" s="7" t="inlineStr">
        <is>
          <t>고의 여부</t>
        </is>
      </c>
      <c r="D177" s="8" t="inlineStr">
        <is>
          <t>intentional</t>
        </is>
      </c>
      <c r="E177" s="12" t="inlineStr">
        <is>
          <t>고의적인, 의도적인</t>
        </is>
      </c>
      <c r="F177" s="12" t="inlineStr">
        <is>
          <t>It was completely unintentional.</t>
        </is>
      </c>
      <c r="G177" s="12" t="inlineStr">
        <is>
          <t>전혀 의도한 게 아니었어요.</t>
        </is>
      </c>
      <c r="H177" s="9">
        <f>HYPERLINK("https://www.youtube.com/watch?v=2eL9r9rlcOc", "영상 보기 ▶")</f>
        <v/>
      </c>
    </row>
    <row r="178" ht="26" customHeight="1">
      <c r="A178" s="2" t="n">
        <v>177</v>
      </c>
      <c r="B178" s="3" t="inlineStr">
        <is>
          <t>총정리 4탄</t>
        </is>
      </c>
      <c r="C178" s="3" t="inlineStr">
        <is>
          <t>행동 부사</t>
        </is>
      </c>
      <c r="D178" s="4" t="inlineStr">
        <is>
          <t>deliberately</t>
        </is>
      </c>
      <c r="E178" s="11" t="inlineStr">
        <is>
          <t>의도적으로, 신중하게</t>
        </is>
      </c>
      <c r="F178" s="11" t="inlineStr">
        <is>
          <t>He deliberately ignored my question.</t>
        </is>
      </c>
      <c r="G178" s="11" t="inlineStr">
        <is>
          <t>그는 내 질문을 의도적으로 무시했어.</t>
        </is>
      </c>
      <c r="H178" s="5">
        <f>HYPERLINK("https://www.youtube.com/watch?v=2eL9r9rlcOc", "영상 보기 ▶")</f>
        <v/>
      </c>
    </row>
    <row r="179" ht="26" customHeight="1">
      <c r="A179" s="6" t="n">
        <v>178</v>
      </c>
      <c r="B179" s="7" t="inlineStr">
        <is>
          <t>총정리 4탄</t>
        </is>
      </c>
      <c r="C179" s="7" t="inlineStr">
        <is>
          <t>태도 형용사</t>
        </is>
      </c>
      <c r="D179" s="8" t="inlineStr">
        <is>
          <t>deliberate</t>
        </is>
      </c>
      <c r="E179" s="12" t="inlineStr">
        <is>
          <t>신중한, 심사숙고하다</t>
        </is>
      </c>
      <c r="F179" s="12" t="inlineStr">
        <is>
          <t>After deliberate consideration, we agreed.</t>
        </is>
      </c>
      <c r="G179" s="12" t="inlineStr">
        <is>
          <t>신중한 고려 끝에 우리는 합의했습니다.</t>
        </is>
      </c>
      <c r="H179" s="9">
        <f>HYPERLINK("https://www.youtube.com/watch?v=2eL9r9rlcOc", "영상 보기 ▶")</f>
        <v/>
      </c>
    </row>
    <row r="180" ht="26" customHeight="1">
      <c r="A180" s="2" t="n">
        <v>179</v>
      </c>
      <c r="B180" s="3" t="inlineStr">
        <is>
          <t>총정리 4탄</t>
        </is>
      </c>
      <c r="C180" s="3" t="inlineStr">
        <is>
          <t>설득 표현</t>
        </is>
      </c>
      <c r="D180" s="4" t="inlineStr">
        <is>
          <t>talk (sb) into</t>
        </is>
      </c>
      <c r="E180" s="11" t="inlineStr">
        <is>
          <t>설득해서 ~하게 만들다</t>
        </is>
      </c>
      <c r="F180" s="11" t="inlineStr">
        <is>
          <t>She talked me into buying this.</t>
        </is>
      </c>
      <c r="G180" s="11" t="inlineStr">
        <is>
          <t>그녀가 날 설득해서 이걸 사게 만들었어.</t>
        </is>
      </c>
      <c r="H180" s="5">
        <f>HYPERLINK("https://www.youtube.com/watch?v=2eL9r9rlcOc", "영상 보기 ▶")</f>
        <v/>
      </c>
    </row>
    <row r="181" ht="26" customHeight="1">
      <c r="A181" s="6" t="n">
        <v>180</v>
      </c>
      <c r="B181" s="7" t="inlineStr">
        <is>
          <t>총정리 4탄</t>
        </is>
      </c>
      <c r="C181" s="7" t="inlineStr">
        <is>
          <t>설득 표현</t>
        </is>
      </c>
      <c r="D181" s="8" t="inlineStr">
        <is>
          <t>talk (sb) out of</t>
        </is>
      </c>
      <c r="E181" s="12" t="inlineStr">
        <is>
          <t>설득해서 ~하지 않게 말리다</t>
        </is>
      </c>
      <c r="F181" s="12" t="inlineStr">
        <is>
          <t>I talked him out of quitting his job.</t>
        </is>
      </c>
      <c r="G181" s="12" t="inlineStr">
        <is>
          <t>내가 그 사람 퇴사하지 말라고 설득해서 말렸어.</t>
        </is>
      </c>
      <c r="H181" s="9">
        <f>HYPERLINK("https://www.youtube.com/watch?v=2eL9r9rlcOc", "영상 보기 ▶")</f>
        <v/>
      </c>
    </row>
    <row r="182" ht="26" customHeight="1">
      <c r="A182" s="2" t="n">
        <v>181</v>
      </c>
      <c r="B182" s="3" t="inlineStr">
        <is>
          <t>총정리 4탄</t>
        </is>
      </c>
      <c r="C182" s="3" t="inlineStr">
        <is>
          <t>기대 표현</t>
        </is>
      </c>
      <c r="D182" s="4" t="inlineStr">
        <is>
          <t>look forward to</t>
        </is>
      </c>
      <c r="E182" s="11" t="inlineStr">
        <is>
          <t>기대하다, 고대하다</t>
        </is>
      </c>
      <c r="F182" s="11" t="inlineStr">
        <is>
          <t>I look forward to working with you.</t>
        </is>
      </c>
      <c r="G182" s="11" t="inlineStr">
        <is>
          <t>함께 일하게 되기를 기대합니다.</t>
        </is>
      </c>
      <c r="H182" s="5">
        <f>HYPERLINK("https://www.youtube.com/watch?v=2eL9r9rlcOc", "영상 보기 ▶")</f>
        <v/>
      </c>
    </row>
    <row r="183" ht="26" customHeight="1">
      <c r="A183" s="6" t="n">
        <v>182</v>
      </c>
      <c r="B183" s="7" t="inlineStr">
        <is>
          <t>총정리 4탄</t>
        </is>
      </c>
      <c r="C183" s="7" t="inlineStr">
        <is>
          <t>기대 표현</t>
        </is>
      </c>
      <c r="D183" s="8" t="inlineStr">
        <is>
          <t>can't wait to</t>
        </is>
      </c>
      <c r="E183" s="12" t="inlineStr">
        <is>
          <t>너무 기대되어 기다리기 힘들다</t>
        </is>
      </c>
      <c r="F183" s="12" t="inlineStr">
        <is>
          <t>I can't wait to see you.</t>
        </is>
      </c>
      <c r="G183" s="12" t="inlineStr">
        <is>
          <t>빨리 보고 싶어서 기다리기 힘들 정도야.</t>
        </is>
      </c>
      <c r="H183" s="9">
        <f>HYPERLINK("https://www.youtube.com/watch?v=2eL9r9rlcOc", "영상 보기 ▶")</f>
        <v/>
      </c>
    </row>
    <row r="184" ht="26" customHeight="1">
      <c r="A184" s="2" t="n">
        <v>183</v>
      </c>
      <c r="B184" s="3" t="inlineStr">
        <is>
          <t>총정리 4탄</t>
        </is>
      </c>
      <c r="C184" s="3" t="inlineStr">
        <is>
          <t>기대 표현</t>
        </is>
      </c>
      <c r="D184" s="4" t="inlineStr">
        <is>
          <t>count down the days</t>
        </is>
      </c>
      <c r="E184" s="11" t="inlineStr">
        <is>
          <t>손꼽아 기다리다</t>
        </is>
      </c>
      <c r="F184" s="11" t="inlineStr">
        <is>
          <t>I'm counting down the days until vacation.</t>
        </is>
      </c>
      <c r="G184" s="11" t="inlineStr">
        <is>
          <t>휴가 날짜를 손꼽아 기다리고 있어.</t>
        </is>
      </c>
      <c r="H184" s="5">
        <f>HYPERLINK("https://www.youtube.com/watch?v=2eL9r9rlcOc", "영상 보기 ▶")</f>
        <v/>
      </c>
    </row>
    <row r="185" ht="26" customHeight="1">
      <c r="A185" s="6" t="n">
        <v>184</v>
      </c>
      <c r="B185" s="7" t="inlineStr">
        <is>
          <t>총정리 4탄</t>
        </is>
      </c>
      <c r="C185" s="7" t="inlineStr">
        <is>
          <t>행운 기원</t>
        </is>
      </c>
      <c r="D185" s="8" t="inlineStr">
        <is>
          <t>keep fingers crossed</t>
        </is>
      </c>
      <c r="E185" s="12" t="inlineStr">
        <is>
          <t>행운을 빌다</t>
        </is>
      </c>
      <c r="F185" s="12" t="inlineStr">
        <is>
          <t>Keep your fingers crossed for me!</t>
        </is>
      </c>
      <c r="G185" s="12" t="inlineStr">
        <is>
          <t>날 위해 행운을 빌어줘!</t>
        </is>
      </c>
      <c r="H185" s="9">
        <f>HYPERLINK("https://www.youtube.com/watch?v=2eL9r9rlcOc", "영상 보기 ▶")</f>
        <v/>
      </c>
    </row>
    <row r="186" ht="26" customHeight="1">
      <c r="A186" s="2" t="n">
        <v>185</v>
      </c>
      <c r="B186" s="3" t="inlineStr">
        <is>
          <t>총정리 4탄</t>
        </is>
      </c>
      <c r="C186" s="3" t="inlineStr">
        <is>
          <t>미신/예방</t>
        </is>
      </c>
      <c r="D186" s="4" t="inlineStr">
        <is>
          <t>knock on wood</t>
        </is>
      </c>
      <c r="E186" s="11" t="inlineStr">
        <is>
          <t>부정 타지 않게 나무를 두드리다</t>
        </is>
      </c>
      <c r="F186" s="11" t="inlineStr">
        <is>
          <t>No issues so far, knock on wood.</t>
        </is>
      </c>
      <c r="G186" s="11" t="inlineStr">
        <is>
          <t>지금까지는 문제없어, 부정 안 타게 빌어야지.</t>
        </is>
      </c>
      <c r="H186" s="5">
        <f>HYPERLINK("https://www.youtube.com/watch?v=2eL9r9rlcOc", "영상 보기 ▶")</f>
        <v/>
      </c>
    </row>
    <row r="187" ht="26" customHeight="1">
      <c r="A187" s="6" t="n">
        <v>186</v>
      </c>
      <c r="B187" s="7" t="inlineStr">
        <is>
          <t>총정리 4탄</t>
        </is>
      </c>
      <c r="C187" s="7" t="inlineStr">
        <is>
          <t>미신/징크스</t>
        </is>
      </c>
      <c r="D187" s="8" t="inlineStr">
        <is>
          <t>jinx</t>
        </is>
      </c>
      <c r="E187" s="12" t="inlineStr">
        <is>
          <t>징크스, 불운을 가져오다</t>
        </is>
      </c>
      <c r="F187" s="12" t="inlineStr">
        <is>
          <t>Don't say that, you'll jinx it!</t>
        </is>
      </c>
      <c r="G187" s="12" t="inlineStr">
        <is>
          <t>그런 말 하지 마, 부정 타!</t>
        </is>
      </c>
      <c r="H187" s="9">
        <f>HYPERLINK("https://www.youtube.com/watch?v=2eL9r9rlcOc", "영상 보기 ▶")</f>
        <v/>
      </c>
    </row>
    <row r="188" ht="26" customHeight="1">
      <c r="A188" s="2" t="n">
        <v>187</v>
      </c>
      <c r="B188" s="3" t="inlineStr">
        <is>
          <t>총정리 4탄</t>
        </is>
      </c>
      <c r="C188" s="3" t="inlineStr">
        <is>
          <t>불신 표현</t>
        </is>
      </c>
      <c r="D188" s="4" t="inlineStr">
        <is>
          <t>I don't buy it</t>
        </is>
      </c>
      <c r="E188" s="11" t="inlineStr">
        <is>
          <t>난 안 믿어, 안 넘어가</t>
        </is>
      </c>
      <c r="F188" s="11" t="inlineStr">
        <is>
          <t>That sounds like an excuse. I don't buy it.</t>
        </is>
      </c>
      <c r="G188" s="11" t="inlineStr">
        <is>
          <t>변명 같은데. 난 안 믿어.</t>
        </is>
      </c>
      <c r="H188" s="5">
        <f>HYPERLINK("https://www.youtube.com/watch?v=2eL9r9rlcOc", "영상 보기 ▶")</f>
        <v/>
      </c>
    </row>
    <row r="189" ht="26" customHeight="1">
      <c r="A189" s="6" t="n">
        <v>188</v>
      </c>
      <c r="B189" s="7" t="inlineStr">
        <is>
          <t>총정리 4탄</t>
        </is>
      </c>
      <c r="C189" s="7" t="inlineStr">
        <is>
          <t>인정/신뢰</t>
        </is>
      </c>
      <c r="D189" s="8" t="inlineStr">
        <is>
          <t>buy</t>
        </is>
      </c>
      <c r="E189" s="12" t="inlineStr">
        <is>
          <t>(의견/변명을) 믿다, 인정하다</t>
        </is>
      </c>
      <c r="F189" s="12" t="inlineStr">
        <is>
          <t>Nobody is going to buy that story.</t>
        </is>
      </c>
      <c r="G189" s="12" t="inlineStr">
        <is>
          <t>그 이야기를 믿을 사람은 아무도 없어.</t>
        </is>
      </c>
      <c r="H189" s="9">
        <f>HYPERLINK("https://www.youtube.com/watch?v=2eL9r9rlcOc", "영상 보기 ▶")</f>
        <v/>
      </c>
    </row>
    <row r="190" ht="26" customHeight="1">
      <c r="A190" s="2" t="n">
        <v>189</v>
      </c>
      <c r="B190" s="3" t="inlineStr">
        <is>
          <t>총정리 4탄</t>
        </is>
      </c>
      <c r="C190" s="3" t="inlineStr">
        <is>
          <t>설득/납득</t>
        </is>
      </c>
      <c r="D190" s="4" t="inlineStr">
        <is>
          <t>sell</t>
        </is>
      </c>
      <c r="E190" s="11" t="inlineStr">
        <is>
          <t>납득시키다, 설득하다</t>
        </is>
      </c>
      <c r="F190" s="11" t="inlineStr">
        <is>
          <t>I'm not completely sold on this idea.</t>
        </is>
      </c>
      <c r="G190" s="11" t="inlineStr">
        <is>
          <t>난 이 아이디어에 완전히 납득되지는 않아.</t>
        </is>
      </c>
      <c r="H190" s="5">
        <f>HYPERLINK("https://www.youtube.com/watch?v=2eL9r9rlcOc", "영상 보기 ▶")</f>
        <v/>
      </c>
    </row>
    <row r="191" ht="26" customHeight="1">
      <c r="A191" s="6" t="n">
        <v>190</v>
      </c>
      <c r="B191" s="7" t="inlineStr">
        <is>
          <t>총정리 4탄</t>
        </is>
      </c>
      <c r="C191" s="7" t="inlineStr">
        <is>
          <t>제안/발표</t>
        </is>
      </c>
      <c r="D191" s="8" t="inlineStr">
        <is>
          <t>pitch</t>
        </is>
      </c>
      <c r="E191" s="12" t="inlineStr">
        <is>
          <t>(아이디어/상품을) 제안하다, 프레젠테이션하다</t>
        </is>
      </c>
      <c r="F191" s="12" t="inlineStr">
        <is>
          <t>We're pitching our idea to investors today.</t>
        </is>
      </c>
      <c r="G191" s="12" t="inlineStr">
        <is>
          <t>우리 오늘 투자자들에게 아이디어를 제안해.</t>
        </is>
      </c>
      <c r="H191" s="9">
        <f>HYPERLINK("https://www.youtube.com/watch?v=2eL9r9rlcOc", "영상 보기 ▶")</f>
        <v/>
      </c>
    </row>
    <row r="192" ht="26" customHeight="1">
      <c r="A192" s="2" t="n">
        <v>191</v>
      </c>
      <c r="B192" s="3" t="inlineStr">
        <is>
          <t>총정리 4탄</t>
        </is>
      </c>
      <c r="C192" s="3" t="inlineStr">
        <is>
          <t>비즈니스</t>
        </is>
      </c>
      <c r="D192" s="4" t="inlineStr">
        <is>
          <t>elevator pitch</t>
        </is>
      </c>
      <c r="E192" s="11" t="inlineStr">
        <is>
          <t>짧고 강렬한 핵심 브리핑 (엘리베이터 브리핑)</t>
        </is>
      </c>
      <c r="F192" s="11" t="inlineStr">
        <is>
          <t>Give me your 30-second elevator pitch.</t>
        </is>
      </c>
      <c r="G192" s="11" t="inlineStr">
        <is>
          <t>30초짜리 핵심 브리핑 한번 해봐.</t>
        </is>
      </c>
      <c r="H192" s="5">
        <f>HYPERLINK("https://www.youtube.com/watch?v=2eL9r9rlcOc", "영상 보기 ▶")</f>
        <v/>
      </c>
    </row>
    <row r="193" ht="26" customHeight="1">
      <c r="A193" s="6" t="n">
        <v>192</v>
      </c>
      <c r="B193" s="7" t="inlineStr">
        <is>
          <t>총정리 4탄</t>
        </is>
      </c>
      <c r="C193" s="7" t="inlineStr">
        <is>
          <t>난이도/상황</t>
        </is>
      </c>
      <c r="D193" s="8" t="inlineStr">
        <is>
          <t>tough</t>
        </is>
      </c>
      <c r="E193" s="12" t="inlineStr">
        <is>
          <t>힘든, 만만찮은</t>
        </is>
      </c>
      <c r="F193" s="12" t="inlineStr">
        <is>
          <t>It was a tough decision to make.</t>
        </is>
      </c>
      <c r="G193" s="12" t="inlineStr">
        <is>
          <t>내리기 정말 힘든 결정이었어.</t>
        </is>
      </c>
      <c r="H193" s="9">
        <f>HYPERLINK("https://www.youtube.com/watch?v=2eL9r9rlcOc", "영상 보기 ▶")</f>
        <v/>
      </c>
    </row>
    <row r="194" ht="26" customHeight="1">
      <c r="A194" s="2" t="n">
        <v>193</v>
      </c>
      <c r="B194" s="3" t="inlineStr">
        <is>
          <t>총정리 4탄</t>
        </is>
      </c>
      <c r="C194" s="3" t="inlineStr">
        <is>
          <t>고된 상황</t>
        </is>
      </c>
      <c r="D194" s="4" t="inlineStr">
        <is>
          <t>rough</t>
        </is>
      </c>
      <c r="E194" s="11" t="inlineStr">
        <is>
          <t>거친, 고된</t>
        </is>
      </c>
      <c r="F194" s="11" t="inlineStr">
        <is>
          <t>I had a rough day at work.</t>
        </is>
      </c>
      <c r="G194" s="11" t="inlineStr">
        <is>
          <t>오늘 회사에서 정말 힘든 하루를 보냈어.</t>
        </is>
      </c>
      <c r="H194" s="5">
        <f>HYPERLINK("https://www.youtube.com/watch?v=2eL9r9rlcOc", "영상 보기 ▶")</f>
        <v/>
      </c>
    </row>
    <row r="195" ht="26" customHeight="1">
      <c r="A195" s="6" t="n">
        <v>194</v>
      </c>
      <c r="B195" s="7" t="inlineStr">
        <is>
          <t>총정리 4탄</t>
        </is>
      </c>
      <c r="C195" s="7" t="inlineStr">
        <is>
          <t>바쁜 상태</t>
        </is>
      </c>
      <c r="D195" s="8" t="inlineStr">
        <is>
          <t>hectic</t>
        </is>
      </c>
      <c r="E195" s="12" t="inlineStr">
        <is>
          <t>눈코 뜰 새 없이 빡빡하고 바쁜</t>
        </is>
      </c>
      <c r="F195" s="12" t="inlineStr">
        <is>
          <t>My schedule is crazy hectic this week.</t>
        </is>
      </c>
      <c r="G195" s="12" t="inlineStr">
        <is>
          <t>이번 주 내 일정이 눈코 뜰 새 없이 빡빡해.</t>
        </is>
      </c>
      <c r="H195" s="9">
        <f>HYPERLINK("https://www.youtube.com/watch?v=2eL9r9rlcOc", "영상 보기 ▶")</f>
        <v/>
      </c>
    </row>
    <row r="196" ht="26" customHeight="1">
      <c r="A196" s="2" t="n">
        <v>195</v>
      </c>
      <c r="B196" s="3" t="inlineStr">
        <is>
          <t>총정리 4탄</t>
        </is>
      </c>
      <c r="C196" s="3" t="inlineStr">
        <is>
          <t>바쁜 상태</t>
        </is>
      </c>
      <c r="D196" s="4" t="inlineStr">
        <is>
          <t>crazy</t>
        </is>
      </c>
      <c r="E196" s="11" t="inlineStr">
        <is>
          <t>미친 듯이 바쁜</t>
        </is>
      </c>
      <c r="F196" s="11" t="inlineStr">
        <is>
          <t>Things have been crazy at the office.</t>
        </is>
      </c>
      <c r="G196" s="11" t="inlineStr">
        <is>
          <t>사무실 일이 요즘 미친 듯이 바빠.</t>
        </is>
      </c>
      <c r="H196" s="5">
        <f>HYPERLINK("https://www.youtube.com/watch?v=2eL9r9rlcOc", "영상 보기 ▶")</f>
        <v/>
      </c>
    </row>
    <row r="197" ht="26" customHeight="1">
      <c r="A197" s="6" t="n">
        <v>196</v>
      </c>
      <c r="B197" s="7" t="inlineStr">
        <is>
          <t>총정리 4탄</t>
        </is>
      </c>
      <c r="C197" s="7" t="inlineStr">
        <is>
          <t>바쁜 상태</t>
        </is>
      </c>
      <c r="D197" s="8" t="inlineStr">
        <is>
          <t>insane</t>
        </is>
      </c>
      <c r="E197" s="12" t="inlineStr">
        <is>
          <t>정신없이 바쁜, 엄청난</t>
        </is>
      </c>
      <c r="F197" s="12" t="inlineStr">
        <is>
          <t>The workload has been insane lately.</t>
        </is>
      </c>
      <c r="G197" s="12" t="inlineStr">
        <is>
          <t>최근 업무량이 정신나갈 정도로 많았어.</t>
        </is>
      </c>
      <c r="H197" s="9">
        <f>HYPERLINK("https://www.youtube.com/watch?v=2eL9r9rlcOc", "영상 보기 ▶")</f>
        <v/>
      </c>
    </row>
    <row r="198" ht="26" customHeight="1">
      <c r="A198" s="2" t="n">
        <v>197</v>
      </c>
      <c r="B198" s="3" t="inlineStr">
        <is>
          <t>총정리 4탄</t>
        </is>
      </c>
      <c r="C198" s="3" t="inlineStr">
        <is>
          <t>혼란 상태</t>
        </is>
      </c>
      <c r="D198" s="4" t="inlineStr">
        <is>
          <t>chaotic</t>
        </is>
      </c>
      <c r="E198" s="11" t="inlineStr">
        <is>
          <t>혼란스러운, 난장판인</t>
        </is>
      </c>
      <c r="F198" s="11" t="inlineStr">
        <is>
          <t>The morning was totally chaotic.</t>
        </is>
      </c>
      <c r="G198" s="11" t="inlineStr">
        <is>
          <t>오늘 아침은 완전히 정신없고 아수라장이었어.</t>
        </is>
      </c>
      <c r="H198" s="5">
        <f>HYPERLINK("https://www.youtube.com/watch?v=2eL9r9rlcOc", "영상 보기 ▶")</f>
        <v/>
      </c>
    </row>
    <row r="199" ht="26" customHeight="1">
      <c r="A199" s="6" t="n">
        <v>198</v>
      </c>
      <c r="B199" s="7" t="inlineStr">
        <is>
          <t>총정리 4탄</t>
        </is>
      </c>
      <c r="C199" s="7" t="inlineStr">
        <is>
          <t>감당 가능</t>
        </is>
      </c>
      <c r="D199" s="8" t="inlineStr">
        <is>
          <t>manageable</t>
        </is>
      </c>
      <c r="E199" s="12" t="inlineStr">
        <is>
          <t>감당할 수 있는, 처리 가능한</t>
        </is>
      </c>
      <c r="F199" s="12" t="inlineStr">
        <is>
          <t>The workload is quite manageable.</t>
        </is>
      </c>
      <c r="G199" s="12" t="inlineStr">
        <is>
          <t>업무량이 꽤 감당할 만한 수준이야.</t>
        </is>
      </c>
      <c r="H199" s="9">
        <f>HYPERLINK("https://www.youtube.com/watch?v=2eL9r9rlcOc", "영상 보기 ▶")</f>
        <v/>
      </c>
    </row>
    <row r="200" ht="26" customHeight="1">
      <c r="A200" s="2" t="n">
        <v>199</v>
      </c>
      <c r="B200" s="3" t="inlineStr">
        <is>
          <t>총정리 4탄</t>
        </is>
      </c>
      <c r="C200" s="3" t="inlineStr">
        <is>
          <t>통제 불능</t>
        </is>
      </c>
      <c r="D200" s="4" t="inlineStr">
        <is>
          <t>out of hand</t>
        </is>
      </c>
      <c r="E200" s="11" t="inlineStr">
        <is>
          <t>통제 불능인, 걷잡을 수 없는</t>
        </is>
      </c>
      <c r="F200" s="11" t="inlineStr">
        <is>
          <t>Things are getting out of hand.</t>
        </is>
      </c>
      <c r="G200" s="11" t="inlineStr">
        <is>
          <t>상황이 걷잡을 수 없이 커지고 있어.</t>
        </is>
      </c>
      <c r="H200" s="5">
        <f>HYPERLINK("https://www.youtube.com/watch?v=2eL9r9rlcOc", "영상 보기 ▶")</f>
        <v/>
      </c>
    </row>
    <row r="201" ht="26" customHeight="1">
      <c r="A201" s="6" t="n">
        <v>200</v>
      </c>
      <c r="B201" s="7" t="inlineStr">
        <is>
          <t>총정리 4탄</t>
        </is>
      </c>
      <c r="C201" s="7" t="inlineStr">
        <is>
          <t>통제 가능</t>
        </is>
      </c>
      <c r="D201" s="8" t="inlineStr">
        <is>
          <t>under control</t>
        </is>
      </c>
      <c r="E201" s="12" t="inlineStr">
        <is>
          <t>통제 하에 있는, 잘 관리되는</t>
        </is>
      </c>
      <c r="F201" s="12" t="inlineStr">
        <is>
          <t>Don't worry, everything is under control.</t>
        </is>
      </c>
      <c r="G201" s="12" t="inlineStr">
        <is>
          <t>걱정 마세요, 모든 상황이 잘 통제되고 있어요.</t>
        </is>
      </c>
      <c r="H201" s="9">
        <f>HYPERLINK("https://www.youtube.com/watch?v=2eL9r9rlcOc", "영상 보기 ▶")</f>
        <v/>
      </c>
    </row>
    <row r="202" ht="26" customHeight="1">
      <c r="A202" s="2" t="n">
        <v>201</v>
      </c>
      <c r="B202" s="3" t="inlineStr">
        <is>
          <t>총정리 5탄</t>
        </is>
      </c>
      <c r="C202" s="3" t="inlineStr">
        <is>
          <t>회의/업무</t>
        </is>
      </c>
      <c r="D202" s="4" t="inlineStr">
        <is>
          <t>where we left off</t>
        </is>
      </c>
      <c r="E202" s="11" t="inlineStr">
        <is>
          <t>(중단했던) 그만둔 지점</t>
        </is>
      </c>
      <c r="F202" s="11" t="inlineStr">
        <is>
          <t>Let's pick up where we left off.</t>
        </is>
      </c>
      <c r="G202" s="11" t="inlineStr">
        <is>
          <t>지난번에 멈췄던 부분부터 이어서 합시다.</t>
        </is>
      </c>
      <c r="H202" s="5">
        <f>HYPERLINK("https://www.youtube.com/watch?v=gW8zB52Q3Uo", "영상 보기 ▶")</f>
        <v/>
      </c>
    </row>
    <row r="203" ht="26" customHeight="1">
      <c r="A203" s="6" t="n">
        <v>202</v>
      </c>
      <c r="B203" s="7" t="inlineStr">
        <is>
          <t>총정리 5탄</t>
        </is>
      </c>
      <c r="C203" s="7" t="inlineStr">
        <is>
          <t>상세 설명</t>
        </is>
      </c>
      <c r="D203" s="8" t="inlineStr">
        <is>
          <t>elaborate</t>
        </is>
      </c>
      <c r="E203" s="12" t="inlineStr">
        <is>
          <t>덧붙여/자세히 설명하다</t>
        </is>
      </c>
      <c r="F203" s="12" t="inlineStr">
        <is>
          <t>Could you elaborate on that point?</t>
        </is>
      </c>
      <c r="G203" s="12" t="inlineStr">
        <is>
          <t>그 부분에 대해 좀 더 자세히 설명해 주실 수 있나요?</t>
        </is>
      </c>
      <c r="H203" s="9">
        <f>HYPERLINK("https://www.youtube.com/watch?v=gW8zB52Q3Uo", "영상 보기 ▶")</f>
        <v/>
      </c>
    </row>
    <row r="204" ht="26" customHeight="1">
      <c r="A204" s="2" t="n">
        <v>203</v>
      </c>
      <c r="B204" s="3" t="inlineStr">
        <is>
          <t>총정리 5탄</t>
        </is>
      </c>
      <c r="C204" s="3" t="inlineStr">
        <is>
          <t>절차 안내</t>
        </is>
      </c>
      <c r="D204" s="4" t="inlineStr">
        <is>
          <t>walk (sb) through</t>
        </is>
      </c>
      <c r="E204" s="11" t="inlineStr">
        <is>
          <t>차근차근 단계별로 설명해 주다/보여주다</t>
        </is>
      </c>
      <c r="F204" s="11" t="inlineStr">
        <is>
          <t>Let me walk you through the process.</t>
        </is>
      </c>
      <c r="G204" s="11" t="inlineStr">
        <is>
          <t>제가 그 절차를 차근차근 안내해 드릴게요.</t>
        </is>
      </c>
      <c r="H204" s="5">
        <f>HYPERLINK("https://www.youtube.com/watch?v=gW8zB52Q3Uo", "영상 보기 ▶")</f>
        <v/>
      </c>
    </row>
    <row r="205" ht="26" customHeight="1">
      <c r="A205" s="6" t="n">
        <v>204</v>
      </c>
      <c r="B205" s="7" t="inlineStr">
        <is>
          <t>총정리 5탄</t>
        </is>
      </c>
      <c r="C205" s="7" t="inlineStr">
        <is>
          <t>정보 공유</t>
        </is>
      </c>
      <c r="D205" s="8" t="inlineStr">
        <is>
          <t>fill (sb) in on</t>
        </is>
      </c>
      <c r="E205" s="12" t="inlineStr">
        <is>
          <t>(놓친 내용을) 상세히 알려주다, 채워주다</t>
        </is>
      </c>
      <c r="F205" s="12" t="inlineStr">
        <is>
          <t>Can you fill me in on what happened?</t>
        </is>
      </c>
      <c r="G205" s="12" t="inlineStr">
        <is>
          <t>무슨 일이 있었는지 나한테 좀 알려줄 수 있어?</t>
        </is>
      </c>
      <c r="H205" s="9">
        <f>HYPERLINK("https://www.youtube.com/watch?v=gW8zB52Q3Uo", "영상 보기 ▶")</f>
        <v/>
      </c>
    </row>
    <row r="206" ht="26" customHeight="1">
      <c r="A206" s="2" t="n">
        <v>205</v>
      </c>
      <c r="B206" s="3" t="inlineStr">
        <is>
          <t>총정리 5탄</t>
        </is>
      </c>
      <c r="C206" s="3" t="inlineStr">
        <is>
          <t>사교/비즈니스</t>
        </is>
      </c>
      <c r="D206" s="4" t="inlineStr">
        <is>
          <t>feel free to + 동사원형</t>
        </is>
      </c>
      <c r="E206" s="11" t="inlineStr">
        <is>
          <t>부담 없이 편하게 ~하세요</t>
        </is>
      </c>
      <c r="F206" s="11" t="inlineStr">
        <is>
          <t>Please feel free to reach out anytime.</t>
        </is>
      </c>
      <c r="G206" s="11" t="inlineStr">
        <is>
          <t>언제든 편하게 연락 주세요.</t>
        </is>
      </c>
      <c r="H206" s="5">
        <f>HYPERLINK("https://www.youtube.com/watch?v=gW8zB52Q3Uo", "영상 보기 ▶")</f>
        <v/>
      </c>
    </row>
    <row r="207" ht="26" customHeight="1">
      <c r="A207" s="6" t="n">
        <v>206</v>
      </c>
      <c r="B207" s="7" t="inlineStr">
        <is>
          <t>총정리 5탄</t>
        </is>
      </c>
      <c r="C207" s="7" t="inlineStr">
        <is>
          <t>수정/보완</t>
        </is>
      </c>
      <c r="D207" s="8" t="inlineStr">
        <is>
          <t>tweak</t>
        </is>
      </c>
      <c r="E207" s="12" t="inlineStr">
        <is>
          <t>약간 수정하다 / 약간의 수정</t>
        </is>
      </c>
      <c r="F207" s="12" t="inlineStr">
        <is>
          <t>We just need to tweak a few details.</t>
        </is>
      </c>
      <c r="G207" s="12" t="inlineStr">
        <is>
          <t>세부 사항 몇 개만 살짝 손보면 돼요.</t>
        </is>
      </c>
      <c r="H207" s="9">
        <f>HYPERLINK("https://www.youtube.com/watch?v=gW8zB52Q3Uo", "영상 보기 ▶")</f>
        <v/>
      </c>
    </row>
    <row r="208" ht="26" customHeight="1">
      <c r="A208" s="2" t="n">
        <v>207</v>
      </c>
      <c r="B208" s="3" t="inlineStr">
        <is>
          <t>총정리 5탄</t>
        </is>
      </c>
      <c r="C208" s="3" t="inlineStr">
        <is>
          <t>의사 결정</t>
        </is>
      </c>
      <c r="D208" s="4" t="inlineStr">
        <is>
          <t>pros and cons</t>
        </is>
      </c>
      <c r="E208" s="11" t="inlineStr">
        <is>
          <t>장단점, 찬반양론</t>
        </is>
      </c>
      <c r="F208" s="11" t="inlineStr">
        <is>
          <t>Let's weigh the pros and cons.</t>
        </is>
      </c>
      <c r="G208" s="11" t="inlineStr">
        <is>
          <t>장단점을 꼼꼼히 따져봅시다.</t>
        </is>
      </c>
      <c r="H208" s="5">
        <f>HYPERLINK("https://www.youtube.com/watch?v=gW8zB52Q3Uo", "영상 보기 ▶")</f>
        <v/>
      </c>
    </row>
    <row r="209" ht="26" customHeight="1">
      <c r="A209" s="6" t="n">
        <v>208</v>
      </c>
      <c r="B209" s="7" t="inlineStr">
        <is>
          <t>총정리 5탄</t>
        </is>
      </c>
      <c r="C209" s="7" t="inlineStr">
        <is>
          <t>의사 결정</t>
        </is>
      </c>
      <c r="D209" s="8" t="inlineStr">
        <is>
          <t>weigh</t>
        </is>
      </c>
      <c r="E209" s="12" t="inlineStr">
        <is>
          <t>(결정 전 선택지를) 저울질하다, 따져보다</t>
        </is>
      </c>
      <c r="F209" s="12" t="inlineStr">
        <is>
          <t>We need to weigh all our options.</t>
        </is>
      </c>
      <c r="G209" s="12" t="inlineStr">
        <is>
          <t>우리는 모든 선택지를 신중히 따져봐야 해.</t>
        </is>
      </c>
      <c r="H209" s="9">
        <f>HYPERLINK("https://www.youtube.com/watch?v=gW8zB52Q3Uo", "영상 보기 ▶")</f>
        <v/>
      </c>
    </row>
    <row r="210" ht="26" customHeight="1">
      <c r="A210" s="2" t="n">
        <v>209</v>
      </c>
      <c r="B210" s="3" t="inlineStr">
        <is>
          <t>총정리 5탄</t>
        </is>
      </c>
      <c r="C210" s="3" t="inlineStr">
        <is>
          <t>업무 우선순위</t>
        </is>
      </c>
      <c r="D210" s="4" t="inlineStr">
        <is>
          <t>priority</t>
        </is>
      </c>
      <c r="E210" s="11" t="inlineStr">
        <is>
          <t>우선순위, 최우선 사항</t>
        </is>
      </c>
      <c r="F210" s="11" t="inlineStr">
        <is>
          <t>Customer satisfaction is our top priority.</t>
        </is>
      </c>
      <c r="G210" s="11" t="inlineStr">
        <is>
          <t>고객 만족이 우리의 최우선 과제입니다.</t>
        </is>
      </c>
      <c r="H210" s="5">
        <f>HYPERLINK("https://www.youtube.com/watch?v=gW8zB52Q3Uo", "영상 보기 ▶")</f>
        <v/>
      </c>
    </row>
    <row r="211" ht="26" customHeight="1">
      <c r="A211" s="6" t="n">
        <v>210</v>
      </c>
      <c r="B211" s="7" t="inlineStr">
        <is>
          <t>총정리 5탄</t>
        </is>
      </c>
      <c r="C211" s="7" t="inlineStr">
        <is>
          <t>업무 우선순위</t>
        </is>
      </c>
      <c r="D211" s="8" t="inlineStr">
        <is>
          <t>prioritize</t>
        </is>
      </c>
      <c r="E211" s="12" t="inlineStr">
        <is>
          <t>우선순위를 매기다, 우선적으로 처리하다</t>
        </is>
      </c>
      <c r="F211" s="12" t="inlineStr">
        <is>
          <t>We need to prioritize these urgent tasks.</t>
        </is>
      </c>
      <c r="G211" s="12" t="inlineStr">
        <is>
          <t>이 긴급한 업무들의 우선순위를 정해야 합니다.</t>
        </is>
      </c>
      <c r="H211" s="9">
        <f>HYPERLINK("https://www.youtube.com/watch?v=gW8zB52Q3Uo", "영상 보기 ▶")</f>
        <v/>
      </c>
    </row>
    <row r="212" ht="26" customHeight="1">
      <c r="A212" s="2" t="n">
        <v>211</v>
      </c>
      <c r="B212" s="3" t="inlineStr">
        <is>
          <t>총정리 5탄</t>
        </is>
      </c>
      <c r="C212" s="3" t="inlineStr">
        <is>
          <t>호의/친절</t>
        </is>
      </c>
      <c r="D212" s="4" t="inlineStr">
        <is>
          <t>I'd be happy to ~</t>
        </is>
      </c>
      <c r="E212" s="11" t="inlineStr">
        <is>
          <t>기꺼이 ~해 드릴게요</t>
        </is>
      </c>
      <c r="F212" s="11" t="inlineStr">
        <is>
          <t>I'd be happy to help you with that.</t>
        </is>
      </c>
      <c r="G212" s="11" t="inlineStr">
        <is>
          <t>제가 기꺼이 그거 도와드릴게요.</t>
        </is>
      </c>
      <c r="H212" s="5">
        <f>HYPERLINK("https://www.youtube.com/watch?v=gW8zB52Q3Uo", "영상 보기 ▶")</f>
        <v/>
      </c>
    </row>
    <row r="213" ht="26" customHeight="1">
      <c r="A213" s="6" t="n">
        <v>212</v>
      </c>
      <c r="B213" s="7" t="inlineStr">
        <is>
          <t>총정리 5탄</t>
        </is>
      </c>
      <c r="C213" s="7" t="inlineStr">
        <is>
          <t>식사 인사</t>
        </is>
      </c>
      <c r="D213" s="8" t="inlineStr">
        <is>
          <t>Enjoy your lunch</t>
        </is>
      </c>
      <c r="E213" s="12" t="inlineStr">
        <is>
          <t>점심 맛있게 드세요</t>
        </is>
      </c>
      <c r="F213" s="12" t="inlineStr">
        <is>
          <t>Enjoy your lunch, see you this afternoon.</t>
        </is>
      </c>
      <c r="G213" s="12" t="inlineStr">
        <is>
          <t>점심 맛있게 드시고 오후에 봬요.</t>
        </is>
      </c>
      <c r="H213" s="9">
        <f>HYPERLINK("https://www.youtube.com/watch?v=gW8zB52Q3Uo", "영상 보기 ▶")</f>
        <v/>
      </c>
    </row>
    <row r="214" ht="26" customHeight="1">
      <c r="A214" s="2" t="n">
        <v>213</v>
      </c>
      <c r="B214" s="3" t="inlineStr">
        <is>
          <t>총정리 5탄</t>
        </is>
      </c>
      <c r="C214" s="3" t="inlineStr">
        <is>
          <t>하루 인사</t>
        </is>
      </c>
      <c r="D214" s="4" t="inlineStr">
        <is>
          <t>the rest of ~</t>
        </is>
      </c>
      <c r="E214" s="11" t="inlineStr">
        <is>
          <t>남은 ~ (남은 하루/시간)</t>
        </is>
      </c>
      <c r="F214" s="11" t="inlineStr">
        <is>
          <t>Enjoy the rest of your day!</t>
        </is>
      </c>
      <c r="G214" s="11" t="inlineStr">
        <is>
          <t>남은 하루도 즐겁게 보내세요!</t>
        </is>
      </c>
      <c r="H214" s="5">
        <f>HYPERLINK("https://www.youtube.com/watch?v=gW8zB52Q3Uo", "영상 보기 ▶")</f>
        <v/>
      </c>
    </row>
    <row r="215" ht="26" customHeight="1">
      <c r="A215" s="6" t="n">
        <v>214</v>
      </c>
      <c r="B215" s="7" t="inlineStr">
        <is>
          <t>총정리 5탄</t>
        </is>
      </c>
      <c r="C215" s="7" t="inlineStr">
        <is>
          <t>감상 표현</t>
        </is>
      </c>
      <c r="D215" s="8" t="inlineStr">
        <is>
          <t>enjoy (like보다 강조)</t>
        </is>
      </c>
      <c r="E215" s="12" t="inlineStr">
        <is>
          <t>아주 좋아하다, 즐기다, 뜻깊게 경험하다</t>
        </is>
      </c>
      <c r="F215" s="12" t="inlineStr">
        <is>
          <t>I really enjoyed the presentation.</t>
        </is>
      </c>
      <c r="G215" s="12" t="inlineStr">
        <is>
          <t>오늘 발표 정말 유익하고 좋았어요.</t>
        </is>
      </c>
      <c r="H215" s="9">
        <f>HYPERLINK("https://www.youtube.com/watch?v=gW8zB52Q3Uo", "영상 보기 ▶")</f>
        <v/>
      </c>
    </row>
    <row r="216" ht="26" customHeight="1">
      <c r="A216" s="2" t="n">
        <v>215</v>
      </c>
      <c r="B216" s="3" t="inlineStr">
        <is>
          <t>총정리 5탄</t>
        </is>
      </c>
      <c r="C216" s="3" t="inlineStr">
        <is>
          <t>사과 매너</t>
        </is>
      </c>
      <c r="D216" s="4" t="inlineStr">
        <is>
          <t>Sorry to keep you waiting</t>
        </is>
      </c>
      <c r="E216" s="11" t="inlineStr">
        <is>
          <t>기다리게 해서 죄송합니다</t>
        </is>
      </c>
      <c r="F216" s="11" t="inlineStr">
        <is>
          <t>Sorry to keep you waiting, I got caught up.</t>
        </is>
      </c>
      <c r="G216" s="11" t="inlineStr">
        <is>
          <t>일 때문에 늦어 기다리게 해드려 죄송합니다.</t>
        </is>
      </c>
      <c r="H216" s="5">
        <f>HYPERLINK("https://www.youtube.com/watch?v=gW8zB52Q3Uo", "영상 보기 ▶")</f>
        <v/>
      </c>
    </row>
    <row r="217" ht="26" customHeight="1">
      <c r="A217" s="6" t="n">
        <v>216</v>
      </c>
      <c r="B217" s="7" t="inlineStr">
        <is>
          <t>총정리 5탄</t>
        </is>
      </c>
      <c r="C217" s="7" t="inlineStr">
        <is>
          <t>양해 매너</t>
        </is>
      </c>
      <c r="D217" s="8" t="inlineStr">
        <is>
          <t>excuse</t>
        </is>
      </c>
      <c r="E217" s="12" t="inlineStr">
        <is>
          <t>자리를 뜨며 양해를 구하다</t>
        </is>
      </c>
      <c r="F217" s="12" t="inlineStr">
        <is>
          <t>If you'll excuse me, I have a call.</t>
        </is>
      </c>
      <c r="G217" s="12" t="inlineStr">
        <is>
          <t>양해해 주신다면 전화 한 통만 받고 오겠습니다.</t>
        </is>
      </c>
      <c r="H217" s="9">
        <f>HYPERLINK("https://www.youtube.com/watch?v=gW8zB52Q3Uo", "영상 보기 ▶")</f>
        <v/>
      </c>
    </row>
    <row r="218" ht="26" customHeight="1">
      <c r="A218" s="2" t="n">
        <v>217</v>
      </c>
      <c r="B218" s="3" t="inlineStr">
        <is>
          <t>총정리 5탄</t>
        </is>
      </c>
      <c r="C218" s="3" t="inlineStr">
        <is>
          <t>양보 매너</t>
        </is>
      </c>
      <c r="D218" s="4" t="inlineStr">
        <is>
          <t>Go ahead</t>
        </is>
      </c>
      <c r="E218" s="11" t="inlineStr">
        <is>
          <t>먼저 하세요/타세요/말씀하세요</t>
        </is>
      </c>
      <c r="F218" s="11" t="inlineStr">
        <is>
          <t>No, please, go ahead.</t>
        </is>
      </c>
      <c r="G218" s="11" t="inlineStr">
        <is>
          <t>아니에요, 먼저 타세요/말씀하세요.</t>
        </is>
      </c>
      <c r="H218" s="5">
        <f>HYPERLINK("https://www.youtube.com/watch?v=gW8zB52Q3Uo", "영상 보기 ▶")</f>
        <v/>
      </c>
    </row>
    <row r="219" ht="26" customHeight="1">
      <c r="A219" s="6" t="n">
        <v>218</v>
      </c>
      <c r="B219" s="7" t="inlineStr">
        <is>
          <t>총정리 5탄</t>
        </is>
      </c>
      <c r="C219" s="7" t="inlineStr">
        <is>
          <t>대화 매너</t>
        </is>
      </c>
      <c r="D219" s="8" t="inlineStr">
        <is>
          <t>Sorry to interrupt</t>
        </is>
      </c>
      <c r="E219" s="12" t="inlineStr">
        <is>
          <t>(말하는 도중/일하는 도중) 방해해서 미안해</t>
        </is>
      </c>
      <c r="F219" s="12" t="inlineStr">
        <is>
          <t>Sorry to interrupt, but do you have a minute?</t>
        </is>
      </c>
      <c r="G219" s="12" t="inlineStr">
        <is>
          <t>방해해서 죄송한데 잠깐 시간 있으세요?</t>
        </is>
      </c>
      <c r="H219" s="9">
        <f>HYPERLINK("https://www.youtube.com/watch?v=gW8zB52Q3Uo", "영상 보기 ▶")</f>
        <v/>
      </c>
    </row>
    <row r="220" ht="26" customHeight="1">
      <c r="A220" s="2" t="n">
        <v>219</v>
      </c>
      <c r="B220" s="3" t="inlineStr">
        <is>
          <t>총정리 5탄</t>
        </is>
      </c>
      <c r="C220" s="3" t="inlineStr">
        <is>
          <t>아쉬움 표현</t>
        </is>
      </c>
      <c r="D220" s="4" t="inlineStr">
        <is>
          <t>I wish I could ~</t>
        </is>
      </c>
      <c r="E220" s="11" t="inlineStr">
        <is>
          <t>~할 수 있으면 좋을 텐데 (못해서 아쉬움)</t>
        </is>
      </c>
      <c r="F220" s="11" t="inlineStr">
        <is>
          <t>I wish I could join, but I have other plans.</t>
        </is>
      </c>
      <c r="G220" s="11" t="inlineStr">
        <is>
          <t>같이 갈 수 있으면 좋을 텐데 선약이 있어서 아쉽네요.</t>
        </is>
      </c>
      <c r="H220" s="5">
        <f>HYPERLINK("https://www.youtube.com/watch?v=gW8zB52Q3Uo", "영상 보기 ▶")</f>
        <v/>
      </c>
    </row>
    <row r="221" ht="26" customHeight="1">
      <c r="A221" s="6" t="n">
        <v>220</v>
      </c>
      <c r="B221" s="7" t="inlineStr">
        <is>
          <t>총정리 5탄</t>
        </is>
      </c>
      <c r="C221" s="7" t="inlineStr">
        <is>
          <t>협조/도움</t>
        </is>
      </c>
      <c r="D221" s="8" t="inlineStr">
        <is>
          <t>help (sb) out with</t>
        </is>
      </c>
      <c r="E221" s="12" t="inlineStr">
        <is>
          <t>~에 대해 도움을 주다</t>
        </is>
      </c>
      <c r="F221" s="12" t="inlineStr">
        <is>
          <t>Can you help me out with this report?</t>
        </is>
      </c>
      <c r="G221" s="12" t="inlineStr">
        <is>
          <t>이 보고서 작성하는 것 좀 도와줄 수 있어?</t>
        </is>
      </c>
      <c r="H221" s="9">
        <f>HYPERLINK("https://www.youtube.com/watch?v=gW8zB52Q3Uo", "영상 보기 ▶")</f>
        <v/>
      </c>
    </row>
    <row r="222" ht="26" customHeight="1">
      <c r="A222" s="2" t="n">
        <v>221</v>
      </c>
      <c r="B222" s="3" t="inlineStr">
        <is>
          <t>총정리 5탄</t>
        </is>
      </c>
      <c r="C222" s="3" t="inlineStr">
        <is>
          <t>행운 기원</t>
        </is>
      </c>
      <c r="D222" s="4" t="inlineStr">
        <is>
          <t>wish + 사람 + 명사</t>
        </is>
      </c>
      <c r="E222" s="11" t="inlineStr">
        <is>
          <t>~에게 행운/행복을 빌어주다</t>
        </is>
      </c>
      <c r="F222" s="11" t="inlineStr">
        <is>
          <t>I wish you the best of luck.</t>
        </is>
      </c>
      <c r="G222" s="11" t="inlineStr">
        <is>
          <t>최고의 행운이 함께하길 빌게요.</t>
        </is>
      </c>
      <c r="H222" s="5">
        <f>HYPERLINK("https://www.youtube.com/watch?v=gW8zB52Q3Uo", "영상 보기 ▶")</f>
        <v/>
      </c>
    </row>
    <row r="223" ht="26" customHeight="1">
      <c r="A223" s="6" t="n">
        <v>222</v>
      </c>
      <c r="B223" s="7" t="inlineStr">
        <is>
          <t>총정리 5탄</t>
        </is>
      </c>
      <c r="C223" s="7" t="inlineStr">
        <is>
          <t>칭찬 뉘앙스</t>
        </is>
      </c>
      <c r="D223" s="8" t="inlineStr">
        <is>
          <t>not that you need it</t>
        </is>
      </c>
      <c r="E223" s="12" t="inlineStr">
        <is>
          <t>네가 그게 꼭 필요한 건 아니겠지만(충분히 잘하지만)</t>
        </is>
      </c>
      <c r="F223" s="12" t="inlineStr">
        <is>
          <t>Good luck, not that you need it!</t>
        </is>
      </c>
      <c r="G223" s="12" t="inlineStr">
        <is>
          <t>행운을 빌어, 너야 워낙 잘해서 필요 없겠지만!</t>
        </is>
      </c>
      <c r="H223" s="9">
        <f>HYPERLINK("https://www.youtube.com/watch?v=gW8zB52Q3Uo", "영상 보기 ▶")</f>
        <v/>
      </c>
    </row>
    <row r="224" ht="26" customHeight="1">
      <c r="A224" s="2" t="n">
        <v>223</v>
      </c>
      <c r="B224" s="3" t="inlineStr">
        <is>
          <t>총정리 5탄</t>
        </is>
      </c>
      <c r="C224" s="3" t="inlineStr">
        <is>
          <t>격식 희망</t>
        </is>
      </c>
      <c r="D224" s="4" t="inlineStr">
        <is>
          <t>wish to + 동사원형</t>
        </is>
      </c>
      <c r="E224" s="11" t="inlineStr">
        <is>
          <t>~하고 싶습니다 (want의 격식체)</t>
        </is>
      </c>
      <c r="F224" s="11" t="inlineStr">
        <is>
          <t>I wish to discuss our partnership.</t>
        </is>
      </c>
      <c r="G224" s="11" t="inlineStr">
        <is>
          <t>저희 협력 관계에 대해 논의하고 싶습니다.</t>
        </is>
      </c>
      <c r="H224" s="5">
        <f>HYPERLINK("https://www.youtube.com/watch?v=gW8zB52Q3Uo", "영상 보기 ▶")</f>
        <v/>
      </c>
    </row>
    <row r="225" ht="26" customHeight="1">
      <c r="A225" s="6" t="n">
        <v>224</v>
      </c>
      <c r="B225" s="7" t="inlineStr">
        <is>
          <t>총정리 5탄</t>
        </is>
      </c>
      <c r="C225" s="7" t="inlineStr">
        <is>
          <t>희망 표현</t>
        </is>
      </c>
      <c r="D225" s="8" t="inlineStr">
        <is>
          <t>hope</t>
        </is>
      </c>
      <c r="E225" s="12" t="inlineStr">
        <is>
          <t>~하길 바라다 (실현 가능성이 높을 때)</t>
        </is>
      </c>
      <c r="F225" s="12" t="inlineStr">
        <is>
          <t>I hope everything goes smoothly.</t>
        </is>
      </c>
      <c r="G225" s="12" t="inlineStr">
        <is>
          <t>모든 일이 순조롭게 진행되길 바랍니다.</t>
        </is>
      </c>
      <c r="H225" s="9">
        <f>HYPERLINK("https://www.youtube.com/watch?v=gW8zB52Q3Uo", "영상 보기 ▶")</f>
        <v/>
      </c>
    </row>
    <row r="226" ht="26" customHeight="1">
      <c r="A226" s="2" t="n">
        <v>225</v>
      </c>
      <c r="B226" s="3" t="inlineStr">
        <is>
          <t>총정리 5탄</t>
        </is>
      </c>
      <c r="C226" s="3" t="inlineStr">
        <is>
          <t>핵심 배움</t>
        </is>
      </c>
      <c r="D226" s="4" t="inlineStr">
        <is>
          <t>takeaway</t>
        </is>
      </c>
      <c r="E226" s="11" t="inlineStr">
        <is>
          <t>핵심 요점, 배워가는 점 (미국식)</t>
        </is>
      </c>
      <c r="F226" s="11" t="inlineStr">
        <is>
          <t>What was your biggest takeaway from the seminar?</t>
        </is>
      </c>
      <c r="G226" s="11" t="inlineStr">
        <is>
          <t>이번 세미나에서 얻은 가장 큰 배움은 뭐였어?</t>
        </is>
      </c>
      <c r="H226" s="5">
        <f>HYPERLINK("https://www.youtube.com/watch?v=gW8zB52Q3Uo", "영상 보기 ▶")</f>
        <v/>
      </c>
    </row>
    <row r="227" ht="26" customHeight="1">
      <c r="A227" s="6" t="n">
        <v>226</v>
      </c>
      <c r="B227" s="7" t="inlineStr">
        <is>
          <t>총정리 5탄</t>
        </is>
      </c>
      <c r="C227" s="7" t="inlineStr">
        <is>
          <t>핵심 배움</t>
        </is>
      </c>
      <c r="D227" s="8" t="inlineStr">
        <is>
          <t>takeaways</t>
        </is>
      </c>
      <c r="E227" s="12" t="inlineStr">
        <is>
          <t>핵심 요약 포인트들</t>
        </is>
      </c>
      <c r="F227" s="12" t="inlineStr">
        <is>
          <t>Here are the key takeaways from today's meeting.</t>
        </is>
      </c>
      <c r="G227" s="12" t="inlineStr">
        <is>
          <t>오늘 회의의 핵심 요약 포인트들입니다.</t>
        </is>
      </c>
      <c r="H227" s="9">
        <f>HYPERLINK("https://www.youtube.com/watch?v=gW8zB52Q3Uo", "영상 보기 ▶")</f>
        <v/>
      </c>
    </row>
    <row r="228" ht="26" customHeight="1">
      <c r="A228" s="2" t="n">
        <v>227</v>
      </c>
      <c r="B228" s="3" t="inlineStr">
        <is>
          <t>총정리 5탄</t>
        </is>
      </c>
      <c r="C228" s="3" t="inlineStr">
        <is>
          <t>요약/복습</t>
        </is>
      </c>
      <c r="D228" s="4" t="inlineStr">
        <is>
          <t>recap</t>
        </is>
      </c>
      <c r="E228" s="11" t="inlineStr">
        <is>
          <t>요약하다, 복습하다</t>
        </is>
      </c>
      <c r="F228" s="11" t="inlineStr">
        <is>
          <t>Let's quickly recap what we discussed.</t>
        </is>
      </c>
      <c r="G228" s="11" t="inlineStr">
        <is>
          <t>우리가 논의한 내용을 빠르게 요약해 봅시다.</t>
        </is>
      </c>
      <c r="H228" s="5">
        <f>HYPERLINK("https://www.youtube.com/watch?v=gW8zB52Q3Uo", "영상 보기 ▶")</f>
        <v/>
      </c>
    </row>
    <row r="229" ht="26" customHeight="1">
      <c r="A229" s="6" t="n">
        <v>228</v>
      </c>
      <c r="B229" s="7" t="inlineStr">
        <is>
          <t>총정리 5탄</t>
        </is>
      </c>
      <c r="C229" s="7" t="inlineStr">
        <is>
          <t>의견 일치</t>
        </is>
      </c>
      <c r="D229" s="8" t="inlineStr">
        <is>
          <t>on the same page</t>
        </is>
      </c>
      <c r="E229" s="12" t="inlineStr">
        <is>
          <t>같은 생각을 가진, 의견이 일치하는</t>
        </is>
      </c>
      <c r="F229" s="12" t="inlineStr">
        <is>
          <t>I want to make sure we're on the same page.</t>
        </is>
      </c>
      <c r="G229" s="12" t="inlineStr">
        <is>
          <t>우리가 같은 뜻을 공유하고 있는지 확인하고 싶어요.</t>
        </is>
      </c>
      <c r="H229" s="9">
        <f>HYPERLINK("https://www.youtube.com/watch?v=gW8zB52Q3Uo", "영상 보기 ▶")</f>
        <v/>
      </c>
    </row>
    <row r="230" ht="26" customHeight="1">
      <c r="A230" s="2" t="n">
        <v>229</v>
      </c>
      <c r="B230" s="3" t="inlineStr">
        <is>
          <t>총정리 5탄</t>
        </is>
      </c>
      <c r="C230" s="3" t="inlineStr">
        <is>
          <t>연락 소통</t>
        </is>
      </c>
      <c r="D230" s="4" t="inlineStr">
        <is>
          <t>touch base</t>
        </is>
      </c>
      <c r="E230" s="11" t="inlineStr">
        <is>
          <t>(상황 파악차) 짧게 연락하다</t>
        </is>
      </c>
      <c r="F230" s="11" t="inlineStr">
        <is>
          <t>Let's touch base next week.</t>
        </is>
      </c>
      <c r="G230" s="11" t="inlineStr">
        <is>
          <t>다음 주에 간단히 상황 공유 연락하자.</t>
        </is>
      </c>
      <c r="H230" s="5">
        <f>HYPERLINK("https://www.youtube.com/watch?v=gW8zB52Q3Uo", "영상 보기 ▶")</f>
        <v/>
      </c>
    </row>
    <row r="231" ht="26" customHeight="1">
      <c r="A231" s="6" t="n">
        <v>230</v>
      </c>
      <c r="B231" s="7" t="inlineStr">
        <is>
          <t>총정리 5탄</t>
        </is>
      </c>
      <c r="C231" s="7" t="inlineStr">
        <is>
          <t>연락 소통</t>
        </is>
      </c>
      <c r="D231" s="8" t="inlineStr">
        <is>
          <t>reach out</t>
        </is>
      </c>
      <c r="E231" s="12" t="inlineStr">
        <is>
          <t>연락하다, 손을 뻗다</t>
        </is>
      </c>
      <c r="F231" s="12" t="inlineStr">
        <is>
          <t>Thanks for reaching out to us.</t>
        </is>
      </c>
      <c r="G231" s="12" t="inlineStr">
        <is>
          <t>저희에게 먼저 연락 주셔서 감사합니다.</t>
        </is>
      </c>
      <c r="H231" s="9">
        <f>HYPERLINK("https://www.youtube.com/watch?v=gW8zB52Q3Uo", "영상 보기 ▶")</f>
        <v/>
      </c>
    </row>
    <row r="232" ht="26" customHeight="1">
      <c r="A232" s="2" t="n">
        <v>231</v>
      </c>
      <c r="B232" s="3" t="inlineStr">
        <is>
          <t>총정리 5탄</t>
        </is>
      </c>
      <c r="C232" s="3" t="inlineStr">
        <is>
          <t>후속 논의</t>
        </is>
      </c>
      <c r="D232" s="4" t="inlineStr">
        <is>
          <t>circle back</t>
        </is>
      </c>
      <c r="E232" s="11" t="inlineStr">
        <is>
          <t>나중에 다시 논의하다, 다시 돌아오다</t>
        </is>
      </c>
      <c r="F232" s="11" t="inlineStr">
        <is>
          <t>Let's circle back to this issue later.</t>
        </is>
      </c>
      <c r="G232" s="11" t="inlineStr">
        <is>
          <t>이 사안은 나중에 다시 돌아와서 얘기합시다.</t>
        </is>
      </c>
      <c r="H232" s="5">
        <f>HYPERLINK("https://www.youtube.com/watch?v=gW8zB52Q3Uo", "영상 보기 ▶")</f>
        <v/>
      </c>
    </row>
    <row r="233" ht="26" customHeight="1">
      <c r="A233" s="6" t="n">
        <v>232</v>
      </c>
      <c r="B233" s="7" t="inlineStr">
        <is>
          <t>총정리 5탄</t>
        </is>
      </c>
      <c r="C233" s="7" t="inlineStr">
        <is>
          <t>사전 알림</t>
        </is>
      </c>
      <c r="D233" s="8" t="inlineStr">
        <is>
          <t>heads up</t>
        </is>
      </c>
      <c r="E233" s="12" t="inlineStr">
        <is>
          <t>사전 경고, 귀띔</t>
        </is>
      </c>
      <c r="F233" s="12" t="inlineStr">
        <is>
          <t>Just a quick heads-up about the meeting.</t>
        </is>
      </c>
      <c r="G233" s="12" t="inlineStr">
        <is>
          <t>회의 관련해서 미리 귀띔해 드립니다.</t>
        </is>
      </c>
      <c r="H233" s="9">
        <f>HYPERLINK("https://www.youtube.com/watch?v=gW8zB52Q3Uo", "영상 보기 ▶")</f>
        <v/>
      </c>
    </row>
    <row r="234" ht="26" customHeight="1">
      <c r="A234" s="2" t="n">
        <v>233</v>
      </c>
      <c r="B234" s="3" t="inlineStr">
        <is>
          <t>총정리 5탄</t>
        </is>
      </c>
      <c r="C234" s="3" t="inlineStr">
        <is>
          <t>즉각 생각</t>
        </is>
      </c>
      <c r="D234" s="4" t="inlineStr">
        <is>
          <t>off the top of my head</t>
        </is>
      </c>
      <c r="E234" s="11" t="inlineStr">
        <is>
          <t>지금 당장 떠오르는 생각으로는</t>
        </is>
      </c>
      <c r="F234" s="11" t="inlineStr">
        <is>
          <t>Off the top of my head, I'd say around ten.</t>
        </is>
      </c>
      <c r="G234" s="11" t="inlineStr">
        <is>
          <t>당장 생각나는 바로는 한 10개 정도 될 것 같아.</t>
        </is>
      </c>
      <c r="H234" s="5">
        <f>HYPERLINK("https://www.youtube.com/watch?v=gW8zB52Q3Uo", "영상 보기 ▶")</f>
        <v/>
      </c>
    </row>
    <row r="235" ht="26" customHeight="1">
      <c r="A235" s="6" t="n">
        <v>234</v>
      </c>
      <c r="B235" s="7" t="inlineStr">
        <is>
          <t>총정리 5탄</t>
        </is>
      </c>
      <c r="C235" s="7" t="inlineStr">
        <is>
          <t>미정 상태</t>
        </is>
      </c>
      <c r="D235" s="8" t="inlineStr">
        <is>
          <t>up in the air</t>
        </is>
      </c>
      <c r="E235" s="12" t="inlineStr">
        <is>
          <t>아직 미정인, 확정되지 않은</t>
        </is>
      </c>
      <c r="F235" s="12" t="inlineStr">
        <is>
          <t>Our vacation plans are still up in the air.</t>
        </is>
      </c>
      <c r="G235" s="12" t="inlineStr">
        <is>
          <t>우리 휴가 계획은 아직 확정된 게 없어.</t>
        </is>
      </c>
      <c r="H235" s="9">
        <f>HYPERLINK("https://www.youtube.com/watch?v=gW8zB52Q3Uo", "영상 보기 ▶")</f>
        <v/>
      </c>
    </row>
    <row r="236" ht="26" customHeight="1">
      <c r="A236" s="2" t="n">
        <v>235</v>
      </c>
      <c r="B236" s="3" t="inlineStr">
        <is>
          <t>총정리 5탄</t>
        </is>
      </c>
      <c r="C236" s="3" t="inlineStr">
        <is>
          <t>진행 상태</t>
        </is>
      </c>
      <c r="D236" s="4" t="inlineStr">
        <is>
          <t>on track</t>
        </is>
      </c>
      <c r="E236" s="11" t="inlineStr">
        <is>
          <t>차질 없이 순조롭게 진행 중인</t>
        </is>
      </c>
      <c r="F236" s="11" t="inlineStr">
        <is>
          <t>The project is completely on track.</t>
        </is>
      </c>
      <c r="G236" s="11" t="inlineStr">
        <is>
          <t>프로젝트는 계획대로 차질 없이 진행 중입니다.</t>
        </is>
      </c>
      <c r="H236" s="5">
        <f>HYPERLINK("https://www.youtube.com/watch?v=gW8zB52Q3Uo", "영상 보기 ▶")</f>
        <v/>
      </c>
    </row>
    <row r="237" ht="26" customHeight="1">
      <c r="A237" s="6" t="n">
        <v>236</v>
      </c>
      <c r="B237" s="7" t="inlineStr">
        <is>
          <t>총정리 5탄</t>
        </is>
      </c>
      <c r="C237" s="7" t="inlineStr">
        <is>
          <t>진행 상태</t>
        </is>
      </c>
      <c r="D237" s="8" t="inlineStr">
        <is>
          <t>back on track</t>
        </is>
      </c>
      <c r="E237" s="12" t="inlineStr">
        <is>
          <t>정상 궤도로 되돌아온</t>
        </is>
      </c>
      <c r="F237" s="12" t="inlineStr">
        <is>
          <t>We're finally back on track.</t>
        </is>
      </c>
      <c r="G237" s="12" t="inlineStr">
        <is>
          <t>우린 드디어 다시 정상 궤도를 찾았어.</t>
        </is>
      </c>
      <c r="H237" s="9">
        <f>HYPERLINK("https://www.youtube.com/watch?v=gW8zB52Q3Uo", "영상 보기 ▶")</f>
        <v/>
      </c>
    </row>
    <row r="238" ht="26" customHeight="1">
      <c r="A238" s="2" t="n">
        <v>237</v>
      </c>
      <c r="B238" s="3" t="inlineStr">
        <is>
          <t>총정리 5탄</t>
        </is>
      </c>
      <c r="C238" s="3" t="inlineStr">
        <is>
          <t>일정 진척</t>
        </is>
      </c>
      <c r="D238" s="4" t="inlineStr">
        <is>
          <t>ahead of schedule</t>
        </is>
      </c>
      <c r="E238" s="11" t="inlineStr">
        <is>
          <t>일정보다 앞서서</t>
        </is>
      </c>
      <c r="F238" s="11" t="inlineStr">
        <is>
          <t>We finished the work ahead of schedule.</t>
        </is>
      </c>
      <c r="G238" s="11" t="inlineStr">
        <is>
          <t>우리는 예정된 일정보다 앞서 작업을 끝냈습니다.</t>
        </is>
      </c>
      <c r="H238" s="5">
        <f>HYPERLINK("https://www.youtube.com/watch?v=gW8zB52Q3Uo", "영상 보기 ▶")</f>
        <v/>
      </c>
    </row>
    <row r="239" ht="26" customHeight="1">
      <c r="A239" s="6" t="n">
        <v>238</v>
      </c>
      <c r="B239" s="7" t="inlineStr">
        <is>
          <t>총정리 5탄</t>
        </is>
      </c>
      <c r="C239" s="7" t="inlineStr">
        <is>
          <t>일정 지연</t>
        </is>
      </c>
      <c r="D239" s="8" t="inlineStr">
        <is>
          <t>behind schedule</t>
        </is>
      </c>
      <c r="E239" s="12" t="inlineStr">
        <is>
          <t>일정보다 늦어져서</t>
        </is>
      </c>
      <c r="F239" s="12" t="inlineStr">
        <is>
          <t>We are currently running behind schedule.</t>
        </is>
      </c>
      <c r="G239" s="12" t="inlineStr">
        <is>
          <t>저희가 지금 일정보다 다소 지연되고 있습니다.</t>
        </is>
      </c>
      <c r="H239" s="9">
        <f>HYPERLINK("https://www.youtube.com/watch?v=gW8zB52Q3Uo", "영상 보기 ▶")</f>
        <v/>
      </c>
    </row>
    <row r="240" ht="26" customHeight="1">
      <c r="A240" s="2" t="n">
        <v>239</v>
      </c>
      <c r="B240" s="3" t="inlineStr">
        <is>
          <t>총정리 5탄</t>
        </is>
      </c>
      <c r="C240" s="3" t="inlineStr">
        <is>
          <t>마감 기한</t>
        </is>
      </c>
      <c r="D240" s="4" t="inlineStr">
        <is>
          <t>tight deadline</t>
        </is>
      </c>
      <c r="E240" s="11" t="inlineStr">
        <is>
          <t>촉박한 마감일</t>
        </is>
      </c>
      <c r="F240" s="11" t="inlineStr">
        <is>
          <t>We are working under a very tight deadline.</t>
        </is>
      </c>
      <c r="G240" s="11" t="inlineStr">
        <is>
          <t>우리는 매우 촉박한 마감에 쫓겨 일하고 있어요.</t>
        </is>
      </c>
      <c r="H240" s="5">
        <f>HYPERLINK("https://www.youtube.com/watch?v=gW8zB52Q3Uo", "영상 보기 ▶")</f>
        <v/>
      </c>
    </row>
    <row r="241" ht="26" customHeight="1">
      <c r="A241" s="6" t="n">
        <v>240</v>
      </c>
      <c r="B241" s="7" t="inlineStr">
        <is>
          <t>총정리 5탄</t>
        </is>
      </c>
      <c r="C241" s="7" t="inlineStr">
        <is>
          <t>마감 기한</t>
        </is>
      </c>
      <c r="D241" s="8" t="inlineStr">
        <is>
          <t>meet the deadline</t>
        </is>
      </c>
      <c r="E241" s="12" t="inlineStr">
        <is>
          <t>마감 기한을 맞추다</t>
        </is>
      </c>
      <c r="F241" s="12" t="inlineStr">
        <is>
          <t>Will we be able to meet the deadline?</t>
        </is>
      </c>
      <c r="G241" s="12" t="inlineStr">
        <is>
          <t>마감일을 맞출 수 있을까요?</t>
        </is>
      </c>
      <c r="H241" s="9">
        <f>HYPERLINK("https://www.youtube.com/watch?v=gW8zB52Q3Uo", "영상 보기 ▶")</f>
        <v/>
      </c>
    </row>
    <row r="242" ht="26" customHeight="1">
      <c r="A242" s="2" t="n">
        <v>241</v>
      </c>
      <c r="B242" s="3" t="inlineStr">
        <is>
          <t>총정리 5탄</t>
        </is>
      </c>
      <c r="C242" s="3" t="inlineStr">
        <is>
          <t>마감 기한</t>
        </is>
      </c>
      <c r="D242" s="4" t="inlineStr">
        <is>
          <t>miss the deadline</t>
        </is>
      </c>
      <c r="E242" s="11" t="inlineStr">
        <is>
          <t>마감 기한을 놓치다</t>
        </is>
      </c>
      <c r="F242" s="11" t="inlineStr">
        <is>
          <t>We cannot afford to miss the deadline.</t>
        </is>
      </c>
      <c r="G242" s="11" t="inlineStr">
        <is>
          <t>마감을 놓쳐서는 절대 안 됩니다.</t>
        </is>
      </c>
      <c r="H242" s="5">
        <f>HYPERLINK("https://www.youtube.com/watch?v=gW8zB52Q3Uo", "영상 보기 ▶")</f>
        <v/>
      </c>
    </row>
    <row r="243" ht="26" customHeight="1">
      <c r="A243" s="6" t="n">
        <v>242</v>
      </c>
      <c r="B243" s="7" t="inlineStr">
        <is>
          <t>총정리 5탄</t>
        </is>
      </c>
      <c r="C243" s="7" t="inlineStr">
        <is>
          <t>일정 변경</t>
        </is>
      </c>
      <c r="D243" s="8" t="inlineStr">
        <is>
          <t>push back</t>
        </is>
      </c>
      <c r="E243" s="12" t="inlineStr">
        <is>
          <t>(일정을) 연기하다, 뒤로 미루다</t>
        </is>
      </c>
      <c r="F243" s="12" t="inlineStr">
        <is>
          <t>Can we push back the meeting by an hour?</t>
        </is>
      </c>
      <c r="G243" s="12" t="inlineStr">
        <is>
          <t>회의를 한 시간 뒤로 미룰 수 있을까요?</t>
        </is>
      </c>
      <c r="H243" s="9">
        <f>HYPERLINK("https://www.youtube.com/watch?v=gW8zB52Q3Uo", "영상 보기 ▶")</f>
        <v/>
      </c>
    </row>
    <row r="244" ht="26" customHeight="1">
      <c r="A244" s="2" t="n">
        <v>243</v>
      </c>
      <c r="B244" s="3" t="inlineStr">
        <is>
          <t>총정리 5탄</t>
        </is>
      </c>
      <c r="C244" s="3" t="inlineStr">
        <is>
          <t>일정 변경</t>
        </is>
      </c>
      <c r="D244" s="4" t="inlineStr">
        <is>
          <t>bring forward / move up</t>
        </is>
      </c>
      <c r="E244" s="11" t="inlineStr">
        <is>
          <t>(일정을) 앞당기다</t>
        </is>
      </c>
      <c r="F244" s="11" t="inlineStr">
        <is>
          <t>They moved up the release date.</t>
        </is>
      </c>
      <c r="G244" s="11" t="inlineStr">
        <is>
          <t>그들이 출시일을 앞당겼어.</t>
        </is>
      </c>
      <c r="H244" s="5">
        <f>HYPERLINK("https://www.youtube.com/watch?v=gW8zB52Q3Uo", "영상 보기 ▶")</f>
        <v/>
      </c>
    </row>
    <row r="245" ht="26" customHeight="1">
      <c r="A245" s="6" t="n">
        <v>244</v>
      </c>
      <c r="B245" s="7" t="inlineStr">
        <is>
          <t>총정리 5탄</t>
        </is>
      </c>
      <c r="C245" s="7" t="inlineStr">
        <is>
          <t>일정 변경</t>
        </is>
      </c>
      <c r="D245" s="8" t="inlineStr">
        <is>
          <t>call off</t>
        </is>
      </c>
      <c r="E245" s="12" t="inlineStr">
        <is>
          <t>취소하다 (= cancel)</t>
        </is>
      </c>
      <c r="F245" s="12" t="inlineStr">
        <is>
          <t>The outdoor event was called off due to rain.</t>
        </is>
      </c>
      <c r="G245" s="12" t="inlineStr">
        <is>
          <t>비 때문에 야외 행사가 취소되었어.</t>
        </is>
      </c>
      <c r="H245" s="9">
        <f>HYPERLINK("https://www.youtube.com/watch?v=gW8zB52Q3Uo", "영상 보기 ▶")</f>
        <v/>
      </c>
    </row>
    <row r="246" ht="26" customHeight="1">
      <c r="A246" s="2" t="n">
        <v>245</v>
      </c>
      <c r="B246" s="3" t="inlineStr">
        <is>
          <t>총정리 5탄</t>
        </is>
      </c>
      <c r="C246" s="3" t="inlineStr">
        <is>
          <t>일정 변경</t>
        </is>
      </c>
      <c r="D246" s="4" t="inlineStr">
        <is>
          <t>put off</t>
        </is>
      </c>
      <c r="E246" s="11" t="inlineStr">
        <is>
          <t>미루다, 연기하다 (= postpone)</t>
        </is>
      </c>
      <c r="F246" s="11" t="inlineStr">
        <is>
          <t>Don't put off what you can do today.</t>
        </is>
      </c>
      <c r="G246" s="11" t="inlineStr">
        <is>
          <t>오늘 할 수 있는 일을 뒤로 미루지 마라.</t>
        </is>
      </c>
      <c r="H246" s="5">
        <f>HYPERLINK("https://www.youtube.com/watch?v=gW8zB52Q3Uo", "영상 보기 ▶")</f>
        <v/>
      </c>
    </row>
    <row r="247" ht="26" customHeight="1">
      <c r="A247" s="6" t="n">
        <v>246</v>
      </c>
      <c r="B247" s="7" t="inlineStr">
        <is>
          <t>총정리 5탄</t>
        </is>
      </c>
      <c r="C247" s="7" t="inlineStr">
        <is>
          <t>상황 요구</t>
        </is>
      </c>
      <c r="D247" s="8" t="inlineStr">
        <is>
          <t>call for</t>
        </is>
      </c>
      <c r="E247" s="12" t="inlineStr">
        <is>
          <t>요구하다, 필요로 하다, 걸맞다</t>
        </is>
      </c>
      <c r="F247" s="12" t="inlineStr">
        <is>
          <t>This special occasion calls for a celebration!</t>
        </is>
      </c>
      <c r="G247" s="12" t="inlineStr">
        <is>
          <t>이런 특별한 날에는 축하가 빠질 수 없지!</t>
        </is>
      </c>
      <c r="H247" s="9">
        <f>HYPERLINK("https://www.youtube.com/watch?v=gW8zB52Q3Uo", "영상 보기 ▶")</f>
        <v/>
      </c>
    </row>
    <row r="248" ht="26" customHeight="1">
      <c r="A248" s="2" t="n">
        <v>247</v>
      </c>
      <c r="B248" s="3" t="inlineStr">
        <is>
          <t>총정리 5탄</t>
        </is>
      </c>
      <c r="C248" s="3" t="inlineStr">
        <is>
          <t>판정 단정</t>
        </is>
      </c>
      <c r="D248" s="4" t="inlineStr">
        <is>
          <t>call it</t>
        </is>
      </c>
      <c r="E248" s="11" t="inlineStr">
        <is>
          <t>승패/결과를 단정 짓다</t>
        </is>
      </c>
      <c r="F248" s="11" t="inlineStr">
        <is>
          <t>It's too close to call.</t>
        </is>
      </c>
      <c r="G248" s="11" t="inlineStr">
        <is>
          <t>너무 박빙이라 결과를 단정 짓기 어렵네.</t>
        </is>
      </c>
      <c r="H248" s="5">
        <f>HYPERLINK("https://www.youtube.com/watch?v=gW8zB52Q3Uo", "영상 보기 ▶")</f>
        <v/>
      </c>
    </row>
    <row r="249" ht="26" customHeight="1">
      <c r="A249" s="6" t="n">
        <v>248</v>
      </c>
      <c r="B249" s="7" t="inlineStr">
        <is>
          <t>총정리 5탄</t>
        </is>
      </c>
      <c r="C249" s="7" t="inlineStr">
        <is>
          <t>우유부단</t>
        </is>
      </c>
      <c r="D249" s="8" t="inlineStr">
        <is>
          <t>on the fence</t>
        </is>
      </c>
      <c r="E249" s="12" t="inlineStr">
        <is>
          <t>결정을 못 내리고 망설이는</t>
        </is>
      </c>
      <c r="F249" s="12" t="inlineStr">
        <is>
          <t>I'm still on the fence about the job offer.</t>
        </is>
      </c>
      <c r="G249" s="12" t="inlineStr">
        <is>
          <t>이직 제안을 두고 아직 고민 중이야.</t>
        </is>
      </c>
      <c r="H249" s="9">
        <f>HYPERLINK("https://www.youtube.com/watch?v=gW8zB52Q3Uo", "영상 보기 ▶")</f>
        <v/>
      </c>
    </row>
    <row r="250" ht="26" customHeight="1">
      <c r="A250" s="2" t="n">
        <v>249</v>
      </c>
      <c r="B250" s="3" t="inlineStr">
        <is>
          <t>총정리 5탄</t>
        </is>
      </c>
      <c r="C250" s="3" t="inlineStr">
        <is>
          <t>선택 배제</t>
        </is>
      </c>
      <c r="D250" s="4" t="inlineStr">
        <is>
          <t>rule out</t>
        </is>
      </c>
      <c r="E250" s="11" t="inlineStr">
        <is>
          <t>배제하다, 제외하다</t>
        </is>
      </c>
      <c r="F250" s="11" t="inlineStr">
        <is>
          <t>We shouldn't rule out that possibility.</t>
        </is>
      </c>
      <c r="G250" s="11" t="inlineStr">
        <is>
          <t>그 가능성을 완전히 배제해서는 안 됩니다.</t>
        </is>
      </c>
      <c r="H250" s="5">
        <f>HYPERLINK("https://www.youtube.com/watch?v=gW8zB52Q3Uo", "영상 보기 ▶")</f>
        <v/>
      </c>
    </row>
    <row r="251" ht="26" customHeight="1">
      <c r="A251" s="6" t="n">
        <v>250</v>
      </c>
      <c r="B251" s="7" t="inlineStr">
        <is>
          <t>총정리 5탄</t>
        </is>
      </c>
      <c r="C251" s="7" t="inlineStr">
        <is>
          <t>자명한 결정</t>
        </is>
      </c>
      <c r="D251" s="8" t="inlineStr">
        <is>
          <t>no-brainer</t>
        </is>
      </c>
      <c r="E251" s="12" t="inlineStr">
        <is>
          <t>고민할 필요도 없이 명백한 결정/선택</t>
        </is>
      </c>
      <c r="F251" s="12" t="inlineStr">
        <is>
          <t>Accepting the offer was a complete no-brainer.</t>
        </is>
      </c>
      <c r="G251" s="12" t="inlineStr">
        <is>
          <t>그 제안을 수락하는 건 고민할 필요도 없는 당연한 일이었어.</t>
        </is>
      </c>
      <c r="H251" s="9">
        <f>HYPERLINK("https://www.youtube.com/watch?v=gW8zB52Q3Uo", "영상 보기 ▶")</f>
        <v/>
      </c>
    </row>
    <row r="252" ht="26" customHeight="1">
      <c r="A252" s="2" t="n">
        <v>251</v>
      </c>
      <c r="B252" s="3" t="inlineStr">
        <is>
          <t>총정리 6탄</t>
        </is>
      </c>
      <c r="C252" s="3" t="inlineStr">
        <is>
          <t>퇴근/업무</t>
        </is>
      </c>
      <c r="D252" s="4" t="inlineStr">
        <is>
          <t>get off</t>
        </is>
      </c>
      <c r="E252" s="11" t="inlineStr">
        <is>
          <t>퇴근하다 (get off work)</t>
        </is>
      </c>
      <c r="F252" s="11" t="inlineStr">
        <is>
          <t>What time do you get off work?</t>
        </is>
      </c>
      <c r="G252" s="11" t="inlineStr">
        <is>
          <t>너 몇 시에 퇴근해?</t>
        </is>
      </c>
      <c r="H252" s="5">
        <f>HYPERLINK("https://www.youtube.com/watch?v=uTCnwpjR9X4", "영상 보기 ▶")</f>
        <v/>
      </c>
    </row>
    <row r="253" ht="26" customHeight="1">
      <c r="A253" s="6" t="n">
        <v>252</v>
      </c>
      <c r="B253" s="7" t="inlineStr">
        <is>
          <t>총정리 6탄</t>
        </is>
      </c>
      <c r="C253" s="7" t="inlineStr">
        <is>
          <t>노력/수고</t>
        </is>
      </c>
      <c r="D253" s="8" t="inlineStr">
        <is>
          <t>hard work</t>
        </is>
      </c>
      <c r="E253" s="12" t="inlineStr">
        <is>
          <t>열심히 쏟은 노력, 공 (단순 육체노동이 아님)</t>
        </is>
      </c>
      <c r="F253" s="12" t="inlineStr">
        <is>
          <t>Your hard work really paid off.</t>
        </is>
      </c>
      <c r="G253" s="12" t="inlineStr">
        <is>
          <t>네가 쏟은 노력이 정말 값진 결실을 맺었어.</t>
        </is>
      </c>
      <c r="H253" s="9">
        <f>HYPERLINK("https://www.youtube.com/watch?v=uTCnwpjR9X4", "영상 보기 ▶")</f>
        <v/>
      </c>
    </row>
    <row r="254" ht="26" customHeight="1">
      <c r="A254" s="2" t="n">
        <v>253</v>
      </c>
      <c r="B254" s="3" t="inlineStr">
        <is>
          <t>총정리 6탄</t>
        </is>
      </c>
      <c r="C254" s="3" t="inlineStr">
        <is>
          <t>업무 착수</t>
        </is>
      </c>
      <c r="D254" s="4" t="inlineStr">
        <is>
          <t>work on</t>
        </is>
      </c>
      <c r="E254" s="11" t="inlineStr">
        <is>
          <t>~에 공을 들이다, 열심히 작업하다/착수하다</t>
        </is>
      </c>
      <c r="F254" s="11" t="inlineStr">
        <is>
          <t>I'm currently working on a new proposal.</t>
        </is>
      </c>
      <c r="G254" s="11" t="inlineStr">
        <is>
          <t>지금 새 제안서 작업에 공을 들이고 있어요.</t>
        </is>
      </c>
      <c r="H254" s="5">
        <f>HYPERLINK("https://www.youtube.com/watch?v=uTCnwpjR9X4", "영상 보기 ▶")</f>
        <v/>
      </c>
    </row>
    <row r="255" ht="26" customHeight="1">
      <c r="A255" s="6" t="n">
        <v>254</v>
      </c>
      <c r="B255" s="7" t="inlineStr">
        <is>
          <t>총정리 6탄</t>
        </is>
      </c>
      <c r="C255" s="7" t="inlineStr">
        <is>
          <t>일정 조율</t>
        </is>
      </c>
      <c r="D255" s="8" t="inlineStr">
        <is>
          <t>work around (sb's) schedule</t>
        </is>
      </c>
      <c r="E255" s="12" t="inlineStr">
        <is>
          <t>어떻게든 상대방 일정에 맞추다</t>
        </is>
      </c>
      <c r="F255" s="12" t="inlineStr">
        <is>
          <t>Don't worry, I'll work around your schedule.</t>
        </is>
      </c>
      <c r="G255" s="12" t="inlineStr">
        <is>
          <t>걱정 마세요, 어떻게든 당신 일정에 맞출게요.</t>
        </is>
      </c>
      <c r="H255" s="9">
        <f>HYPERLINK("https://www.youtube.com/watch?v=uTCnwpjR9X4", "영상 보기 ▶")</f>
        <v/>
      </c>
    </row>
    <row r="256" ht="26" customHeight="1">
      <c r="A256" s="2" t="n">
        <v>255</v>
      </c>
      <c r="B256" s="3" t="inlineStr">
        <is>
          <t>총정리 6탄</t>
        </is>
      </c>
      <c r="C256" s="3" t="inlineStr">
        <is>
          <t>문제 해결</t>
        </is>
      </c>
      <c r="D256" s="4" t="inlineStr">
        <is>
          <t>work through</t>
        </is>
      </c>
      <c r="E256" s="11" t="inlineStr">
        <is>
          <t>(문제나 감정적인 갈등을) 차근차근 해결해 나가다</t>
        </is>
      </c>
      <c r="F256" s="11" t="inlineStr">
        <is>
          <t>We can work through this problem together.</t>
        </is>
      </c>
      <c r="G256" s="11" t="inlineStr">
        <is>
          <t>우리 함께 이 문제를 차근차근 풀어나갈 수 있어.</t>
        </is>
      </c>
      <c r="H256" s="5">
        <f>HYPERLINK("https://www.youtube.com/watch?v=uTCnwpjR9X4", "영상 보기 ▶")</f>
        <v/>
      </c>
    </row>
    <row r="257" ht="26" customHeight="1">
      <c r="A257" s="6" t="n">
        <v>256</v>
      </c>
      <c r="B257" s="7" t="inlineStr">
        <is>
          <t>총정리 6탄</t>
        </is>
      </c>
      <c r="C257" s="7" t="inlineStr">
        <is>
          <t>기분 전환</t>
        </is>
      </c>
      <c r="D257" s="8" t="inlineStr">
        <is>
          <t>pick-me-up</t>
        </is>
      </c>
      <c r="E257" s="12" t="inlineStr">
        <is>
          <t>기운을 차리게 해주는 간단한 간식이나 음료</t>
        </is>
      </c>
      <c r="F257" s="12" t="inlineStr">
        <is>
          <t>I need an afternoon pick-me-up like an iced coffee.</t>
        </is>
      </c>
      <c r="G257" s="12" t="inlineStr">
        <is>
          <t>오후에 기운 좀 차리게 아이스 커피 같은 게 필요해.</t>
        </is>
      </c>
      <c r="H257" s="9">
        <f>HYPERLINK("https://www.youtube.com/watch?v=uTCnwpjR9X4", "영상 보기 ▶")</f>
        <v/>
      </c>
    </row>
    <row r="258" ht="26" customHeight="1">
      <c r="A258" s="2" t="n">
        <v>257</v>
      </c>
      <c r="B258" s="3" t="inlineStr">
        <is>
          <t>총정리 6탄</t>
        </is>
      </c>
      <c r="C258" s="3" t="inlineStr">
        <is>
          <t>선택/의견</t>
        </is>
      </c>
      <c r="D258" s="4" t="inlineStr">
        <is>
          <t>It doesn't matter to me</t>
        </is>
      </c>
      <c r="E258" s="11" t="inlineStr">
        <is>
          <t>난 아무거나 상관없어 (다 괜찮아)</t>
        </is>
      </c>
      <c r="F258" s="11" t="inlineStr">
        <is>
          <t>It doesn't matter to me, you pick the restaurant.</t>
        </is>
      </c>
      <c r="G258" s="11" t="inlineStr">
        <is>
          <t>난 아무래도 상관없어, 네가 식당 골라.</t>
        </is>
      </c>
      <c r="H258" s="5">
        <f>HYPERLINK("https://www.youtube.com/watch?v=uTCnwpjR9X4", "영상 보기 ▶")</f>
        <v/>
      </c>
    </row>
    <row r="259" ht="26" customHeight="1">
      <c r="A259" s="6" t="n">
        <v>258</v>
      </c>
      <c r="B259" s="7" t="inlineStr">
        <is>
          <t>총정리 6탄</t>
        </is>
      </c>
      <c r="C259" s="7" t="inlineStr">
        <is>
          <t>선택/의견</t>
        </is>
      </c>
      <c r="D259" s="8" t="inlineStr">
        <is>
          <t>I'm fine with whatever</t>
        </is>
      </c>
      <c r="E259" s="12" t="inlineStr">
        <is>
          <t>난 뭐든 다 좋아</t>
        </is>
      </c>
      <c r="F259" s="12" t="inlineStr">
        <is>
          <t>I'm fine with whatever you decide.</t>
        </is>
      </c>
      <c r="G259" s="12" t="inlineStr">
        <is>
          <t>네가 결정하는 거면 난 뭐든 다 좋아.</t>
        </is>
      </c>
      <c r="H259" s="9">
        <f>HYPERLINK("https://www.youtube.com/watch?v=uTCnwpjR9X4", "영상 보기 ▶")</f>
        <v/>
      </c>
    </row>
    <row r="260" ht="26" customHeight="1">
      <c r="A260" s="2" t="n">
        <v>259</v>
      </c>
      <c r="B260" s="3" t="inlineStr">
        <is>
          <t>총정리 6탄</t>
        </is>
      </c>
      <c r="C260" s="3" t="inlineStr">
        <is>
          <t>제안/권유</t>
        </is>
      </c>
      <c r="D260" s="4" t="inlineStr">
        <is>
          <t>Are you up for ~?</t>
        </is>
      </c>
      <c r="E260" s="11" t="inlineStr">
        <is>
          <t>~할 마음/의향 있어? (가벼운 제안)</t>
        </is>
      </c>
      <c r="F260" s="11" t="inlineStr">
        <is>
          <t>Are you up for a quick walk?</t>
        </is>
      </c>
      <c r="G260" s="11" t="inlineStr">
        <is>
          <t>가볍게 산책 좀 하러 갈래?</t>
        </is>
      </c>
      <c r="H260" s="5">
        <f>HYPERLINK("https://www.youtube.com/watch?v=uTCnwpjR9X4", "영상 보기 ▶")</f>
        <v/>
      </c>
    </row>
    <row r="261" ht="26" customHeight="1">
      <c r="A261" s="6" t="n">
        <v>260</v>
      </c>
      <c r="B261" s="7" t="inlineStr">
        <is>
          <t>총정리 6탄</t>
        </is>
      </c>
      <c r="C261" s="7" t="inlineStr">
        <is>
          <t>상태 지속</t>
        </is>
      </c>
      <c r="D261" s="8" t="inlineStr">
        <is>
          <t>still</t>
        </is>
      </c>
      <c r="E261" s="12" t="inlineStr">
        <is>
          <t>여전히, 아직도 (기대나 의심 뉘앙스)</t>
        </is>
      </c>
      <c r="F261" s="12" t="inlineStr">
        <is>
          <t>Are you still working on that?</t>
        </is>
      </c>
      <c r="G261" s="12" t="inlineStr">
        <is>
          <t>너 아직도 그거 작업하고 있어?</t>
        </is>
      </c>
      <c r="H261" s="9">
        <f>HYPERLINK("https://www.youtube.com/watch?v=uTCnwpjR9X4", "영상 보기 ▶")</f>
        <v/>
      </c>
    </row>
    <row r="262" ht="26" customHeight="1">
      <c r="A262" s="2" t="n">
        <v>261</v>
      </c>
      <c r="B262" s="3" t="inlineStr">
        <is>
          <t>총정리 6탄</t>
        </is>
      </c>
      <c r="C262" s="3" t="inlineStr">
        <is>
          <t>강한 호의</t>
        </is>
      </c>
      <c r="D262" s="4" t="inlineStr">
        <is>
          <t>I won't take no for an answer</t>
        </is>
      </c>
      <c r="E262" s="11" t="inlineStr">
        <is>
          <t>거절은 사양할게요 (반드시 대접하고 싶을 때)</t>
        </is>
      </c>
      <c r="F262" s="11" t="inlineStr">
        <is>
          <t>Dinner is on me, and I won't take no for an answer.</t>
        </is>
      </c>
      <c r="G262" s="11" t="inlineStr">
        <is>
          <t>오늘 저녁은 내가 쏠 거야, 거절은 절대 사양할게.</t>
        </is>
      </c>
      <c r="H262" s="5">
        <f>HYPERLINK("https://www.youtube.com/watch?v=uTCnwpjR9X4", "영상 보기 ▶")</f>
        <v/>
      </c>
    </row>
    <row r="263" ht="26" customHeight="1">
      <c r="A263" s="6" t="n">
        <v>262</v>
      </c>
      <c r="B263" s="7" t="inlineStr">
        <is>
          <t>총정리 6탄</t>
        </is>
      </c>
      <c r="C263" s="7" t="inlineStr">
        <is>
          <t>필요/희망</t>
        </is>
      </c>
      <c r="D263" s="8" t="inlineStr">
        <is>
          <t>I could use ~</t>
        </is>
      </c>
      <c r="E263" s="12" t="inlineStr">
        <is>
          <t>~하면 딱 좋겠어, ~가 절실히 필요해</t>
        </is>
      </c>
      <c r="F263" s="12" t="inlineStr">
        <is>
          <t>I could use a little break right now.</t>
        </is>
      </c>
      <c r="G263" s="12" t="inlineStr">
        <is>
          <t>나 지금 잠깐 휴식을 취하면 딱 좋겠어.</t>
        </is>
      </c>
      <c r="H263" s="9">
        <f>HYPERLINK("https://www.youtube.com/watch?v=uTCnwpjR9X4", "영상 보기 ▶")</f>
        <v/>
      </c>
    </row>
    <row r="264" ht="26" customHeight="1">
      <c r="A264" s="2" t="n">
        <v>263</v>
      </c>
      <c r="B264" s="3" t="inlineStr">
        <is>
          <t>총정리 6탄</t>
        </is>
      </c>
      <c r="C264" s="3" t="inlineStr">
        <is>
          <t>음식 맛</t>
        </is>
      </c>
      <c r="D264" s="4" t="inlineStr">
        <is>
          <t>delicious</t>
        </is>
      </c>
      <c r="E264" s="11" t="inlineStr">
        <is>
          <t>(과장해서 극찬할 때) 정말 아주 맛있는</t>
        </is>
      </c>
      <c r="F264" s="11" t="inlineStr">
        <is>
          <t>This dessert is absolutely delicious!</t>
        </is>
      </c>
      <c r="G264" s="11" t="inlineStr">
        <is>
          <t>이 디저트 정말 환상적으로 맛있다!</t>
        </is>
      </c>
      <c r="H264" s="5">
        <f>HYPERLINK("https://www.youtube.com/watch?v=uTCnwpjR9X4", "영상 보기 ▶")</f>
        <v/>
      </c>
    </row>
    <row r="265" ht="26" customHeight="1">
      <c r="A265" s="6" t="n">
        <v>264</v>
      </c>
      <c r="B265" s="7" t="inlineStr">
        <is>
          <t>총정리 6탄</t>
        </is>
      </c>
      <c r="C265" s="7" t="inlineStr">
        <is>
          <t>음식 맛</t>
        </is>
      </c>
      <c r="D265" s="8" t="inlineStr">
        <is>
          <t>tasty / amazing</t>
        </is>
      </c>
      <c r="E265" s="12" t="inlineStr">
        <is>
          <t>입에 착 달라붙게 맛있는</t>
        </is>
      </c>
      <c r="F265" s="12" t="inlineStr">
        <is>
          <t>The food here is always amazing.</t>
        </is>
      </c>
      <c r="G265" s="12" t="inlineStr">
        <is>
          <t>여기 음식은 항상 감탄이 나올 정도로 맛있어.</t>
        </is>
      </c>
      <c r="H265" s="9">
        <f>HYPERLINK("https://www.youtube.com/watch?v=uTCnwpjR9X4", "영상 보기 ▶")</f>
        <v/>
      </c>
    </row>
    <row r="266" ht="26" customHeight="1">
      <c r="A266" s="2" t="n">
        <v>265</v>
      </c>
      <c r="B266" s="3" t="inlineStr">
        <is>
          <t>총정리 6탄</t>
        </is>
      </c>
      <c r="C266" s="3" t="inlineStr">
        <is>
          <t>음식 맛</t>
        </is>
      </c>
      <c r="D266" s="4" t="inlineStr">
        <is>
          <t>hit the spot</t>
        </is>
      </c>
      <c r="E266" s="11" t="inlineStr">
        <is>
          <t>(원하던 맛이라) 딱 좋다, 살 것 같다</t>
        </is>
      </c>
      <c r="F266" s="11" t="inlineStr">
        <is>
          <t>That hot soup really hit the spot.</t>
        </is>
      </c>
      <c r="G266" s="11" t="inlineStr">
        <is>
          <t>그 따뜻한 국물을 마시니 정말 살 것 같네.</t>
        </is>
      </c>
      <c r="H266" s="5">
        <f>HYPERLINK("https://www.youtube.com/watch?v=uTCnwpjR9X4", "영상 보기 ▶")</f>
        <v/>
      </c>
    </row>
    <row r="267" ht="26" customHeight="1">
      <c r="A267" s="6" t="n">
        <v>266</v>
      </c>
      <c r="B267" s="7" t="inlineStr">
        <is>
          <t>총정리 6탄</t>
        </is>
      </c>
      <c r="C267" s="7" t="inlineStr">
        <is>
          <t>맛 불만</t>
        </is>
      </c>
      <c r="D267" s="8" t="inlineStr">
        <is>
          <t>bad / horrible</t>
        </is>
      </c>
      <c r="E267" s="12" t="inlineStr">
        <is>
          <t>맛이 형편없는, 입맛에 전혀 안 맞는</t>
        </is>
      </c>
      <c r="F267" s="12" t="inlineStr">
        <is>
          <t>The coffee here is pretty bad.</t>
        </is>
      </c>
      <c r="G267" s="12" t="inlineStr">
        <is>
          <t>여기 커피 맛은 꽤 형편없어.</t>
        </is>
      </c>
      <c r="H267" s="9">
        <f>HYPERLINK("https://www.youtube.com/watch?v=uTCnwpjR9X4", "영상 보기 ▶")</f>
        <v/>
      </c>
    </row>
    <row r="268" ht="26" customHeight="1">
      <c r="A268" s="2" t="n">
        <v>267</v>
      </c>
      <c r="B268" s="3" t="inlineStr">
        <is>
          <t>총정리 6탄</t>
        </is>
      </c>
      <c r="C268" s="3" t="inlineStr">
        <is>
          <t>맛 불만</t>
        </is>
      </c>
      <c r="D268" s="4" t="inlineStr">
        <is>
          <t>disgusting / gross</t>
        </is>
      </c>
      <c r="E268" s="11" t="inlineStr">
        <is>
          <t>(삼키기 힘들 정도로) 역겨운, 구역질 나는</t>
        </is>
      </c>
      <c r="F268" s="11" t="inlineStr">
        <is>
          <t>The cough syrup tasted disgusting.</t>
        </is>
      </c>
      <c r="G268" s="11" t="inlineStr">
        <is>
          <t>그 감기약 맛이 너무 역겨웠어.</t>
        </is>
      </c>
      <c r="H268" s="5">
        <f>HYPERLINK("https://www.youtube.com/watch?v=uTCnwpjR9X4", "영상 보기 ▶")</f>
        <v/>
      </c>
    </row>
    <row r="269" ht="26" customHeight="1">
      <c r="A269" s="6" t="n">
        <v>268</v>
      </c>
      <c r="B269" s="7" t="inlineStr">
        <is>
          <t>총정리 6탄</t>
        </is>
      </c>
      <c r="C269" s="7" t="inlineStr">
        <is>
          <t>정중한 질문</t>
        </is>
      </c>
      <c r="D269" s="8" t="inlineStr">
        <is>
          <t>Is there any way ~?</t>
        </is>
      </c>
      <c r="E269" s="12" t="inlineStr">
        <is>
          <t>혹시 ~할 방법이 있을까요? (조심스런 가능성 타진)</t>
        </is>
      </c>
      <c r="F269" s="12" t="inlineStr">
        <is>
          <t>Is there any way we could speed up the delivery?</t>
        </is>
      </c>
      <c r="G269" s="12" t="inlineStr">
        <is>
          <t>혹시 배송을 좀 앞당길 수 있는 방법이 있을까요?</t>
        </is>
      </c>
      <c r="H269" s="9">
        <f>HYPERLINK("https://www.youtube.com/watch?v=uTCnwpjR9X4", "영상 보기 ▶")</f>
        <v/>
      </c>
    </row>
    <row r="270" ht="26" customHeight="1">
      <c r="A270" s="2" t="n">
        <v>269</v>
      </c>
      <c r="B270" s="3" t="inlineStr">
        <is>
          <t>총정리 6탄</t>
        </is>
      </c>
      <c r="C270" s="3" t="inlineStr">
        <is>
          <t>상태 눈치</t>
        </is>
      </c>
      <c r="D270" s="4" t="inlineStr">
        <is>
          <t>You seem a bit off</t>
        </is>
      </c>
      <c r="E270" s="11" t="inlineStr">
        <is>
          <t>오늘 왠지 기운이 없어 보여 / 평소와 달라 보여</t>
        </is>
      </c>
      <c r="F270" s="11" t="inlineStr">
        <is>
          <t>You seem a bit off today. Is everything okay?</t>
        </is>
      </c>
      <c r="G270" s="11" t="inlineStr">
        <is>
          <t>너 오늘 왠지 기운이 없어 보여. 별일 없지?</t>
        </is>
      </c>
      <c r="H270" s="5">
        <f>HYPERLINK("https://www.youtube.com/watch?v=uTCnwpjR9X4", "영상 보기 ▶")</f>
        <v/>
      </c>
    </row>
    <row r="271" ht="26" customHeight="1">
      <c r="A271" s="6" t="n">
        <v>270</v>
      </c>
      <c r="B271" s="7" t="inlineStr">
        <is>
          <t>총정리 6탄</t>
        </is>
      </c>
      <c r="C271" s="7" t="inlineStr">
        <is>
          <t>진심 축하</t>
        </is>
      </c>
      <c r="D271" s="8" t="inlineStr">
        <is>
          <t>No one deserves it more</t>
        </is>
      </c>
      <c r="E271" s="12" t="inlineStr">
        <is>
          <t>너보다 자격 있는 사람은 없어 (노력을 인정하는 축하)</t>
        </is>
      </c>
      <c r="F271" s="12" t="inlineStr">
        <is>
          <t>Congratulations on the promotion! No one deserves it more.</t>
        </is>
      </c>
      <c r="G271" s="12" t="inlineStr">
        <is>
          <t>승진 진심으로 축하해! 너만큼 자격 있는 사람은 없어.</t>
        </is>
      </c>
      <c r="H271" s="9">
        <f>HYPERLINK("https://www.youtube.com/watch?v=uTCnwpjR9X4", "영상 보기 ▶")</f>
        <v/>
      </c>
    </row>
    <row r="272" ht="26" customHeight="1">
      <c r="A272" s="2" t="n">
        <v>271</v>
      </c>
      <c r="B272" s="3" t="inlineStr">
        <is>
          <t>총정리 6탄</t>
        </is>
      </c>
      <c r="C272" s="3" t="inlineStr">
        <is>
          <t>구어 뉘앙스</t>
        </is>
      </c>
      <c r="D272" s="4" t="inlineStr">
        <is>
          <t>nuts / crazy</t>
        </is>
      </c>
      <c r="E272" s="11" t="inlineStr">
        <is>
          <t>① 제정신이 아닌 ② 광적으로 좋아하는</t>
        </is>
      </c>
      <c r="F272" s="11" t="inlineStr">
        <is>
          <t>He is completely nuts about photography.</t>
        </is>
      </c>
      <c r="G272" s="11" t="inlineStr">
        <is>
          <t>그는 사진에 완전히 미쳐 있어.</t>
        </is>
      </c>
      <c r="H272" s="5">
        <f>HYPERLINK("https://www.youtube.com/watch?v=uTCnwpjR9X4", "영상 보기 ▶")</f>
        <v/>
      </c>
    </row>
    <row r="273" ht="26" customHeight="1">
      <c r="A273" s="6" t="n">
        <v>272</v>
      </c>
      <c r="B273" s="7" t="inlineStr">
        <is>
          <t>총정리 6탄</t>
        </is>
      </c>
      <c r="C273" s="7" t="inlineStr">
        <is>
          <t>구어 뉘앙스</t>
        </is>
      </c>
      <c r="D273" s="8" t="inlineStr">
        <is>
          <t>go nuts</t>
        </is>
      </c>
      <c r="E273" s="12" t="inlineStr">
        <is>
          <t>열광하다 / 멘붕이 오다</t>
        </is>
      </c>
      <c r="F273" s="12" t="inlineStr">
        <is>
          <t>The crowd went nuts when he walked out.</t>
        </is>
      </c>
      <c r="G273" s="12" t="inlineStr">
        <is>
          <t>그가 걸어 나오자 관중들이 완전히 열광했어.</t>
        </is>
      </c>
      <c r="H273" s="9">
        <f>HYPERLINK("https://www.youtube.com/watch?v=uTCnwpjR9X4", "영상 보기 ▶")</f>
        <v/>
      </c>
    </row>
    <row r="274" ht="26" customHeight="1">
      <c r="A274" s="2" t="n">
        <v>273</v>
      </c>
      <c r="B274" s="3" t="inlineStr">
        <is>
          <t>총정리 6탄</t>
        </is>
      </c>
      <c r="C274" s="3" t="inlineStr">
        <is>
          <t>제안/안내</t>
        </is>
      </c>
      <c r="D274" s="4" t="inlineStr">
        <is>
          <t>If you're interested,</t>
        </is>
      </c>
      <c r="E274" s="11" t="inlineStr">
        <is>
          <t>혹시 관심 있으시면, 마음에 드시면</t>
        </is>
      </c>
      <c r="F274" s="11" t="inlineStr">
        <is>
          <t>If you're interested, I can send you the details.</t>
        </is>
      </c>
      <c r="G274" s="11" t="inlineStr">
        <is>
          <t>관심 있으시면 제가 세부 사항을 보내드릴게요.</t>
        </is>
      </c>
      <c r="H274" s="5">
        <f>HYPERLINK("https://www.youtube.com/watch?v=uTCnwpjR9X4", "영상 보기 ▶")</f>
        <v/>
      </c>
    </row>
    <row r="275" ht="26" customHeight="1">
      <c r="A275" s="6" t="n">
        <v>274</v>
      </c>
      <c r="B275" s="7" t="inlineStr">
        <is>
          <t>총정리 6탄</t>
        </is>
      </c>
      <c r="C275" s="7" t="inlineStr">
        <is>
          <t>일정 여유</t>
        </is>
      </c>
      <c r="D275" s="8" t="inlineStr">
        <is>
          <t>I have some time to kill</t>
        </is>
      </c>
      <c r="E275" s="12" t="inlineStr">
        <is>
          <t>(약속 사이에) 시간 때울 여유가 좀 있어</t>
        </is>
      </c>
      <c r="F275" s="12" t="inlineStr">
        <is>
          <t>I have an hour to kill before my train leaves.</t>
        </is>
      </c>
      <c r="G275" s="12" t="inlineStr">
        <is>
          <t>기차 출발 전까지 한 시간 정도 시간이 비어 있어.</t>
        </is>
      </c>
      <c r="H275" s="9">
        <f>HYPERLINK("https://www.youtube.com/watch?v=uTCnwpjR9X4", "영상 보기 ▶")</f>
        <v/>
      </c>
    </row>
    <row r="276" ht="26" customHeight="1">
      <c r="A276" s="2" t="n">
        <v>275</v>
      </c>
      <c r="B276" s="3" t="inlineStr">
        <is>
          <t>총정리 6탄</t>
        </is>
      </c>
      <c r="C276" s="3" t="inlineStr">
        <is>
          <t>장소 머무름</t>
        </is>
      </c>
      <c r="D276" s="4" t="inlineStr">
        <is>
          <t>hang out</t>
        </is>
      </c>
      <c r="E276" s="11" t="inlineStr">
        <is>
          <t>(특별한 목적 없이) 어울려 놀다, 시간을 보내다</t>
        </is>
      </c>
      <c r="F276" s="11" t="inlineStr">
        <is>
          <t>Do you want to hang out this weekend?</t>
        </is>
      </c>
      <c r="G276" s="11" t="inlineStr">
        <is>
          <t>이번 주말에 같이 놀래?</t>
        </is>
      </c>
      <c r="H276" s="5">
        <f>HYPERLINK("https://www.youtube.com/watch?v=uTCnwpjR9X4", "영상 보기 ▶")</f>
        <v/>
      </c>
    </row>
    <row r="277" ht="26" customHeight="1">
      <c r="A277" s="6" t="n">
        <v>276</v>
      </c>
      <c r="B277" s="7" t="inlineStr">
        <is>
          <t>총정리 6탄</t>
        </is>
      </c>
      <c r="C277" s="7" t="inlineStr">
        <is>
          <t>연락 유지</t>
        </is>
      </c>
      <c r="D277" s="8" t="inlineStr">
        <is>
          <t>Keep in touch</t>
        </is>
      </c>
      <c r="E277" s="12" t="inlineStr">
        <is>
          <t>연락 계속하고 지내자</t>
        </is>
      </c>
      <c r="F277" s="12" t="inlineStr">
        <is>
          <t>It was great seeing you. Keep in touch!</t>
        </is>
      </c>
      <c r="G277" s="12" t="inlineStr">
        <is>
          <t>만나서 반가웠어. 계속 연락하자!</t>
        </is>
      </c>
      <c r="H277" s="9">
        <f>HYPERLINK("https://www.youtube.com/watch?v=uTCnwpjR9X4", "영상 보기 ▶")</f>
        <v/>
      </c>
    </row>
    <row r="278" ht="26" customHeight="1">
      <c r="A278" s="2" t="n">
        <v>277</v>
      </c>
      <c r="B278" s="3" t="inlineStr">
        <is>
          <t>총정리 6탄</t>
        </is>
      </c>
      <c r="C278" s="3" t="inlineStr">
        <is>
          <t>오랜만 인사</t>
        </is>
      </c>
      <c r="D278" s="4" t="inlineStr">
        <is>
          <t>It's been a while</t>
        </is>
      </c>
      <c r="E278" s="11" t="inlineStr">
        <is>
          <t>진짜 오랜만이다</t>
        </is>
      </c>
      <c r="F278" s="11" t="inlineStr">
        <is>
          <t>It's been a while since we last spoke.</t>
        </is>
      </c>
      <c r="G278" s="11" t="inlineStr">
        <is>
          <t>우리 지난번에 이야기 나누고 진짜 오랜만이네.</t>
        </is>
      </c>
      <c r="H278" s="5">
        <f>HYPERLINK("https://www.youtube.com/watch?v=uTCnwpjR9X4", "영상 보기 ▶")</f>
        <v/>
      </c>
    </row>
    <row r="279" ht="26" customHeight="1">
      <c r="A279" s="6" t="n">
        <v>278</v>
      </c>
      <c r="B279" s="7" t="inlineStr">
        <is>
          <t>총정리 6탄</t>
        </is>
      </c>
      <c r="C279" s="7" t="inlineStr">
        <is>
          <t>소식 전달</t>
        </is>
      </c>
      <c r="D279" s="8" t="inlineStr">
        <is>
          <t>Word on the street is ~</t>
        </is>
      </c>
      <c r="E279" s="12" t="inlineStr">
        <is>
          <t>소문에 의하면 ~라던데</t>
        </is>
      </c>
      <c r="F279" s="12" t="inlineStr">
        <is>
          <t>Word on the street is that they're hiring.</t>
        </is>
      </c>
      <c r="G279" s="12" t="inlineStr">
        <is>
          <t>소문에 의하면 그 회사에서 사람을 뽑는다더라.</t>
        </is>
      </c>
      <c r="H279" s="9">
        <f>HYPERLINK("https://www.youtube.com/watch?v=uTCnwpjR9X4", "영상 보기 ▶")</f>
        <v/>
      </c>
    </row>
    <row r="280" ht="26" customHeight="1">
      <c r="A280" s="2" t="n">
        <v>279</v>
      </c>
      <c r="B280" s="3" t="inlineStr">
        <is>
          <t>총정리 6탄</t>
        </is>
      </c>
      <c r="C280" s="3" t="inlineStr">
        <is>
          <t>소문 확인</t>
        </is>
      </c>
      <c r="D280" s="4" t="inlineStr">
        <is>
          <t>I heard through the grapevine</t>
        </is>
      </c>
      <c r="E280" s="11" t="inlineStr">
        <is>
          <t>건너건너 풍문으로 들었어</t>
        </is>
      </c>
      <c r="F280" s="11" t="inlineStr">
        <is>
          <t>I heard through the grapevine that she's moving.</t>
        </is>
      </c>
      <c r="G280" s="11" t="inlineStr">
        <is>
          <t>그녀가 이사 간다는 소식을 풍문으로 들었어.</t>
        </is>
      </c>
      <c r="H280" s="5">
        <f>HYPERLINK("https://www.youtube.com/watch?v=uTCnwpjR9X4", "영상 보기 ▶")</f>
        <v/>
      </c>
    </row>
    <row r="281" ht="26" customHeight="1">
      <c r="A281" s="6" t="n">
        <v>280</v>
      </c>
      <c r="B281" s="7" t="inlineStr">
        <is>
          <t>총정리 6탄</t>
        </is>
      </c>
      <c r="C281" s="7" t="inlineStr">
        <is>
          <t>비밀 유지</t>
        </is>
      </c>
      <c r="D281" s="8" t="inlineStr">
        <is>
          <t>Keep it under wraps</t>
        </is>
      </c>
      <c r="E281" s="12" t="inlineStr">
        <is>
          <t>비밀로 유지하다, 대외비로 부치다</t>
        </is>
      </c>
      <c r="F281" s="12" t="inlineStr">
        <is>
          <t>Please keep this project under wraps for now.</t>
        </is>
      </c>
      <c r="G281" s="12" t="inlineStr">
        <is>
          <t>당분간 이 프로젝트는 대외비로 비밀에 부쳐주세요.</t>
        </is>
      </c>
      <c r="H281" s="9">
        <f>HYPERLINK("https://www.youtube.com/watch?v=uTCnwpjR9X4", "영상 보기 ▶")</f>
        <v/>
      </c>
    </row>
    <row r="282" ht="26" customHeight="1">
      <c r="A282" s="2" t="n">
        <v>281</v>
      </c>
      <c r="B282" s="3" t="inlineStr">
        <is>
          <t>총정리 6탄</t>
        </is>
      </c>
      <c r="C282" s="3" t="inlineStr">
        <is>
          <t>비밀 유지</t>
        </is>
      </c>
      <c r="D282" s="4" t="inlineStr">
        <is>
          <t>My lips are sealed</t>
        </is>
      </c>
      <c r="E282" s="11" t="inlineStr">
        <is>
          <t>내 입은 무거워, 입 꼭 다물게</t>
        </is>
      </c>
      <c r="F282" s="11" t="inlineStr">
        <is>
          <t>Don't worry, my lips are sealed.</t>
        </is>
      </c>
      <c r="G282" s="11" t="inlineStr">
        <is>
          <t>걱정 마, 나 입 절대 안 열 테니까.</t>
        </is>
      </c>
      <c r="H282" s="5">
        <f>HYPERLINK("https://www.youtube.com/watch?v=uTCnwpjR9X4", "영상 보기 ▶")</f>
        <v/>
      </c>
    </row>
    <row r="283" ht="26" customHeight="1">
      <c r="A283" s="6" t="n">
        <v>282</v>
      </c>
      <c r="B283" s="7" t="inlineStr">
        <is>
          <t>총정리 6탄</t>
        </is>
      </c>
      <c r="C283" s="7" t="inlineStr">
        <is>
          <t>비밀 누설</t>
        </is>
      </c>
      <c r="D283" s="8" t="inlineStr">
        <is>
          <t>spill the beans</t>
        </is>
      </c>
      <c r="E283" s="12" t="inlineStr">
        <is>
          <t>무심코 비밀을 털어놓다, 누설하다</t>
        </is>
      </c>
      <c r="F283" s="12" t="inlineStr">
        <is>
          <t>Who spilled the beans about the party?</t>
        </is>
      </c>
      <c r="G283" s="12" t="inlineStr">
        <is>
          <t>파티 비밀을 누가 무심코 털어놓은 거야?</t>
        </is>
      </c>
      <c r="H283" s="9">
        <f>HYPERLINK("https://www.youtube.com/watch?v=uTCnwpjR9X4", "영상 보기 ▶")</f>
        <v/>
      </c>
    </row>
    <row r="284" ht="26" customHeight="1">
      <c r="A284" s="2" t="n">
        <v>283</v>
      </c>
      <c r="B284" s="3" t="inlineStr">
        <is>
          <t>총정리 6탄</t>
        </is>
      </c>
      <c r="C284" s="3" t="inlineStr">
        <is>
          <t>비밀 누설</t>
        </is>
      </c>
      <c r="D284" s="4" t="inlineStr">
        <is>
          <t>let the cat out of the bag</t>
        </is>
      </c>
      <c r="E284" s="11" t="inlineStr">
        <is>
          <t>비밀을 들통나게 하다, 누설하다</t>
        </is>
      </c>
      <c r="F284" s="11" t="inlineStr">
        <is>
          <t>He accidentally let the cat out of the bag.</t>
        </is>
      </c>
      <c r="G284" s="11" t="inlineStr">
        <is>
          <t>그가 실수로 비밀을 누설해 버렸어.</t>
        </is>
      </c>
      <c r="H284" s="5">
        <f>HYPERLINK("https://www.youtube.com/watch?v=uTCnwpjR9X4", "영상 보기 ▶")</f>
        <v/>
      </c>
    </row>
    <row r="285" ht="26" customHeight="1">
      <c r="A285" s="6" t="n">
        <v>284</v>
      </c>
      <c r="B285" s="7" t="inlineStr">
        <is>
          <t>총정리 6탄</t>
        </is>
      </c>
      <c r="C285" s="7" t="inlineStr">
        <is>
          <t>이해/공감</t>
        </is>
      </c>
      <c r="D285" s="8" t="inlineStr">
        <is>
          <t>I see where you're coming from</t>
        </is>
      </c>
      <c r="E285" s="12" t="inlineStr">
        <is>
          <t>네가 왜 그렇게 말하는지 입장은 이해해</t>
        </is>
      </c>
      <c r="F285" s="12" t="inlineStr">
        <is>
          <t>I see where you're coming from, but I disagree.</t>
        </is>
      </c>
      <c r="G285" s="12" t="inlineStr">
        <is>
          <t>네가 왜 그러는지 입장은 이해하지만 난 동의 못 해.</t>
        </is>
      </c>
      <c r="H285" s="9">
        <f>HYPERLINK("https://www.youtube.com/watch?v=uTCnwpjR9X4", "영상 보기 ▶")</f>
        <v/>
      </c>
    </row>
    <row r="286" ht="26" customHeight="1">
      <c r="A286" s="2" t="n">
        <v>285</v>
      </c>
      <c r="B286" s="3" t="inlineStr">
        <is>
          <t>총정리 6탄</t>
        </is>
      </c>
      <c r="C286" s="3" t="inlineStr">
        <is>
          <t>직접 확인</t>
        </is>
      </c>
      <c r="D286" s="4" t="inlineStr">
        <is>
          <t>firsthand</t>
        </is>
      </c>
      <c r="E286" s="11" t="inlineStr">
        <is>
          <t>직접 겪은, 직접적인 (firsthand experience)</t>
        </is>
      </c>
      <c r="F286" s="11" t="inlineStr">
        <is>
          <t>I know firsthand how difficult it is.</t>
        </is>
      </c>
      <c r="G286" s="11" t="inlineStr">
        <is>
          <t>그게 얼마나 어려운지 내가 직접 겪어봐서 잘 알아.</t>
        </is>
      </c>
      <c r="H286" s="5">
        <f>HYPERLINK("https://www.youtube.com/watch?v=uTCnwpjR9X4", "영상 보기 ▶")</f>
        <v/>
      </c>
    </row>
    <row r="287" ht="26" customHeight="1">
      <c r="A287" s="6" t="n">
        <v>286</v>
      </c>
      <c r="B287" s="7" t="inlineStr">
        <is>
          <t>총정리 6탄</t>
        </is>
      </c>
      <c r="C287" s="7" t="inlineStr">
        <is>
          <t>간접 확인</t>
        </is>
      </c>
      <c r="D287" s="8" t="inlineStr">
        <is>
          <t>secondhand</t>
        </is>
      </c>
      <c r="E287" s="12" t="inlineStr">
        <is>
          <t>간접적인, 전해 들은 (secondhand information)</t>
        </is>
      </c>
      <c r="F287" s="12" t="inlineStr">
        <is>
          <t>I only know this secondhand.</t>
        </is>
      </c>
      <c r="G287" s="12" t="inlineStr">
        <is>
          <t>난 이 소식을 그냥 전해 들었을 뿐이야.</t>
        </is>
      </c>
      <c r="H287" s="9">
        <f>HYPERLINK("https://www.youtube.com/watch?v=uTCnwpjR9X4", "영상 보기 ▶")</f>
        <v/>
      </c>
    </row>
    <row r="288" ht="26" customHeight="1">
      <c r="A288" s="2" t="n">
        <v>287</v>
      </c>
      <c r="B288" s="3" t="inlineStr">
        <is>
          <t>총정리 6탄</t>
        </is>
      </c>
      <c r="C288" s="3" t="inlineStr">
        <is>
          <t>상황 판단</t>
        </is>
      </c>
      <c r="D288" s="4" t="inlineStr">
        <is>
          <t>play it safe</t>
        </is>
      </c>
      <c r="E288" s="11" t="inlineStr">
        <is>
          <t>안전하게 가다, 무리하지 않다</t>
        </is>
      </c>
      <c r="F288" s="11" t="inlineStr">
        <is>
          <t>Let's play it safe and leave early.</t>
        </is>
      </c>
      <c r="G288" s="11" t="inlineStr">
        <is>
          <t>안전하게 무리하지 말고 일찍 출발합시다.</t>
        </is>
      </c>
      <c r="H288" s="5">
        <f>HYPERLINK("https://www.youtube.com/watch?v=uTCnwpjR9X4", "영상 보기 ▶")</f>
        <v/>
      </c>
    </row>
    <row r="289" ht="26" customHeight="1">
      <c r="A289" s="6" t="n">
        <v>288</v>
      </c>
      <c r="B289" s="7" t="inlineStr">
        <is>
          <t>총정리 6탄</t>
        </is>
      </c>
      <c r="C289" s="7" t="inlineStr">
        <is>
          <t>위험 감수</t>
        </is>
      </c>
      <c r="D289" s="8" t="inlineStr">
        <is>
          <t>take a risk / take a chance</t>
        </is>
      </c>
      <c r="E289" s="12" t="inlineStr">
        <is>
          <t>위험을 무릅쓰다, 모험을 해보다</t>
        </is>
      </c>
      <c r="F289" s="12" t="inlineStr">
        <is>
          <t>Sometimes you have to take a chance.</t>
        </is>
      </c>
      <c r="G289" s="12" t="inlineStr">
        <is>
          <t>때로는 모험을 감수해야 할 때도 있어.</t>
        </is>
      </c>
      <c r="H289" s="9">
        <f>HYPERLINK("https://www.youtube.com/watch?v=uTCnwpjR9X4", "영상 보기 ▶")</f>
        <v/>
      </c>
    </row>
    <row r="290" ht="26" customHeight="1">
      <c r="A290" s="2" t="n">
        <v>289</v>
      </c>
      <c r="B290" s="3" t="inlineStr">
        <is>
          <t>총정리 6탄</t>
        </is>
      </c>
      <c r="C290" s="3" t="inlineStr">
        <is>
          <t>결과 수용</t>
        </is>
      </c>
      <c r="D290" s="4" t="inlineStr">
        <is>
          <t>face the music</t>
        </is>
      </c>
      <c r="E290" s="11" t="inlineStr">
        <is>
          <t>(자신의 잘못에 따른) 결과를 받아들이다</t>
        </is>
      </c>
      <c r="F290" s="11" t="inlineStr">
        <is>
          <t>It's time to face the music and apologize.</t>
        </is>
      </c>
      <c r="G290" s="11" t="inlineStr">
        <is>
          <t>이제 현실을 직시하고 사과할 때야.</t>
        </is>
      </c>
      <c r="H290" s="5">
        <f>HYPERLINK("https://www.youtube.com/watch?v=uTCnwpjR9X4", "영상 보기 ▶")</f>
        <v/>
      </c>
    </row>
    <row r="291" ht="26" customHeight="1">
      <c r="A291" s="6" t="n">
        <v>290</v>
      </c>
      <c r="B291" s="7" t="inlineStr">
        <is>
          <t>총정리 6탄</t>
        </is>
      </c>
      <c r="C291" s="7" t="inlineStr">
        <is>
          <t>포기 표현</t>
        </is>
      </c>
      <c r="D291" s="8" t="inlineStr">
        <is>
          <t>throw in the towel</t>
        </is>
      </c>
      <c r="E291" s="12" t="inlineStr">
        <is>
          <t>패배를 인정하다, 포기하다</t>
        </is>
      </c>
      <c r="F291" s="12" t="inlineStr">
        <is>
          <t>Don't throw in the towel just yet.</t>
        </is>
      </c>
      <c r="G291" s="12" t="inlineStr">
        <is>
          <t>벌써 포기하지는 마.</t>
        </is>
      </c>
      <c r="H291" s="9">
        <f>HYPERLINK("https://www.youtube.com/watch?v=uTCnwpjR9X4", "영상 보기 ▶")</f>
        <v/>
      </c>
    </row>
    <row r="292" ht="26" customHeight="1">
      <c r="A292" s="2" t="n">
        <v>291</v>
      </c>
      <c r="B292" s="3" t="inlineStr">
        <is>
          <t>총정리 6탄</t>
        </is>
      </c>
      <c r="C292" s="3" t="inlineStr">
        <is>
          <t>인내 표현</t>
        </is>
      </c>
      <c r="D292" s="4" t="inlineStr">
        <is>
          <t>hang in there</t>
        </is>
      </c>
      <c r="E292" s="11" t="inlineStr">
        <is>
          <t>조금만 더 버텨, 힘내</t>
        </is>
      </c>
      <c r="F292" s="11" t="inlineStr">
        <is>
          <t>Hang in there, things will get better.</t>
        </is>
      </c>
      <c r="G292" s="11" t="inlineStr">
        <is>
          <t>조금만 더 버텨봐, 상황이 나아질 거야.</t>
        </is>
      </c>
      <c r="H292" s="5">
        <f>HYPERLINK("https://www.youtube.com/watch?v=uTCnwpjR9X4", "영상 보기 ▶")</f>
        <v/>
      </c>
    </row>
    <row r="293" ht="26" customHeight="1">
      <c r="A293" s="6" t="n">
        <v>292</v>
      </c>
      <c r="B293" s="7" t="inlineStr">
        <is>
          <t>총정리 6탄</t>
        </is>
      </c>
      <c r="C293" s="7" t="inlineStr">
        <is>
          <t>진정 표현</t>
        </is>
      </c>
      <c r="D293" s="8" t="inlineStr">
        <is>
          <t>take it easy</t>
        </is>
      </c>
      <c r="E293" s="12" t="inlineStr">
        <is>
          <t>마음 편히 가져, 쉬엄쉬엄해</t>
        </is>
      </c>
      <c r="F293" s="12" t="inlineStr">
        <is>
          <t>Take it easy, don't stress over it.</t>
        </is>
      </c>
      <c r="G293" s="12" t="inlineStr">
        <is>
          <t>쉬엄쉬엄해, 그것 때문에 스트레스받지 마.</t>
        </is>
      </c>
      <c r="H293" s="9">
        <f>HYPERLINK("https://www.youtube.com/watch?v=uTCnwpjR9X4", "영상 보기 ▶")</f>
        <v/>
      </c>
    </row>
    <row r="294" ht="26" customHeight="1">
      <c r="A294" s="2" t="n">
        <v>293</v>
      </c>
      <c r="B294" s="3" t="inlineStr">
        <is>
          <t>총정리 6탄</t>
        </is>
      </c>
      <c r="C294" s="3" t="inlineStr">
        <is>
          <t>오해 풀기</t>
        </is>
      </c>
      <c r="D294" s="4" t="inlineStr">
        <is>
          <t>clear the air</t>
        </is>
      </c>
      <c r="E294" s="11" t="inlineStr">
        <is>
          <t>(대화로 어색한) 앙금을 털어내다/오해를 풀다</t>
        </is>
      </c>
      <c r="F294" s="11" t="inlineStr">
        <is>
          <t>We need to clear the air between us.</t>
        </is>
      </c>
      <c r="G294" s="11" t="inlineStr">
        <is>
          <t>우리 사이에 쌓인 앙금과 오해를 풀 필요가 있어.</t>
        </is>
      </c>
      <c r="H294" s="5">
        <f>HYPERLINK("https://www.youtube.com/watch?v=uTCnwpjR9X4", "영상 보기 ▶")</f>
        <v/>
      </c>
    </row>
    <row r="295" ht="26" customHeight="1">
      <c r="A295" s="6" t="n">
        <v>294</v>
      </c>
      <c r="B295" s="7" t="inlineStr">
        <is>
          <t>총정리 6탄</t>
        </is>
      </c>
      <c r="C295" s="7" t="inlineStr">
        <is>
          <t>단도직입</t>
        </is>
      </c>
      <c r="D295" s="8" t="inlineStr">
        <is>
          <t>get straight to the point</t>
        </is>
      </c>
      <c r="E295" s="12" t="inlineStr">
        <is>
          <t>빙빙 돌리지 않고 곧바로 본론을 말하다</t>
        </is>
      </c>
      <c r="F295" s="12" t="inlineStr">
        <is>
          <t>Let's get straight to the point.</t>
        </is>
      </c>
      <c r="G295" s="12" t="inlineStr">
        <is>
          <t>돌려 말하지 말고 바로 본론으로 들어갑시다.</t>
        </is>
      </c>
      <c r="H295" s="9">
        <f>HYPERLINK("https://www.youtube.com/watch?v=uTCnwpjR9X4", "영상 보기 ▶")</f>
        <v/>
      </c>
    </row>
    <row r="296" ht="26" customHeight="1">
      <c r="A296" s="2" t="n">
        <v>295</v>
      </c>
      <c r="B296" s="3" t="inlineStr">
        <is>
          <t>총정리 6탄</t>
        </is>
      </c>
      <c r="C296" s="3" t="inlineStr">
        <is>
          <t>핵심 요약</t>
        </is>
      </c>
      <c r="D296" s="4" t="inlineStr">
        <is>
          <t>in a nutshell</t>
        </is>
      </c>
      <c r="E296" s="11" t="inlineStr">
        <is>
          <t>아주 간단히 요약하자면</t>
        </is>
      </c>
      <c r="F296" s="11" t="inlineStr">
        <is>
          <t>In a nutshell, we exceeded our sales goal.</t>
        </is>
      </c>
      <c r="G296" s="11" t="inlineStr">
        <is>
          <t>한마디로 요약하자면 우리 매출 목표를 초과 달성했어.</t>
        </is>
      </c>
      <c r="H296" s="5">
        <f>HYPERLINK("https://www.youtube.com/watch?v=uTCnwpjR9X4", "영상 보기 ▶")</f>
        <v/>
      </c>
    </row>
    <row r="297" ht="26" customHeight="1">
      <c r="A297" s="6" t="n">
        <v>296</v>
      </c>
      <c r="B297" s="7" t="inlineStr">
        <is>
          <t>총정리 6탄</t>
        </is>
      </c>
      <c r="C297" s="7" t="inlineStr">
        <is>
          <t>기초 필수</t>
        </is>
      </c>
      <c r="D297" s="8" t="inlineStr">
        <is>
          <t>back to basics</t>
        </is>
      </c>
      <c r="E297" s="12" t="inlineStr">
        <is>
          <t>초심으로 돌아가다, 기본으로 돌아가다</t>
        </is>
      </c>
      <c r="F297" s="12" t="inlineStr">
        <is>
          <t>Let's get back to basics.</t>
        </is>
      </c>
      <c r="G297" s="12" t="inlineStr">
        <is>
          <t>기본으로 다시 돌아가 봅시다.</t>
        </is>
      </c>
      <c r="H297" s="9">
        <f>HYPERLINK("https://www.youtube.com/watch?v=uTCnwpjR9X4", "영상 보기 ▶")</f>
        <v/>
      </c>
    </row>
    <row r="298" ht="26" customHeight="1">
      <c r="A298" s="2" t="n">
        <v>297</v>
      </c>
      <c r="B298" s="3" t="inlineStr">
        <is>
          <t>총정리 6탄</t>
        </is>
      </c>
      <c r="C298" s="3" t="inlineStr">
        <is>
          <t>발상의 전환</t>
        </is>
      </c>
      <c r="D298" s="4" t="inlineStr">
        <is>
          <t>think outside the box</t>
        </is>
      </c>
      <c r="E298" s="11" t="inlineStr">
        <is>
          <t>고정관념에서 벗어나 창의적으로 생각하다</t>
        </is>
      </c>
      <c r="F298" s="11" t="inlineStr">
        <is>
          <t>We need to think outside the box on this.</t>
        </is>
      </c>
      <c r="G298" s="11" t="inlineStr">
        <is>
          <t>이 문제에 대해선 틀을 깨고 창의적으로 생각해야 해.</t>
        </is>
      </c>
      <c r="H298" s="5">
        <f>HYPERLINK("https://www.youtube.com/watch?v=uTCnwpjR9X4", "영상 보기 ▶")</f>
        <v/>
      </c>
    </row>
    <row r="299" ht="26" customHeight="1">
      <c r="A299" s="6" t="n">
        <v>298</v>
      </c>
      <c r="B299" s="7" t="inlineStr">
        <is>
          <t>총정리 6탄</t>
        </is>
      </c>
      <c r="C299" s="7" t="inlineStr">
        <is>
          <t>시야 넓히기</t>
        </is>
      </c>
      <c r="D299" s="8" t="inlineStr">
        <is>
          <t>the big picture</t>
        </is>
      </c>
      <c r="E299" s="12" t="inlineStr">
        <is>
          <t>나무가 아닌 숲을 보는 전체적인 그림/시야</t>
        </is>
      </c>
      <c r="F299" s="12" t="inlineStr">
        <is>
          <t>Look at the big picture, not just small details.</t>
        </is>
      </c>
      <c r="G299" s="12" t="inlineStr">
        <is>
          <t>사소한 부분에 매몰되지 말고 전체적인 큰 그림을 봐.</t>
        </is>
      </c>
      <c r="H299" s="9">
        <f>HYPERLINK("https://www.youtube.com/watch?v=uTCnwpjR9X4", "영상 보기 ▶")</f>
        <v/>
      </c>
    </row>
    <row r="300" ht="26" customHeight="1">
      <c r="A300" s="2" t="n">
        <v>299</v>
      </c>
      <c r="B300" s="3" t="inlineStr">
        <is>
          <t>총정리 6탄</t>
        </is>
      </c>
      <c r="C300" s="3" t="inlineStr">
        <is>
          <t>동의 표현</t>
        </is>
      </c>
      <c r="D300" s="4" t="inlineStr">
        <is>
          <t>I'm with you on that</t>
        </is>
      </c>
      <c r="E300" s="11" t="inlineStr">
        <is>
          <t>그 점에 대해서는 나도 전적으로 너와 같은 생각이야</t>
        </is>
      </c>
      <c r="F300" s="11" t="inlineStr">
        <is>
          <t>I'm completely with you on that point.</t>
        </is>
      </c>
      <c r="G300" s="11" t="inlineStr">
        <is>
          <t>그 점에 대해선 나도 너와 완전히 같은 의견이야.</t>
        </is>
      </c>
      <c r="H300" s="5">
        <f>HYPERLINK("https://www.youtube.com/watch?v=uTCnwpjR9X4", "영상 보기 ▶")</f>
        <v/>
      </c>
    </row>
    <row r="301" ht="26" customHeight="1">
      <c r="A301" s="6" t="n">
        <v>300</v>
      </c>
      <c r="B301" s="7" t="inlineStr">
        <is>
          <t>총정리 6탄</t>
        </is>
      </c>
      <c r="C301" s="7" t="inlineStr">
        <is>
          <t>신뢰 표현</t>
        </is>
      </c>
      <c r="D301" s="8" t="inlineStr">
        <is>
          <t>You can count on me</t>
        </is>
      </c>
      <c r="E301" s="12" t="inlineStr">
        <is>
          <t>나만 믿어, 내가 확실히 책임질게</t>
        </is>
      </c>
      <c r="F301" s="12" t="inlineStr">
        <is>
          <t>Don't worry, you can count on me.</t>
        </is>
      </c>
      <c r="G301" s="12" t="inlineStr">
        <is>
          <t>걱정하지 마, 나만 믿으면 돼.</t>
        </is>
      </c>
      <c r="H301" s="9">
        <f>HYPERLINK("https://www.youtube.com/watch?v=uTCnwpjR9X4", "영상 보기 ▶")</f>
        <v/>
      </c>
    </row>
    <row r="302" ht="26" customHeight="1">
      <c r="A302" s="2" t="n">
        <v>301</v>
      </c>
      <c r="B302" s="3" t="inlineStr">
        <is>
          <t>총정리 7탄</t>
        </is>
      </c>
      <c r="C302" s="3" t="inlineStr">
        <is>
          <t>의견 표현</t>
        </is>
      </c>
      <c r="D302" s="4" t="inlineStr">
        <is>
          <t>It doesn't matter to me</t>
        </is>
      </c>
      <c r="E302" s="11" t="inlineStr">
        <is>
          <t>난 아무거나 괜찮아 (상관없어)</t>
        </is>
      </c>
      <c r="F302" s="11" t="inlineStr">
        <is>
          <t>It doesn't matter to me where we eat.</t>
        </is>
      </c>
      <c r="G302" s="11" t="inlineStr">
        <is>
          <t>어디서 밥 먹든 난 아무 데나 다 괜찮아.</t>
        </is>
      </c>
      <c r="H302" s="5">
        <f>HYPERLINK("https://www.youtube.com/watch?v=0S4clDwyQ3g", "영상 보기 ▶")</f>
        <v/>
      </c>
    </row>
    <row r="303" ht="26" customHeight="1">
      <c r="A303" s="6" t="n">
        <v>302</v>
      </c>
      <c r="B303" s="7" t="inlineStr">
        <is>
          <t>총정리 7탄</t>
        </is>
      </c>
      <c r="C303" s="7" t="inlineStr">
        <is>
          <t>기운 충전</t>
        </is>
      </c>
      <c r="D303" s="8" t="inlineStr">
        <is>
          <t>pick-me-up</t>
        </is>
      </c>
      <c r="E303" s="12" t="inlineStr">
        <is>
          <t>기운을 차리게 해주는 간식이나 음료</t>
        </is>
      </c>
      <c r="F303" s="12" t="inlineStr">
        <is>
          <t>I could really use a pick-me-up right now.</t>
        </is>
      </c>
      <c r="G303" s="12" t="inlineStr">
        <is>
          <t>나 지금 기운 차릴 간식이 정말 절실해.</t>
        </is>
      </c>
      <c r="H303" s="9">
        <f>HYPERLINK("https://www.youtube.com/watch?v=0S4clDwyQ3g", "영상 보기 ▶")</f>
        <v/>
      </c>
    </row>
    <row r="304" ht="26" customHeight="1">
      <c r="A304" s="2" t="n">
        <v>303</v>
      </c>
      <c r="B304" s="3" t="inlineStr">
        <is>
          <t>총정리 7탄</t>
        </is>
      </c>
      <c r="C304" s="3" t="inlineStr">
        <is>
          <t>취향 표현</t>
        </is>
      </c>
      <c r="D304" s="4" t="inlineStr">
        <is>
          <t>It's not for me</t>
        </is>
      </c>
      <c r="E304" s="11" t="inlineStr">
        <is>
          <t>내 취향이 아니야, 내 스타일은 아냐</t>
        </is>
      </c>
      <c r="F304" s="11" t="inlineStr">
        <is>
          <t>Spicy food is not really for me.</t>
        </is>
      </c>
      <c r="G304" s="11" t="inlineStr">
        <is>
          <t>매운 음식은 내 취향이 별로 아니야.</t>
        </is>
      </c>
      <c r="H304" s="5">
        <f>HYPERLINK("https://www.youtube.com/watch?v=0S4clDwyQ3g", "영상 보기 ▶")</f>
        <v/>
      </c>
    </row>
    <row r="305" ht="26" customHeight="1">
      <c r="A305" s="6" t="n">
        <v>304</v>
      </c>
      <c r="B305" s="7" t="inlineStr">
        <is>
          <t>총정리 7탄</t>
        </is>
      </c>
      <c r="C305" s="7" t="inlineStr">
        <is>
          <t>취향 표현</t>
        </is>
      </c>
      <c r="D305" s="8" t="inlineStr">
        <is>
          <t>I'm not much of a ~</t>
        </is>
      </c>
      <c r="E305" s="12" t="inlineStr">
        <is>
          <t>난 ~를 즐겨 하거나 좋아하는 사람이 아니야</t>
        </is>
      </c>
      <c r="F305" s="12" t="inlineStr">
        <is>
          <t>I'm not much of a drinker.</t>
        </is>
      </c>
      <c r="G305" s="12" t="inlineStr">
        <is>
          <t>난 술을 별로 즐겨 마시는 사람이 아니야.</t>
        </is>
      </c>
      <c r="H305" s="9">
        <f>HYPERLINK("https://www.youtube.com/watch?v=0S4clDwyQ3g", "영상 보기 ▶")</f>
        <v/>
      </c>
    </row>
    <row r="306" ht="26" customHeight="1">
      <c r="A306" s="2" t="n">
        <v>305</v>
      </c>
      <c r="B306" s="3" t="inlineStr">
        <is>
          <t>총정리 7탄</t>
        </is>
      </c>
      <c r="C306" s="3" t="inlineStr">
        <is>
          <t>취향 표현</t>
        </is>
      </c>
      <c r="D306" s="4" t="inlineStr">
        <is>
          <t>I'm not a big fan of ~</t>
        </is>
      </c>
      <c r="E306" s="11" t="inlineStr">
        <is>
          <t>전 ~를 별로 안 좋아해요</t>
        </is>
      </c>
      <c r="F306" s="11" t="inlineStr">
        <is>
          <t>I'm not a big fan of horror movies.</t>
        </is>
      </c>
      <c r="G306" s="11" t="inlineStr">
        <is>
          <t>난 공포 영화를 별로 안 좋아해.</t>
        </is>
      </c>
      <c r="H306" s="5">
        <f>HYPERLINK("https://www.youtube.com/watch?v=0S4clDwyQ3g", "영상 보기 ▶")</f>
        <v/>
      </c>
    </row>
    <row r="307" ht="26" customHeight="1">
      <c r="A307" s="6" t="n">
        <v>306</v>
      </c>
      <c r="B307" s="7" t="inlineStr">
        <is>
          <t>총정리 7탄</t>
        </is>
      </c>
      <c r="C307" s="7" t="inlineStr">
        <is>
          <t>취향 표현</t>
        </is>
      </c>
      <c r="D307" s="8" t="inlineStr">
        <is>
          <t>It's not my favorite</t>
        </is>
      </c>
      <c r="E307" s="12" t="inlineStr">
        <is>
          <t>제가 제일 좋아하는 건 아니에요 (완곡한 거절)</t>
        </is>
      </c>
      <c r="F307" s="12" t="inlineStr">
        <is>
          <t>It's not my favorite, but I can eat it.</t>
        </is>
      </c>
      <c r="G307" s="12" t="inlineStr">
        <is>
          <t>내가 딱히 좋아하는 건 아니지만 먹을 순 있어.</t>
        </is>
      </c>
      <c r="H307" s="9">
        <f>HYPERLINK("https://www.youtube.com/watch?v=0S4clDwyQ3g", "영상 보기 ▶")</f>
        <v/>
      </c>
    </row>
    <row r="308" ht="26" customHeight="1">
      <c r="A308" s="2" t="n">
        <v>307</v>
      </c>
      <c r="B308" s="3" t="inlineStr">
        <is>
          <t>총정리 7탄</t>
        </is>
      </c>
      <c r="C308" s="3" t="inlineStr">
        <is>
          <t>단호한 거절</t>
        </is>
      </c>
      <c r="D308" s="4" t="inlineStr">
        <is>
          <t>No offense, but ~</t>
        </is>
      </c>
      <c r="E308" s="11" t="inlineStr">
        <is>
          <t>기분 나쁘게 들으라고 하는 말은 아닌데 ~</t>
        </is>
      </c>
      <c r="F308" s="11" t="inlineStr">
        <is>
          <t>No offense, but this plan has a few flaws.</t>
        </is>
      </c>
      <c r="G308" s="11" t="inlineStr">
        <is>
          <t>기분 상하라고 하는 말은 아닌데 이 계획엔 허점이 좀 있어.</t>
        </is>
      </c>
      <c r="H308" s="5">
        <f>HYPERLINK("https://www.youtube.com/watch?v=0S4clDwyQ3g", "영상 보기 ▶")</f>
        <v/>
      </c>
    </row>
    <row r="309" ht="26" customHeight="1">
      <c r="A309" s="6" t="n">
        <v>308</v>
      </c>
      <c r="B309" s="7" t="inlineStr">
        <is>
          <t>총정리 7탄</t>
        </is>
      </c>
      <c r="C309" s="7" t="inlineStr">
        <is>
          <t>헤어짐 인사</t>
        </is>
      </c>
      <c r="D309" s="8" t="inlineStr">
        <is>
          <t>Don't be a stranger</t>
        </is>
      </c>
      <c r="E309" s="12" t="inlineStr">
        <is>
          <t>연락 끊지 말고 자주 연락하고 지내</t>
        </is>
      </c>
      <c r="F309" s="12" t="inlineStr">
        <is>
          <t>It was great seeing you! Don't be a stranger.</t>
        </is>
      </c>
      <c r="G309" s="12" t="inlineStr">
        <is>
          <t>만나서 정말 좋았어! 연락 끊지 말고 자주 연락해.</t>
        </is>
      </c>
      <c r="H309" s="9">
        <f>HYPERLINK("https://www.youtube.com/watch?v=0S4clDwyQ3g", "영상 보기 ▶")</f>
        <v/>
      </c>
    </row>
    <row r="310" ht="26" customHeight="1">
      <c r="A310" s="2" t="n">
        <v>309</v>
      </c>
      <c r="B310" s="3" t="inlineStr">
        <is>
          <t>총정리 7탄</t>
        </is>
      </c>
      <c r="C310" s="3" t="inlineStr">
        <is>
          <t>개인 의견</t>
        </is>
      </c>
      <c r="D310" s="4" t="inlineStr">
        <is>
          <t>I, for one,</t>
        </is>
      </c>
      <c r="E310" s="11" t="inlineStr">
        <is>
          <t>다른 사람은 몰라도 나 자신만큼은</t>
        </is>
      </c>
      <c r="F310" s="11" t="inlineStr">
        <is>
          <t>I, for one, think it's a brilliant idea.</t>
        </is>
      </c>
      <c r="G310" s="11" t="inlineStr">
        <is>
          <t>다른 사람은 몰라도 나만큼은 그게 멋진 생각이라 봐.</t>
        </is>
      </c>
      <c r="H310" s="5">
        <f>HYPERLINK("https://www.youtube.com/watch?v=0S4clDwyQ3g", "영상 보기 ▶")</f>
        <v/>
      </c>
    </row>
    <row r="311" ht="26" customHeight="1">
      <c r="A311" s="6" t="n">
        <v>310</v>
      </c>
      <c r="B311" s="7" t="inlineStr">
        <is>
          <t>총정리 7탄</t>
        </is>
      </c>
      <c r="C311" s="7" t="inlineStr">
        <is>
          <t>선택 존중</t>
        </is>
      </c>
      <c r="D311" s="8" t="inlineStr">
        <is>
          <t>Whatever works for you</t>
        </is>
      </c>
      <c r="E311" s="12" t="inlineStr">
        <is>
          <t>네가 편한 대로 해, 네 일정에 맞출게</t>
        </is>
      </c>
      <c r="F311" s="12" t="inlineStr">
        <is>
          <t>Tuesday or Wednesday, whatever works for you.</t>
        </is>
      </c>
      <c r="G311" s="12" t="inlineStr">
        <is>
          <t>화요일이든 수요일이든 네가 편한 쪽으로 해.</t>
        </is>
      </c>
      <c r="H311" s="9">
        <f>HYPERLINK("https://www.youtube.com/watch?v=0S4clDwyQ3g", "영상 보기 ▶")</f>
        <v/>
      </c>
    </row>
    <row r="312" ht="26" customHeight="1">
      <c r="A312" s="2" t="n">
        <v>311</v>
      </c>
      <c r="B312" s="3" t="inlineStr">
        <is>
          <t>총정리 7탄</t>
        </is>
      </c>
      <c r="C312" s="3" t="inlineStr">
        <is>
          <t>업무 여유</t>
        </is>
      </c>
      <c r="D312" s="4" t="inlineStr">
        <is>
          <t>breathing room</t>
        </is>
      </c>
      <c r="E312" s="11" t="inlineStr">
        <is>
          <t>숨 돌릴 틈, 여유 공간/시간</t>
        </is>
      </c>
      <c r="F312" s="11" t="inlineStr">
        <is>
          <t>This deadline gives us some breathing room.</t>
        </is>
      </c>
      <c r="G312" s="11" t="inlineStr">
        <is>
          <t>이 마감 덕분에 숨 돌릴 여유가 좀 생겼어.</t>
        </is>
      </c>
      <c r="H312" s="5">
        <f>HYPERLINK("https://www.youtube.com/watch?v=0S4clDwyQ3g", "영상 보기 ▶")</f>
        <v/>
      </c>
    </row>
    <row r="313" ht="26" customHeight="1">
      <c r="A313" s="6" t="n">
        <v>312</v>
      </c>
      <c r="B313" s="7" t="inlineStr">
        <is>
          <t>총정리 7탄</t>
        </is>
      </c>
      <c r="C313" s="7" t="inlineStr">
        <is>
          <t>시간 벌기</t>
        </is>
      </c>
      <c r="D313" s="8" t="inlineStr">
        <is>
          <t>buy time</t>
        </is>
      </c>
      <c r="E313" s="12" t="inlineStr">
        <is>
          <t>(상황을 해결하기 위해) 시간을 벌다</t>
        </is>
      </c>
      <c r="F313" s="12" t="inlineStr">
        <is>
          <t>We need to find a way to buy some time.</t>
        </is>
      </c>
      <c r="G313" s="12" t="inlineStr">
        <is>
          <t>우리는 시간을 좀 벌 방법을 찾아야 해.</t>
        </is>
      </c>
      <c r="H313" s="9">
        <f>HYPERLINK("https://www.youtube.com/watch?v=0S4clDwyQ3g", "영상 보기 ▶")</f>
        <v/>
      </c>
    </row>
    <row r="314" ht="26" customHeight="1">
      <c r="A314" s="2" t="n">
        <v>313</v>
      </c>
      <c r="B314" s="3" t="inlineStr">
        <is>
          <t>총정리 7탄</t>
        </is>
      </c>
      <c r="C314" s="3" t="inlineStr">
        <is>
          <t>사교 표현</t>
        </is>
      </c>
      <c r="D314" s="4" t="inlineStr">
        <is>
          <t>small talk</t>
        </is>
      </c>
      <c r="E314" s="11" t="inlineStr">
        <is>
          <t>(어색함을 깨기 위한) 가벼운 일상 대화</t>
        </is>
      </c>
      <c r="F314" s="11" t="inlineStr">
        <is>
          <t>He is really good at making small talk.</t>
        </is>
      </c>
      <c r="G314" s="11" t="inlineStr">
        <is>
          <t>그는 가벼운 스몰토크를 참 자연스럽게 잘해.</t>
        </is>
      </c>
      <c r="H314" s="5">
        <f>HYPERLINK("https://www.youtube.com/watch?v=0S4clDwyQ3g", "영상 보기 ▶")</f>
        <v/>
      </c>
    </row>
    <row r="315" ht="26" customHeight="1">
      <c r="A315" s="6" t="n">
        <v>314</v>
      </c>
      <c r="B315" s="7" t="inlineStr">
        <is>
          <t>총정리 7탄</t>
        </is>
      </c>
      <c r="C315" s="7" t="inlineStr">
        <is>
          <t>분위기 풀기</t>
        </is>
      </c>
      <c r="D315" s="8" t="inlineStr">
        <is>
          <t>break the ice</t>
        </is>
      </c>
      <c r="E315" s="12" t="inlineStr">
        <is>
          <t>어색한 분위기를 깨다</t>
        </is>
      </c>
      <c r="F315" s="12" t="inlineStr">
        <is>
          <t>She told a joke to break the ice.</t>
        </is>
      </c>
      <c r="G315" s="12" t="inlineStr">
        <is>
          <t>그녀는 어색한 분위기를 깨려고 농담을 건넸어.</t>
        </is>
      </c>
      <c r="H315" s="9">
        <f>HYPERLINK("https://www.youtube.com/watch?v=0S4clDwyQ3g", "영상 보기 ▶")</f>
        <v/>
      </c>
    </row>
    <row r="316" ht="26" customHeight="1">
      <c r="A316" s="2" t="n">
        <v>315</v>
      </c>
      <c r="B316" s="3" t="inlineStr">
        <is>
          <t>총정리 7탄</t>
        </is>
      </c>
      <c r="C316" s="3" t="inlineStr">
        <is>
          <t>공통 분모</t>
        </is>
      </c>
      <c r="D316" s="4" t="inlineStr">
        <is>
          <t>common ground</t>
        </is>
      </c>
      <c r="E316" s="11" t="inlineStr">
        <is>
          <t>공통점, 합의점</t>
        </is>
      </c>
      <c r="F316" s="11" t="inlineStr">
        <is>
          <t>We managed to find some common ground.</t>
        </is>
      </c>
      <c r="G316" s="11" t="inlineStr">
        <is>
          <t>우리는 다행히 공통의 합의점을 찾았습니다.</t>
        </is>
      </c>
      <c r="H316" s="5">
        <f>HYPERLINK("https://www.youtube.com/watch?v=0S4clDwyQ3g", "영상 보기 ▶")</f>
        <v/>
      </c>
    </row>
    <row r="317" ht="26" customHeight="1">
      <c r="A317" s="6" t="n">
        <v>316</v>
      </c>
      <c r="B317" s="7" t="inlineStr">
        <is>
          <t>총정리 7탄</t>
        </is>
      </c>
      <c r="C317" s="7" t="inlineStr">
        <is>
          <t>소통 공감</t>
        </is>
      </c>
      <c r="D317" s="8" t="inlineStr">
        <is>
          <t>click</t>
        </is>
      </c>
      <c r="E317" s="12" t="inlineStr">
        <is>
          <t>(사람과 마음이나 생각이) 척척 잘 맞다</t>
        </is>
      </c>
      <c r="F317" s="12" t="inlineStr">
        <is>
          <t>We just clicked right away.</t>
        </is>
      </c>
      <c r="G317" s="12" t="inlineStr">
        <is>
          <t>우린 처음 만나자마자 대화가 척척 잘 통했어.</t>
        </is>
      </c>
      <c r="H317" s="9">
        <f>HYPERLINK("https://www.youtube.com/watch?v=0S4clDwyQ3g", "영상 보기 ▶")</f>
        <v/>
      </c>
    </row>
    <row r="318" ht="26" customHeight="1">
      <c r="A318" s="2" t="n">
        <v>317</v>
      </c>
      <c r="B318" s="3" t="inlineStr">
        <is>
          <t>총정리 7탄</t>
        </is>
      </c>
      <c r="C318" s="3" t="inlineStr">
        <is>
          <t>기억 상기</t>
        </is>
      </c>
      <c r="D318" s="4" t="inlineStr">
        <is>
          <t>ring a bell</t>
        </is>
      </c>
      <c r="E318" s="11" t="inlineStr">
        <is>
          <t>들어본 적 있는 것 같다, 기억이 어렴풋이 나다</t>
        </is>
      </c>
      <c r="F318" s="11" t="inlineStr">
        <is>
          <t>Does that name ring a bell?</t>
        </is>
      </c>
      <c r="G318" s="11" t="inlineStr">
        <is>
          <t>그 이름 들어본 기억이 나?</t>
        </is>
      </c>
      <c r="H318" s="5">
        <f>HYPERLINK("https://www.youtube.com/watch?v=0S4clDwyQ3g", "영상 보기 ▶")</f>
        <v/>
      </c>
    </row>
    <row r="319" ht="26" customHeight="1">
      <c r="A319" s="6" t="n">
        <v>318</v>
      </c>
      <c r="B319" s="7" t="inlineStr">
        <is>
          <t>총정리 7탄</t>
        </is>
      </c>
      <c r="C319" s="7" t="inlineStr">
        <is>
          <t>기억 상실</t>
        </is>
      </c>
      <c r="D319" s="8" t="inlineStr">
        <is>
          <t>draw a blank</t>
        </is>
      </c>
      <c r="E319" s="12" t="inlineStr">
        <is>
          <t>머릿속이 하얘지다, 도무지 기억이 안 나다</t>
        </is>
      </c>
      <c r="F319" s="12" t="inlineStr">
        <is>
          <t>I asked his name, but I drew a blank.</t>
        </is>
      </c>
      <c r="G319" s="12" t="inlineStr">
        <is>
          <t>그 사람 이름을 물어봤는데 머릿속이 하얘졌어.</t>
        </is>
      </c>
      <c r="H319" s="9">
        <f>HYPERLINK("https://www.youtube.com/watch?v=0S4clDwyQ3g", "영상 보기 ▶")</f>
        <v/>
      </c>
    </row>
    <row r="320" ht="26" customHeight="1">
      <c r="A320" s="2" t="n">
        <v>319</v>
      </c>
      <c r="B320" s="3" t="inlineStr">
        <is>
          <t>총정리 7탄</t>
        </is>
      </c>
      <c r="C320" s="3" t="inlineStr">
        <is>
          <t>망각 표현</t>
        </is>
      </c>
      <c r="D320" s="4" t="inlineStr">
        <is>
          <t>slip one's mind</t>
        </is>
      </c>
      <c r="E320" s="11" t="inlineStr">
        <is>
          <t>깜빡 잊어버리다</t>
        </is>
      </c>
      <c r="F320" s="11" t="inlineStr">
        <is>
          <t>I'm so sorry, it completely slipped my mind.</t>
        </is>
      </c>
      <c r="G320" s="11" t="inlineStr">
        <is>
          <t>정말 죄송해요, 제가 완전히 깜빡 잊고 있었어요.</t>
        </is>
      </c>
      <c r="H320" s="5">
        <f>HYPERLINK("https://www.youtube.com/watch?v=0S4clDwyQ3g", "영상 보기 ▶")</f>
        <v/>
      </c>
    </row>
    <row r="321" ht="26" customHeight="1">
      <c r="A321" s="6" t="n">
        <v>320</v>
      </c>
      <c r="B321" s="7" t="inlineStr">
        <is>
          <t>총정리 7탄</t>
        </is>
      </c>
      <c r="C321" s="7" t="inlineStr">
        <is>
          <t>기억 혀끝</t>
        </is>
      </c>
      <c r="D321" s="8" t="inlineStr">
        <is>
          <t>on the tip of my tongue</t>
        </is>
      </c>
      <c r="E321" s="12" t="inlineStr">
        <is>
          <t>혀끝에서 맴돌다 (생각날 듯 말 듯)</t>
        </is>
      </c>
      <c r="F321" s="12" t="inlineStr">
        <is>
          <t>His name is on the tip of my tongue.</t>
        </is>
      </c>
      <c r="G321" s="12" t="inlineStr">
        <is>
          <t>그 사람 이름이 혀끝에서 맴돌고 있어.</t>
        </is>
      </c>
      <c r="H321" s="9">
        <f>HYPERLINK("https://www.youtube.com/watch?v=0S4clDwyQ3g", "영상 보기 ▶")</f>
        <v/>
      </c>
    </row>
    <row r="322" ht="26" customHeight="1">
      <c r="A322" s="2" t="n">
        <v>321</v>
      </c>
      <c r="B322" s="3" t="inlineStr">
        <is>
          <t>총정리 7탄</t>
        </is>
      </c>
      <c r="C322" s="3" t="inlineStr">
        <is>
          <t>기억 상기</t>
        </is>
      </c>
      <c r="D322" s="4" t="inlineStr">
        <is>
          <t>refresh (sb's) memory</t>
        </is>
      </c>
      <c r="E322" s="11" t="inlineStr">
        <is>
          <t>~의 기억을 되살려주다, 상기시켜 주다</t>
        </is>
      </c>
      <c r="F322" s="11" t="inlineStr">
        <is>
          <t>Let me refresh your memory about the contract.</t>
        </is>
      </c>
      <c r="G322" s="11" t="inlineStr">
        <is>
          <t>그 계약 내용에 대해 기억을 상기시켜 드릴게요.</t>
        </is>
      </c>
      <c r="H322" s="5">
        <f>HYPERLINK("https://www.youtube.com/watch?v=0S4clDwyQ3g", "영상 보기 ▶")</f>
        <v/>
      </c>
    </row>
    <row r="323" ht="26" customHeight="1">
      <c r="A323" s="6" t="n">
        <v>322</v>
      </c>
      <c r="B323" s="7" t="inlineStr">
        <is>
          <t>총정리 7탄</t>
        </is>
      </c>
      <c r="C323" s="7" t="inlineStr">
        <is>
          <t>부드러운 알림</t>
        </is>
      </c>
      <c r="D323" s="8" t="inlineStr">
        <is>
          <t>Just a friendly reminder</t>
        </is>
      </c>
      <c r="E323" s="12" t="inlineStr">
        <is>
          <t>혹시나 해서 다시 상기시켜 드리는데요</t>
        </is>
      </c>
      <c r="F323" s="12" t="inlineStr">
        <is>
          <t>Just a friendly reminder that the meeting starts at 2.</t>
        </is>
      </c>
      <c r="G323" s="12" t="inlineStr">
        <is>
          <t>회의가 2시에 시작된다는 점 상기시켜 드립니다.</t>
        </is>
      </c>
      <c r="H323" s="9">
        <f>HYPERLINK("https://www.youtube.com/watch?v=0S4clDwyQ3g", "영상 보기 ▶")</f>
        <v/>
      </c>
    </row>
    <row r="324" ht="26" customHeight="1">
      <c r="A324" s="2" t="n">
        <v>323</v>
      </c>
      <c r="B324" s="3" t="inlineStr">
        <is>
          <t>총정리 7탄</t>
        </is>
      </c>
      <c r="C324" s="3" t="inlineStr">
        <is>
          <t>기피 주제</t>
        </is>
      </c>
      <c r="D324" s="4" t="inlineStr">
        <is>
          <t>The elephant in the room</t>
        </is>
      </c>
      <c r="E324" s="11" t="inlineStr">
        <is>
          <t>누구나 알지만 말 꺼내기 꺼려지는 큰 문제</t>
        </is>
      </c>
      <c r="F324" s="11" t="inlineStr">
        <is>
          <t>Let's talk about the elephant in the room.</t>
        </is>
      </c>
      <c r="G324" s="11" t="inlineStr">
        <is>
          <t>모두가 쉬쉬하고 있는 그 민감한 문제를 털어놓읍시다.</t>
        </is>
      </c>
      <c r="H324" s="5">
        <f>HYPERLINK("https://www.youtube.com/watch?v=0S4clDwyQ3g", "영상 보기 ▶")</f>
        <v/>
      </c>
    </row>
    <row r="325" ht="26" customHeight="1">
      <c r="A325" s="6" t="n">
        <v>324</v>
      </c>
      <c r="B325" s="7" t="inlineStr">
        <is>
          <t>총정리 7탄</t>
        </is>
      </c>
      <c r="C325" s="7" t="inlineStr">
        <is>
          <t>상황 악화</t>
        </is>
      </c>
      <c r="D325" s="8" t="inlineStr">
        <is>
          <t>go south</t>
        </is>
      </c>
      <c r="E325" s="12" t="inlineStr">
        <is>
          <t>(상황이나 계획이) 꼬이다, 잘못되다</t>
        </is>
      </c>
      <c r="F325" s="12" t="inlineStr">
        <is>
          <t>Things started to go south after the launch.</t>
        </is>
      </c>
      <c r="G325" s="12" t="inlineStr">
        <is>
          <t>출시 이후 상황이 꼬이기 시작했어.</t>
        </is>
      </c>
      <c r="H325" s="9">
        <f>HYPERLINK("https://www.youtube.com/watch?v=0S4clDwyQ3g", "영상 보기 ▶")</f>
        <v/>
      </c>
    </row>
    <row r="326" ht="26" customHeight="1">
      <c r="A326" s="2" t="n">
        <v>325</v>
      </c>
      <c r="B326" s="3" t="inlineStr">
        <is>
          <t>총정리 7탄</t>
        </is>
      </c>
      <c r="C326" s="3" t="inlineStr">
        <is>
          <t>우선순위</t>
        </is>
      </c>
      <c r="D326" s="4" t="inlineStr">
        <is>
          <t>bigger fish to fry</t>
        </is>
      </c>
      <c r="E326" s="11" t="inlineStr">
        <is>
          <t>더 중요하게 처리해야 할 일이 있다</t>
        </is>
      </c>
      <c r="F326" s="11" t="inlineStr">
        <is>
          <t>I can't worry about that, I have bigger fish to fry.</t>
        </is>
      </c>
      <c r="G326" s="11" t="inlineStr">
        <is>
          <t>그건 신경 쓸 틈 없어, 당장 더 급한 일들이 많아.</t>
        </is>
      </c>
      <c r="H326" s="5">
        <f>HYPERLINK("https://www.youtube.com/watch?v=0S4clDwyQ3g", "영상 보기 ▶")</f>
        <v/>
      </c>
    </row>
    <row r="327" ht="26" customHeight="1">
      <c r="A327" s="6" t="n">
        <v>326</v>
      </c>
      <c r="B327" s="7" t="inlineStr">
        <is>
          <t>총정리 7탄</t>
        </is>
      </c>
      <c r="C327" s="7" t="inlineStr">
        <is>
          <t>위로 격려</t>
        </is>
      </c>
      <c r="D327" s="8" t="inlineStr">
        <is>
          <t>We all make mistakes</t>
        </is>
      </c>
      <c r="E327" s="12" t="inlineStr">
        <is>
          <t>누구나 다 실수하는걸요, 괜찮아요</t>
        </is>
      </c>
      <c r="F327" s="12" t="inlineStr">
        <is>
          <t>Don't beat yourself up. We all make mistakes.</t>
        </is>
      </c>
      <c r="G327" s="12" t="inlineStr">
        <is>
          <t>자책하지 마. 누구나 다 실수하는 법이야.</t>
        </is>
      </c>
      <c r="H327" s="9">
        <f>HYPERLINK("https://www.youtube.com/watch?v=0S4clDwyQ3g", "영상 보기 ▶")</f>
        <v/>
      </c>
    </row>
    <row r="328" ht="26" customHeight="1">
      <c r="A328" s="2" t="n">
        <v>327</v>
      </c>
      <c r="B328" s="3" t="inlineStr">
        <is>
          <t>총정리 7탄</t>
        </is>
      </c>
      <c r="C328" s="3" t="inlineStr">
        <is>
          <t>방향 제시</t>
        </is>
      </c>
      <c r="D328" s="4" t="inlineStr">
        <is>
          <t>point (sb) in the right direction</t>
        </is>
      </c>
      <c r="E328" s="11" t="inlineStr">
        <is>
          <t>~에게 올바른 길/방향을 안내해 주다</t>
        </is>
      </c>
      <c r="F328" s="11" t="inlineStr">
        <is>
          <t>Could you point me in the right direction?</t>
        </is>
      </c>
      <c r="G328" s="11" t="inlineStr">
        <is>
          <t>제가 어느 방향으로 가야 할지 알려주실 수 있나요?</t>
        </is>
      </c>
      <c r="H328" s="5">
        <f>HYPERLINK("https://www.youtube.com/watch?v=0S4clDwyQ3g", "영상 보기 ▶")</f>
        <v/>
      </c>
    </row>
    <row r="329" ht="26" customHeight="1">
      <c r="A329" s="6" t="n">
        <v>328</v>
      </c>
      <c r="B329" s="7" t="inlineStr">
        <is>
          <t>총정리 7탄</t>
        </is>
      </c>
      <c r="C329" s="7" t="inlineStr">
        <is>
          <t>평판 언급</t>
        </is>
      </c>
      <c r="D329" s="8" t="inlineStr">
        <is>
          <t>I hear it's nice there</t>
        </is>
      </c>
      <c r="E329" s="12" t="inlineStr">
        <is>
          <t>거기 좋다고 늘 들었어요</t>
        </is>
      </c>
      <c r="F329" s="12" t="inlineStr">
        <is>
          <t>I hear it's really nice there. Have you been?</t>
        </is>
      </c>
      <c r="G329" s="12" t="inlineStr">
        <is>
          <t>거기 참 좋다고 소문 들었어요. 가보셨나요?</t>
        </is>
      </c>
      <c r="H329" s="9">
        <f>HYPERLINK("https://www.youtube.com/watch?v=0S4clDwyQ3g", "영상 보기 ▶")</f>
        <v/>
      </c>
    </row>
    <row r="330" ht="26" customHeight="1">
      <c r="A330" s="2" t="n">
        <v>329</v>
      </c>
      <c r="B330" s="3" t="inlineStr">
        <is>
          <t>총정리 7탄</t>
        </is>
      </c>
      <c r="C330" s="3" t="inlineStr">
        <is>
          <t>진심 강조</t>
        </is>
      </c>
      <c r="D330" s="4" t="inlineStr">
        <is>
          <t>I mean it</t>
        </is>
      </c>
      <c r="E330" s="11" t="inlineStr">
        <is>
          <t>빈말이 아니라 정말 진심이야</t>
        </is>
      </c>
      <c r="F330" s="11" t="inlineStr">
        <is>
          <t>You did an incredible job. I mean it.</t>
        </is>
      </c>
      <c r="G330" s="11" t="inlineStr">
        <is>
          <t>너 정말 믿기지 않을 정도로 잘했어. 진심이야.</t>
        </is>
      </c>
      <c r="H330" s="5">
        <f>HYPERLINK("https://www.youtube.com/watch?v=0S4clDwyQ3g", "영상 보기 ▶")</f>
        <v/>
      </c>
    </row>
    <row r="331" ht="26" customHeight="1">
      <c r="A331" s="6" t="n">
        <v>330</v>
      </c>
      <c r="B331" s="7" t="inlineStr">
        <is>
          <t>총정리 7탄</t>
        </is>
      </c>
      <c r="C331" s="7" t="inlineStr">
        <is>
          <t>깊은 감사</t>
        </is>
      </c>
      <c r="D331" s="8" t="inlineStr">
        <is>
          <t>That means a lot to me</t>
        </is>
      </c>
      <c r="E331" s="12" t="inlineStr">
        <is>
          <t>그렇게 말씀해 주시니 제게 큰 힘/의미가 되네요</t>
        </is>
      </c>
      <c r="F331" s="12" t="inlineStr">
        <is>
          <t>Thank you for the compliment. That means a lot to me.</t>
        </is>
      </c>
      <c r="G331" s="12" t="inlineStr">
        <is>
          <t>칭찬 감사해요. 제게 정말 큰 힘이 됩니다.</t>
        </is>
      </c>
      <c r="H331" s="9">
        <f>HYPERLINK("https://www.youtube.com/watch?v=0S4clDwyQ3g", "영상 보기 ▶")</f>
        <v/>
      </c>
    </row>
    <row r="332" ht="26" customHeight="1">
      <c r="A332" s="2" t="n">
        <v>331</v>
      </c>
      <c r="B332" s="3" t="inlineStr">
        <is>
          <t>총정리 7탄</t>
        </is>
      </c>
      <c r="C332" s="3" t="inlineStr">
        <is>
          <t>사전 해명</t>
        </is>
      </c>
      <c r="D332" s="4" t="inlineStr">
        <is>
          <t>I don't mean to ~</t>
        </is>
      </c>
      <c r="E332" s="11" t="inlineStr">
        <is>
          <t>일부러 ~하려는 건 아니에요</t>
        </is>
      </c>
      <c r="F332" s="11" t="inlineStr">
        <is>
          <t>I don't mean to pry, but are you okay?</t>
        </is>
      </c>
      <c r="G332" s="11" t="inlineStr">
        <is>
          <t>캐물으려는 건 아닌데, 너 정말 괜찮아?</t>
        </is>
      </c>
      <c r="H332" s="5">
        <f>HYPERLINK("https://www.youtube.com/watch?v=0S4clDwyQ3g", "영상 보기 ▶")</f>
        <v/>
      </c>
    </row>
    <row r="333" ht="26" customHeight="1">
      <c r="A333" s="6" t="n">
        <v>332</v>
      </c>
      <c r="B333" s="7" t="inlineStr">
        <is>
          <t>총정리 7탄</t>
        </is>
      </c>
      <c r="C333" s="7" t="inlineStr">
        <is>
          <t>의도 해명</t>
        </is>
      </c>
      <c r="D333" s="8" t="inlineStr">
        <is>
          <t>I meant to ~</t>
        </is>
      </c>
      <c r="E333" s="12" t="inlineStr">
        <is>
          <t>원래 ~하려고 했는데 (깜빡했어)</t>
        </is>
      </c>
      <c r="F333" s="12" t="inlineStr">
        <is>
          <t>I meant to call you earlier, but I got busy.</t>
        </is>
      </c>
      <c r="G333" s="12" t="inlineStr">
        <is>
          <t>아까 전화하려고 했는데 바빠서 못 했어.</t>
        </is>
      </c>
      <c r="H333" s="9">
        <f>HYPERLINK("https://www.youtube.com/watch?v=0S4clDwyQ3g", "영상 보기 ▶")</f>
        <v/>
      </c>
    </row>
    <row r="334" ht="26" customHeight="1">
      <c r="A334" s="2" t="n">
        <v>333</v>
      </c>
      <c r="B334" s="3" t="inlineStr">
        <is>
          <t>총정리 7탄</t>
        </is>
      </c>
      <c r="C334" s="3" t="inlineStr">
        <is>
          <t>따져 묻기</t>
        </is>
      </c>
      <c r="D334" s="4" t="inlineStr">
        <is>
          <t>What's that supposed to mean?</t>
        </is>
      </c>
      <c r="E334" s="11" t="inlineStr">
        <is>
          <t>그게 도대체 무슨 뜻이야? (기분 나쁜 말에 따질 때)</t>
        </is>
      </c>
      <c r="F334" s="11" t="inlineStr">
        <is>
          <t>What's that supposed to mean? Are you blaming me?</t>
        </is>
      </c>
      <c r="G334" s="11" t="inlineStr">
        <is>
          <t>그게 무슨 뜻이야? 지금 내 탓을 하는 거야?</t>
        </is>
      </c>
      <c r="H334" s="5">
        <f>HYPERLINK("https://www.youtube.com/watch?v=0S4clDwyQ3g", "영상 보기 ▶")</f>
        <v/>
      </c>
    </row>
    <row r="335" ht="26" customHeight="1">
      <c r="A335" s="6" t="n">
        <v>334</v>
      </c>
      <c r="B335" s="7" t="inlineStr">
        <is>
          <t>총정리 7탄</t>
        </is>
      </c>
      <c r="C335" s="7" t="inlineStr">
        <is>
          <t>운명 표현</t>
        </is>
      </c>
      <c r="D335" s="8" t="inlineStr">
        <is>
          <t>meant to be</t>
        </is>
      </c>
      <c r="E335" s="12" t="inlineStr">
        <is>
          <t>~하기로 정해진 운명인</t>
        </is>
      </c>
      <c r="F335" s="12" t="inlineStr">
        <is>
          <t>If it's meant to be, it will happen.</t>
        </is>
      </c>
      <c r="G335" s="12" t="inlineStr">
        <is>
          <t>인연이고 운명이라면 어떻게든 이뤄질 거야.</t>
        </is>
      </c>
      <c r="H335" s="9">
        <f>HYPERLINK("https://www.youtube.com/watch?v=0S4clDwyQ3g", "영상 보기 ▶")</f>
        <v/>
      </c>
    </row>
    <row r="336" ht="26" customHeight="1">
      <c r="A336" s="2" t="n">
        <v>335</v>
      </c>
      <c r="B336" s="3" t="inlineStr">
        <is>
          <t>총정리 7탄</t>
        </is>
      </c>
      <c r="C336" s="3" t="inlineStr">
        <is>
          <t>연락 시도</t>
        </is>
      </c>
      <c r="D336" s="4" t="inlineStr">
        <is>
          <t>reach out vs reach</t>
        </is>
      </c>
      <c r="E336" s="11" t="inlineStr">
        <is>
          <t>reach out은 연락 시도, reach는 실제 연락이 닿음</t>
        </is>
      </c>
      <c r="F336" s="11" t="inlineStr">
        <is>
          <t>I reached out to him, but couldn't reach him.</t>
        </is>
      </c>
      <c r="G336" s="11" t="inlineStr">
        <is>
          <t>내가 그에게 연락을 취해봤지만 닿지 않았어.</t>
        </is>
      </c>
      <c r="H336" s="5">
        <f>HYPERLINK("https://www.youtube.com/watch?v=0S4clDwyQ3g", "영상 보기 ▶")</f>
        <v/>
      </c>
    </row>
    <row r="337" ht="26" customHeight="1">
      <c r="A337" s="6" t="n">
        <v>336</v>
      </c>
      <c r="B337" s="7" t="inlineStr">
        <is>
          <t>총정리 7탄</t>
        </is>
      </c>
      <c r="C337" s="7" t="inlineStr">
        <is>
          <t>자선/기부</t>
        </is>
      </c>
      <c r="D337" s="8" t="inlineStr">
        <is>
          <t>donate = make a donation</t>
        </is>
      </c>
      <c r="E337" s="12" t="inlineStr">
        <is>
          <t>기부하다, 후원하다</t>
        </is>
      </c>
      <c r="F337" s="12" t="inlineStr">
        <is>
          <t>We decided to make a donation to the shelter.</t>
        </is>
      </c>
      <c r="G337" s="12" t="inlineStr">
        <is>
          <t>우리는 보호소에 기부하기로 결정했어.</t>
        </is>
      </c>
      <c r="H337" s="9">
        <f>HYPERLINK("https://www.youtube.com/watch?v=0S4clDwyQ3g", "영상 보기 ▶")</f>
        <v/>
      </c>
    </row>
    <row r="338" ht="26" customHeight="1">
      <c r="A338" s="2" t="n">
        <v>337</v>
      </c>
      <c r="B338" s="3" t="inlineStr">
        <is>
          <t>총정리 7탄</t>
        </is>
      </c>
      <c r="C338" s="3" t="inlineStr">
        <is>
          <t>신청/등록</t>
        </is>
      </c>
      <c r="D338" s="4" t="inlineStr">
        <is>
          <t>sign up for</t>
        </is>
      </c>
      <c r="E338" s="11" t="inlineStr">
        <is>
          <t>(수업, 서비스 등에) 신청하다, 등록하다</t>
        </is>
      </c>
      <c r="F338" s="11" t="inlineStr">
        <is>
          <t>Did you sign up for the workshop?</t>
        </is>
      </c>
      <c r="G338" s="11" t="inlineStr">
        <is>
          <t>그 워크숍 신청했어?</t>
        </is>
      </c>
      <c r="H338" s="5">
        <f>HYPERLINK("https://www.youtube.com/watch?v=0S4clDwyQ3g", "영상 보기 ▶")</f>
        <v/>
      </c>
    </row>
    <row r="339" ht="26" customHeight="1">
      <c r="A339" s="6" t="n">
        <v>338</v>
      </c>
      <c r="B339" s="7" t="inlineStr">
        <is>
          <t>총정리 7탄</t>
        </is>
      </c>
      <c r="C339" s="7" t="inlineStr">
        <is>
          <t>물건 확인</t>
        </is>
      </c>
      <c r="D339" s="8" t="inlineStr">
        <is>
          <t>check in the back</t>
        </is>
      </c>
      <c r="E339" s="12" t="inlineStr">
        <is>
          <t>창고에 재고가 있는지 확인해 보다</t>
        </is>
      </c>
      <c r="F339" s="12" t="inlineStr">
        <is>
          <t>Let me check in the back to see if we have more.</t>
        </is>
      </c>
      <c r="G339" s="12" t="inlineStr">
        <is>
          <t>창고에 재고가 더 있는지 뒤에 가서 확인해 볼게요.</t>
        </is>
      </c>
      <c r="H339" s="9">
        <f>HYPERLINK("https://www.youtube.com/watch?v=0S4clDwyQ3g", "영상 보기 ▶")</f>
        <v/>
      </c>
    </row>
    <row r="340" ht="26" customHeight="1">
      <c r="A340" s="2" t="n">
        <v>339</v>
      </c>
      <c r="B340" s="3" t="inlineStr">
        <is>
          <t>총정리 7탄</t>
        </is>
      </c>
      <c r="C340" s="3" t="inlineStr">
        <is>
          <t>발견 차이</t>
        </is>
      </c>
      <c r="D340" s="4" t="inlineStr">
        <is>
          <t>find vs look for</t>
        </is>
      </c>
      <c r="E340" s="11" t="inlineStr">
        <is>
          <t>find는 찾아내다(결과), look for는 찾으려 애쓰다(과정)</t>
        </is>
      </c>
      <c r="F340" s="11" t="inlineStr">
        <is>
          <t>I'm looking for my keys, but I can't find them.</t>
        </is>
      </c>
      <c r="G340" s="11" t="inlineStr">
        <is>
          <t>열쇠를 찾고 있는데 도무지 찾아낼 수가 없어.</t>
        </is>
      </c>
      <c r="H340" s="5">
        <f>HYPERLINK("https://www.youtube.com/watch?v=0S4clDwyQ3g", "영상 보기 ▶")</f>
        <v/>
      </c>
    </row>
    <row r="341" ht="26" customHeight="1">
      <c r="A341" s="6" t="n">
        <v>340</v>
      </c>
      <c r="B341" s="7" t="inlineStr">
        <is>
          <t>총정리 7탄</t>
        </is>
      </c>
      <c r="C341" s="7" t="inlineStr">
        <is>
          <t>선택지 확인</t>
        </is>
      </c>
      <c r="D341" s="8" t="inlineStr">
        <is>
          <t>open-ended question</t>
        </is>
      </c>
      <c r="E341" s="12" t="inlineStr">
        <is>
          <t>단답형이 아닌 구체적 답변을 유도하는 열린 질문</t>
        </is>
      </c>
      <c r="F341" s="12" t="inlineStr">
        <is>
          <t>Try asking open-ended questions in interviews.</t>
        </is>
      </c>
      <c r="G341" s="12" t="inlineStr">
        <is>
          <t>면접에서는 구체적인 답변을 유도하는 열린 질문을 해보세요.</t>
        </is>
      </c>
      <c r="H341" s="9">
        <f>HYPERLINK("https://www.youtube.com/watch?v=0S4clDwyQ3g", "영상 보기 ▶")</f>
        <v/>
      </c>
    </row>
    <row r="342" ht="26" customHeight="1">
      <c r="A342" s="2" t="n">
        <v>341</v>
      </c>
      <c r="B342" s="3" t="inlineStr">
        <is>
          <t>총정리 7탄</t>
        </is>
      </c>
      <c r="C342" s="3" t="inlineStr">
        <is>
          <t>진행 질문</t>
        </is>
      </c>
      <c r="D342" s="4" t="inlineStr">
        <is>
          <t>How is it coming along?</t>
        </is>
      </c>
      <c r="E342" s="11" t="inlineStr">
        <is>
          <t>작업이 어떻게 진행되어 가고 있어?</t>
        </is>
      </c>
      <c r="F342" s="11" t="inlineStr">
        <is>
          <t>How is the report coming along?</t>
        </is>
      </c>
      <c r="G342" s="11" t="inlineStr">
        <is>
          <t>보고서 작성은 어떻게 잘 진행되고 있어?</t>
        </is>
      </c>
      <c r="H342" s="5">
        <f>HYPERLINK("https://www.youtube.com/watch?v=0S4clDwyQ3g", "영상 보기 ▶")</f>
        <v/>
      </c>
    </row>
    <row r="343" ht="26" customHeight="1">
      <c r="A343" s="6" t="n">
        <v>342</v>
      </c>
      <c r="B343" s="7" t="inlineStr">
        <is>
          <t>총정리 7탄</t>
        </is>
      </c>
      <c r="C343" s="7" t="inlineStr">
        <is>
          <t>호전 상태</t>
        </is>
      </c>
      <c r="D343" s="8" t="inlineStr">
        <is>
          <t>coming along nicely</t>
        </is>
      </c>
      <c r="E343" s="12" t="inlineStr">
        <is>
          <t>차질 없이 아주 순조롭게 잘 진행되는</t>
        </is>
      </c>
      <c r="F343" s="12" t="inlineStr">
        <is>
          <t>Everything is coming along nicely.</t>
        </is>
      </c>
      <c r="G343" s="12" t="inlineStr">
        <is>
          <t>모든 일이 아주 순조롭게 굴러가고 있어.</t>
        </is>
      </c>
      <c r="H343" s="9">
        <f>HYPERLINK("https://www.youtube.com/watch?v=0S4clDwyQ3g", "영상 보기 ▶")</f>
        <v/>
      </c>
    </row>
    <row r="344" ht="26" customHeight="1">
      <c r="A344" s="2" t="n">
        <v>343</v>
      </c>
      <c r="B344" s="3" t="inlineStr">
        <is>
          <t>총정리 7탄</t>
        </is>
      </c>
      <c r="C344" s="3" t="inlineStr">
        <is>
          <t>일의 풀림</t>
        </is>
      </c>
      <c r="D344" s="4" t="inlineStr">
        <is>
          <t>fall into place</t>
        </is>
      </c>
      <c r="E344" s="11" t="inlineStr">
        <is>
          <t>딱딱 맞아떨어지다, 제자리를 찾다</t>
        </is>
      </c>
      <c r="F344" s="11" t="inlineStr">
        <is>
          <t>Once we hired him, everything fell into place.</t>
        </is>
      </c>
      <c r="G344" s="11" t="inlineStr">
        <is>
          <t>그를 채용하자 모든 일이 제자리를 찾고 딱딱 맞아떨어졌어.</t>
        </is>
      </c>
      <c r="H344" s="5">
        <f>HYPERLINK("https://www.youtube.com/watch?v=0S4clDwyQ3g", "영상 보기 ▶")</f>
        <v/>
      </c>
    </row>
    <row r="345" ht="26" customHeight="1">
      <c r="A345" s="6" t="n">
        <v>344</v>
      </c>
      <c r="B345" s="7" t="inlineStr">
        <is>
          <t>총정리 7탄</t>
        </is>
      </c>
      <c r="C345" s="7" t="inlineStr">
        <is>
          <t>우연한 발견</t>
        </is>
      </c>
      <c r="D345" s="8" t="inlineStr">
        <is>
          <t>come across</t>
        </is>
      </c>
      <c r="E345" s="12" t="inlineStr">
        <is>
          <t>우연히 마주치다, 우연히 발견하다</t>
        </is>
      </c>
      <c r="F345" s="12" t="inlineStr">
        <is>
          <t>I came across an interesting article today.</t>
        </is>
      </c>
      <c r="G345" s="12" t="inlineStr">
        <is>
          <t>오늘 흥미로운 기사를 우연히 하나 발견했어.</t>
        </is>
      </c>
      <c r="H345" s="9">
        <f>HYPERLINK("https://www.youtube.com/watch?v=0S4clDwyQ3g", "영상 보기 ▶")</f>
        <v/>
      </c>
    </row>
    <row r="346" ht="26" customHeight="1">
      <c r="A346" s="2" t="n">
        <v>345</v>
      </c>
      <c r="B346" s="3" t="inlineStr">
        <is>
          <t>총정리 7탄</t>
        </is>
      </c>
      <c r="C346" s="3" t="inlineStr">
        <is>
          <t>인상/평판</t>
        </is>
      </c>
      <c r="D346" s="4" t="inlineStr">
        <is>
          <t>come across as ~</t>
        </is>
      </c>
      <c r="E346" s="11" t="inlineStr">
        <is>
          <t>~라는 인상을 주다, ~처럼 보이다</t>
        </is>
      </c>
      <c r="F346" s="11" t="inlineStr">
        <is>
          <t>He comes across as very confident.</t>
        </is>
      </c>
      <c r="G346" s="11" t="inlineStr">
        <is>
          <t>그는 아주 자신감 넘치는 사람처럼 보여.</t>
        </is>
      </c>
      <c r="H346" s="5">
        <f>HYPERLINK("https://www.youtube.com/watch?v=0S4clDwyQ3g", "영상 보기 ▶")</f>
        <v/>
      </c>
    </row>
    <row r="347" ht="26" customHeight="1">
      <c r="A347" s="6" t="n">
        <v>346</v>
      </c>
      <c r="B347" s="7" t="inlineStr">
        <is>
          <t>총정리 7탄</t>
        </is>
      </c>
      <c r="C347" s="7" t="inlineStr">
        <is>
          <t>아이디어 제시</t>
        </is>
      </c>
      <c r="D347" s="8" t="inlineStr">
        <is>
          <t>put forth / put forward</t>
        </is>
      </c>
      <c r="E347" s="12" t="inlineStr">
        <is>
          <t>제안이나 의견을 내놓다</t>
        </is>
      </c>
      <c r="F347" s="12" t="inlineStr">
        <is>
          <t>She put forward an interesting proposal.</t>
        </is>
      </c>
      <c r="G347" s="12" t="inlineStr">
        <is>
          <t>그녀는 아주 흥미로운 제안을 내놓았어.</t>
        </is>
      </c>
      <c r="H347" s="9">
        <f>HYPERLINK("https://www.youtube.com/watch?v=0S4clDwyQ3g", "영상 보기 ▶")</f>
        <v/>
      </c>
    </row>
    <row r="348" ht="26" customHeight="1">
      <c r="A348" s="2" t="n">
        <v>347</v>
      </c>
      <c r="B348" s="3" t="inlineStr">
        <is>
          <t>총정리 7탄</t>
        </is>
      </c>
      <c r="C348" s="3" t="inlineStr">
        <is>
          <t>비용 충당</t>
        </is>
      </c>
      <c r="D348" s="4" t="inlineStr">
        <is>
          <t>cover</t>
        </is>
      </c>
      <c r="E348" s="11" t="inlineStr">
        <is>
          <t>(비용을) 지불하다, 충당하다</t>
        </is>
      </c>
      <c r="F348" s="11" t="inlineStr">
        <is>
          <t>Don't worry, the company will cover the expenses.</t>
        </is>
      </c>
      <c r="G348" s="11" t="inlineStr">
        <is>
          <t>걱정 마, 회사에서 비용을 다 대줄 거야.</t>
        </is>
      </c>
      <c r="H348" s="5">
        <f>HYPERLINK("https://www.youtube.com/watch?v=0S4clDwyQ3g", "영상 보기 ▶")</f>
        <v/>
      </c>
    </row>
    <row r="349" ht="26" customHeight="1">
      <c r="A349" s="6" t="n">
        <v>348</v>
      </c>
      <c r="B349" s="7" t="inlineStr">
        <is>
          <t>총정리 7탄</t>
        </is>
      </c>
      <c r="C349" s="7" t="inlineStr">
        <is>
          <t>대타 근무</t>
        </is>
      </c>
      <c r="D349" s="8" t="inlineStr">
        <is>
          <t>cover for (sb)</t>
        </is>
      </c>
      <c r="E349" s="12" t="inlineStr">
        <is>
          <t>~를 대신해 일해주다, 대타를 뛰다</t>
        </is>
      </c>
      <c r="F349" s="12" t="inlineStr">
        <is>
          <t>Can you cover for me tomorrow afternoon?</t>
        </is>
      </c>
      <c r="G349" s="12" t="inlineStr">
        <is>
          <t>내일 오후에 내 일 좀 대신 맡아줄 수 있어?</t>
        </is>
      </c>
      <c r="H349" s="9">
        <f>HYPERLINK("https://www.youtube.com/watch?v=0S4clDwyQ3g", "영상 보기 ▶")</f>
        <v/>
      </c>
    </row>
    <row r="350" ht="26" customHeight="1">
      <c r="A350" s="2" t="n">
        <v>349</v>
      </c>
      <c r="B350" s="3" t="inlineStr">
        <is>
          <t>총정리 7탄</t>
        </is>
      </c>
      <c r="C350" s="3" t="inlineStr">
        <is>
          <t>범위 포함</t>
        </is>
      </c>
      <c r="D350" s="4" t="inlineStr">
        <is>
          <t>cover all the bases</t>
        </is>
      </c>
      <c r="E350" s="11" t="inlineStr">
        <is>
          <t>만반의 준비를 갖추다, 빈틈없이 다루다</t>
        </is>
      </c>
      <c r="F350" s="11" t="inlineStr">
        <is>
          <t>Make sure we cover all the bases before launching.</t>
        </is>
      </c>
      <c r="G350" s="11" t="inlineStr">
        <is>
          <t>출시 전에 모든 가능성을 빈틈없이 점검해 두자.</t>
        </is>
      </c>
      <c r="H350" s="5">
        <f>HYPERLINK("https://www.youtube.com/watch?v=0S4clDwyQ3g", "영상 보기 ▶")</f>
        <v/>
      </c>
    </row>
    <row r="351" ht="26" customHeight="1">
      <c r="A351" s="6" t="n">
        <v>350</v>
      </c>
      <c r="B351" s="7" t="inlineStr">
        <is>
          <t>총정리 7탄</t>
        </is>
      </c>
      <c r="C351" s="7" t="inlineStr">
        <is>
          <t>마무리 요약</t>
        </is>
      </c>
      <c r="D351" s="8" t="inlineStr">
        <is>
          <t>That about covers it</t>
        </is>
      </c>
      <c r="E351" s="12" t="inlineStr">
        <is>
          <t>이 정도면 다 다룬 것 같네요 (회의 마무리)</t>
        </is>
      </c>
      <c r="F351" s="12" t="inlineStr">
        <is>
          <t>I think that about covers everything for today.</t>
        </is>
      </c>
      <c r="G351" s="12" t="inlineStr">
        <is>
          <t>오늘 나눌 이야기는 이 정도면 다 짚은 것 같네요.</t>
        </is>
      </c>
      <c r="H351" s="9">
        <f>HYPERLINK("https://www.youtube.com/watch?v=0S4clDwyQ3g", "영상 보기 ▶")</f>
        <v/>
      </c>
    </row>
    <row r="352" ht="26" customHeight="1">
      <c r="A352" s="2" t="n">
        <v>351</v>
      </c>
      <c r="B352" s="3" t="inlineStr">
        <is>
          <t>총정리 8탄</t>
        </is>
      </c>
      <c r="C352" s="3" t="inlineStr">
        <is>
          <t>휴식/여유</t>
        </is>
      </c>
      <c r="D352" s="4" t="inlineStr">
        <is>
          <t>downtime</t>
        </is>
      </c>
      <c r="E352" s="11" t="inlineStr">
        <is>
          <t>한가한 시간, 재충전하는 휴식 시간</t>
        </is>
      </c>
      <c r="F352" s="11" t="inlineStr">
        <is>
          <t>I like to read during my downtime.</t>
        </is>
      </c>
      <c r="G352" s="11" t="inlineStr">
        <is>
          <t>난 한가한 휴식 시간에 책 읽는 걸 좋아해.</t>
        </is>
      </c>
      <c r="H352" s="5">
        <f>HYPERLINK("https://www.youtube.com/watch?v=Y9_QmHGnBlk", "영상 보기 ▶")</f>
        <v/>
      </c>
    </row>
    <row r="353" ht="26" customHeight="1">
      <c r="A353" s="6" t="n">
        <v>352</v>
      </c>
      <c r="B353" s="7" t="inlineStr">
        <is>
          <t>총정리 8탄</t>
        </is>
      </c>
      <c r="C353" s="7" t="inlineStr">
        <is>
          <t>취향 거절</t>
        </is>
      </c>
      <c r="D353" s="8" t="inlineStr">
        <is>
          <t>It's not for me / I'm not a big fan</t>
        </is>
      </c>
      <c r="E353" s="12" t="inlineStr">
        <is>
          <t>제 취향이 아니에요 (완곡한 호불호 표현)</t>
        </is>
      </c>
      <c r="F353" s="12" t="inlineStr">
        <is>
          <t>Musical theater is not really for me.</t>
        </is>
      </c>
      <c r="G353" s="12" t="inlineStr">
        <is>
          <t>뮤지컬은 제 취향이 별로 아니에요.</t>
        </is>
      </c>
      <c r="H353" s="9">
        <f>HYPERLINK("https://www.youtube.com/watch?v=Y9_QmHGnBlk", "영상 보기 ▶")</f>
        <v/>
      </c>
    </row>
    <row r="354" ht="26" customHeight="1">
      <c r="A354" s="2" t="n">
        <v>353</v>
      </c>
      <c r="B354" s="3" t="inlineStr">
        <is>
          <t>총정리 8탄</t>
        </is>
      </c>
      <c r="C354" s="3" t="inlineStr">
        <is>
          <t>이해/해석</t>
        </is>
      </c>
      <c r="D354" s="4" t="inlineStr">
        <is>
          <t>interpretation</t>
        </is>
      </c>
      <c r="E354" s="11" t="inlineStr">
        <is>
          <t>해석, 설명, 받아들임</t>
        </is>
      </c>
      <c r="F354" s="11" t="inlineStr">
        <is>
          <t>That's open to interpretation.</t>
        </is>
      </c>
      <c r="G354" s="11" t="inlineStr">
        <is>
          <t>그건 해석하기 나름이에요.</t>
        </is>
      </c>
      <c r="H354" s="5">
        <f>HYPERLINK("https://www.youtube.com/watch?v=Y9_QmHGnBlk", "영상 보기 ▶")</f>
        <v/>
      </c>
    </row>
    <row r="355" ht="26" customHeight="1">
      <c r="A355" s="6" t="n">
        <v>354</v>
      </c>
      <c r="B355" s="7" t="inlineStr">
        <is>
          <t>총정리 8탄</t>
        </is>
      </c>
      <c r="C355" s="7" t="inlineStr">
        <is>
          <t>명백한 설명</t>
        </is>
      </c>
      <c r="D355" s="8" t="inlineStr">
        <is>
          <t>self-explanatory</t>
        </is>
      </c>
      <c r="E355" s="12" t="inlineStr">
        <is>
          <t>설명이 따로 필요 없을 정도로 명백한</t>
        </is>
      </c>
      <c r="F355" s="12" t="inlineStr">
        <is>
          <t>The chart is pretty self-explanatory.</t>
        </is>
      </c>
      <c r="G355" s="12" t="inlineStr">
        <is>
          <t>그 도표는 설명이 따로 필요 없을 정도로 명확해요.</t>
        </is>
      </c>
      <c r="H355" s="9">
        <f>HYPERLINK("https://www.youtube.com/watch?v=Y9_QmHGnBlk", "영상 보기 ▶")</f>
        <v/>
      </c>
    </row>
    <row r="356" ht="26" customHeight="1">
      <c r="A356" s="2" t="n">
        <v>355</v>
      </c>
      <c r="B356" s="3" t="inlineStr">
        <is>
          <t>총정리 8탄</t>
        </is>
      </c>
      <c r="C356" s="3" t="inlineStr">
        <is>
          <t>통화 매너</t>
        </is>
      </c>
      <c r="D356" s="4" t="inlineStr">
        <is>
          <t>I'll let you go</t>
        </is>
      </c>
      <c r="E356" s="11" t="inlineStr">
        <is>
          <t>(바쁜 상대를 배려해) 통화 그만 끊을게요</t>
        </is>
      </c>
      <c r="F356" s="11" t="inlineStr">
        <is>
          <t>I know you're busy, so I'll let you go.</t>
        </is>
      </c>
      <c r="G356" s="11" t="inlineStr">
        <is>
          <t>바쁘실 텐데 통화 그만 끊어드릴게요.</t>
        </is>
      </c>
      <c r="H356" s="5">
        <f>HYPERLINK("https://www.youtube.com/watch?v=Y9_QmHGnBlk", "영상 보기 ▶")</f>
        <v/>
      </c>
    </row>
    <row r="357" ht="26" customHeight="1">
      <c r="A357" s="6" t="n">
        <v>356</v>
      </c>
      <c r="B357" s="7" t="inlineStr">
        <is>
          <t>총정리 8탄</t>
        </is>
      </c>
      <c r="C357" s="7" t="inlineStr">
        <is>
          <t>일정 배려</t>
        </is>
      </c>
      <c r="D357" s="8" t="inlineStr">
        <is>
          <t>fit (sb) in</t>
        </is>
      </c>
      <c r="E357" s="12" t="inlineStr">
        <is>
          <t>짬을 내어 ~를 만나주다/일정에 넣다</t>
        </is>
      </c>
      <c r="F357" s="12" t="inlineStr">
        <is>
          <t>Can you fit me in for a quick chat today?</t>
        </is>
      </c>
      <c r="G357" s="12" t="inlineStr">
        <is>
          <t>오늘 잠깐 대화할 시간 좀 내주실 수 있나요?</t>
        </is>
      </c>
      <c r="H357" s="9">
        <f>HYPERLINK("https://www.youtube.com/watch?v=Y9_QmHGnBlk", "영상 보기 ▶")</f>
        <v/>
      </c>
    </row>
    <row r="358" ht="26" customHeight="1">
      <c r="A358" s="2" t="n">
        <v>357</v>
      </c>
      <c r="B358" s="3" t="inlineStr">
        <is>
          <t>총정리 8탄</t>
        </is>
      </c>
      <c r="C358" s="3" t="inlineStr">
        <is>
          <t>시간 감사</t>
        </is>
      </c>
      <c r="D358" s="4" t="inlineStr">
        <is>
          <t>Thank you for making time for me</t>
        </is>
      </c>
      <c r="E358" s="11" t="inlineStr">
        <is>
          <t>저를 위해 귀한 시간 내주셔서 감사합니다</t>
        </is>
      </c>
      <c r="F358" s="11" t="inlineStr">
        <is>
          <t>Thank you for making time for me on short notice.</t>
        </is>
      </c>
      <c r="G358" s="11" t="inlineStr">
        <is>
          <t>급한 연락에도 시간 내주셔서 정말 감사합니다.</t>
        </is>
      </c>
      <c r="H358" s="5">
        <f>HYPERLINK("https://www.youtube.com/watch?v=Y9_QmHGnBlk", "영상 보기 ▶")</f>
        <v/>
      </c>
    </row>
    <row r="359" ht="26" customHeight="1">
      <c r="A359" s="6" t="n">
        <v>358</v>
      </c>
      <c r="B359" s="7" t="inlineStr">
        <is>
          <t>총정리 8탄</t>
        </is>
      </c>
      <c r="C359" s="7" t="inlineStr">
        <is>
          <t>상황 관망</t>
        </is>
      </c>
      <c r="D359" s="8" t="inlineStr">
        <is>
          <t>wait and see</t>
        </is>
      </c>
      <c r="E359" s="12" t="inlineStr">
        <is>
          <t>서두르지 않고 상황을 지켜보다/두고 보다</t>
        </is>
      </c>
      <c r="F359" s="12" t="inlineStr">
        <is>
          <t>Let's wait and see how things develop.</t>
        </is>
      </c>
      <c r="G359" s="12" t="inlineStr">
        <is>
          <t>상황이 어떻게 굴러가는지 일단 지켜봅시다.</t>
        </is>
      </c>
      <c r="H359" s="9">
        <f>HYPERLINK("https://www.youtube.com/watch?v=Y9_QmHGnBlk", "영상 보기 ▶")</f>
        <v/>
      </c>
    </row>
    <row r="360" ht="26" customHeight="1">
      <c r="A360" s="2" t="n">
        <v>359</v>
      </c>
      <c r="B360" s="3" t="inlineStr">
        <is>
          <t>총정리 8탄</t>
        </is>
      </c>
      <c r="C360" s="3" t="inlineStr">
        <is>
          <t>진척 확인</t>
        </is>
      </c>
      <c r="D360" s="4" t="inlineStr">
        <is>
          <t>Where are we on ~?</t>
        </is>
      </c>
      <c r="E360" s="11" t="inlineStr">
        <is>
          <t>~ 건은 지금 어디까지 진행되었나요?</t>
        </is>
      </c>
      <c r="F360" s="11" t="inlineStr">
        <is>
          <t>Where are we on the contract renewal?</t>
        </is>
      </c>
      <c r="G360" s="11" t="inlineStr">
        <is>
          <t>계약 갱신 건은 지금 어디까지 진척되었나요?</t>
        </is>
      </c>
      <c r="H360" s="5">
        <f>HYPERLINK("https://www.youtube.com/watch?v=Y9_QmHGnBlk", "영상 보기 ▶")</f>
        <v/>
      </c>
    </row>
    <row r="361" ht="26" customHeight="1">
      <c r="A361" s="6" t="n">
        <v>360</v>
      </c>
      <c r="B361" s="7" t="inlineStr">
        <is>
          <t>총정리 8탄</t>
        </is>
      </c>
      <c r="C361" s="7" t="inlineStr">
        <is>
          <t>범위 한정</t>
        </is>
      </c>
      <c r="D361" s="8" t="inlineStr">
        <is>
          <t>to a certain extent</t>
        </is>
      </c>
      <c r="E361" s="12" t="inlineStr">
        <is>
          <t>어느 정도까지는 (부분적 동의)</t>
        </is>
      </c>
      <c r="F361" s="12" t="inlineStr">
        <is>
          <t>I agree with you to a certain extent.</t>
        </is>
      </c>
      <c r="G361" s="12" t="inlineStr">
        <is>
          <t>어느 정도까지는 당신 말에 동의해요.</t>
        </is>
      </c>
      <c r="H361" s="9">
        <f>HYPERLINK("https://www.youtube.com/watch?v=Y9_QmHGnBlk", "영상 보기 ▶")</f>
        <v/>
      </c>
    </row>
    <row r="362" ht="26" customHeight="1">
      <c r="A362" s="2" t="n">
        <v>361</v>
      </c>
      <c r="B362" s="3" t="inlineStr">
        <is>
          <t>총정리 8탄</t>
        </is>
      </c>
      <c r="C362" s="3" t="inlineStr">
        <is>
          <t>고민/망설임</t>
        </is>
      </c>
      <c r="D362" s="4" t="inlineStr">
        <is>
          <t>be on the fence</t>
        </is>
      </c>
      <c r="E362" s="11" t="inlineStr">
        <is>
          <t>결정을 못 내리고 양쪽 사이에서 망설이다</t>
        </is>
      </c>
      <c r="F362" s="11" t="inlineStr">
        <is>
          <t>I'm still on the fence about moving abroad.</t>
        </is>
      </c>
      <c r="G362" s="11" t="inlineStr">
        <is>
          <t>해외 이주를 두고 아직도 고민 중이야.</t>
        </is>
      </c>
      <c r="H362" s="5">
        <f>HYPERLINK("https://www.youtube.com/watch?v=Y9_QmHGnBlk", "영상 보기 ▶")</f>
        <v/>
      </c>
    </row>
    <row r="363" ht="26" customHeight="1">
      <c r="A363" s="6" t="n">
        <v>362</v>
      </c>
      <c r="B363" s="7" t="inlineStr">
        <is>
          <t>총정리 8탄</t>
        </is>
      </c>
      <c r="C363" s="7" t="inlineStr">
        <is>
          <t>검토/조사</t>
        </is>
      </c>
      <c r="D363" s="8" t="inlineStr">
        <is>
          <t>look into</t>
        </is>
      </c>
      <c r="E363" s="12" t="inlineStr">
        <is>
          <t>자세히 알아보다, 면밀히 조사하다</t>
        </is>
      </c>
      <c r="F363" s="12" t="inlineStr">
        <is>
          <t>I'll look into the matter and get back to you.</t>
        </is>
      </c>
      <c r="G363" s="12" t="inlineStr">
        <is>
          <t>제가 그 사안을 자세히 알아보고 다시 연락드릴게요.</t>
        </is>
      </c>
      <c r="H363" s="9">
        <f>HYPERLINK("https://www.youtube.com/watch?v=Y9_QmHGnBlk", "영상 보기 ▶")</f>
        <v/>
      </c>
    </row>
    <row r="364" ht="26" customHeight="1">
      <c r="A364" s="2" t="n">
        <v>363</v>
      </c>
      <c r="B364" s="3" t="inlineStr">
        <is>
          <t>총정리 8탄</t>
        </is>
      </c>
      <c r="C364" s="3" t="inlineStr">
        <is>
          <t>성급 착수</t>
        </is>
      </c>
      <c r="D364" s="4" t="inlineStr">
        <is>
          <t>jump into</t>
        </is>
      </c>
      <c r="E364" s="11" t="inlineStr">
        <is>
          <t>(성급하게) 뛰어들다, 성급히 시작하다</t>
        </is>
      </c>
      <c r="F364" s="11" t="inlineStr">
        <is>
          <t>Don't jump into conclusions.</t>
        </is>
      </c>
      <c r="G364" s="11" t="inlineStr">
        <is>
          <t>성급하게 결론으로 뛰어들지 마.</t>
        </is>
      </c>
      <c r="H364" s="5">
        <f>HYPERLINK("https://www.youtube.com/watch?v=Y9_QmHGnBlk", "영상 보기 ▶")</f>
        <v/>
      </c>
    </row>
    <row r="365" ht="26" customHeight="1">
      <c r="A365" s="6" t="n">
        <v>364</v>
      </c>
      <c r="B365" s="7" t="inlineStr">
        <is>
          <t>총정리 8탄</t>
        </is>
      </c>
      <c r="C365" s="7" t="inlineStr">
        <is>
          <t>시간 범위</t>
        </is>
      </c>
      <c r="D365" s="8" t="inlineStr">
        <is>
          <t>timeframe</t>
        </is>
      </c>
      <c r="E365" s="12" t="inlineStr">
        <is>
          <t>(어떤 일에 쓰이는) 기간의 범위, 기한</t>
        </is>
      </c>
      <c r="F365" s="12" t="inlineStr">
        <is>
          <t>What kind of timeframe are we looking at?</t>
        </is>
      </c>
      <c r="G365" s="12" t="inlineStr">
        <is>
          <t>기간은 대략 어느 정도로 잡고 계신가요?</t>
        </is>
      </c>
      <c r="H365" s="9">
        <f>HYPERLINK("https://www.youtube.com/watch?v=Y9_QmHGnBlk", "영상 보기 ▶")</f>
        <v/>
      </c>
    </row>
    <row r="366" ht="26" customHeight="1">
      <c r="A366" s="2" t="n">
        <v>365</v>
      </c>
      <c r="B366" s="3" t="inlineStr">
        <is>
          <t>총정리 8탄</t>
        </is>
      </c>
      <c r="C366" s="3" t="inlineStr">
        <is>
          <t>업무 과다</t>
        </is>
      </c>
      <c r="D366" s="4" t="inlineStr">
        <is>
          <t>have a lot on one's plate</t>
        </is>
      </c>
      <c r="E366" s="11" t="inlineStr">
        <is>
          <t>처리해야 할 일이 산더미처럼 많다</t>
        </is>
      </c>
      <c r="F366" s="11" t="inlineStr">
        <is>
          <t>I have too much on my plate right now.</t>
        </is>
      </c>
      <c r="G366" s="11" t="inlineStr">
        <is>
          <t>나 지금 처리해야 할 일이 너무 많아.</t>
        </is>
      </c>
      <c r="H366" s="5">
        <f>HYPERLINK("https://www.youtube.com/watch?v=Y9_QmHGnBlk", "영상 보기 ▶")</f>
        <v/>
      </c>
    </row>
    <row r="367" ht="26" customHeight="1">
      <c r="A367" s="6" t="n">
        <v>366</v>
      </c>
      <c r="B367" s="7" t="inlineStr">
        <is>
          <t>총정리 8탄</t>
        </is>
      </c>
      <c r="C367" s="7" t="inlineStr">
        <is>
          <t>연락 연결</t>
        </is>
      </c>
      <c r="D367" s="8" t="inlineStr">
        <is>
          <t>put (sb) in touch with</t>
        </is>
      </c>
      <c r="E367" s="12" t="inlineStr">
        <is>
          <t>~와 연락이 닿도록 다리를 놓아주다</t>
        </is>
      </c>
      <c r="F367" s="12" t="inlineStr">
        <is>
          <t>I can put you in touch with our marketing director.</t>
        </is>
      </c>
      <c r="G367" s="12" t="inlineStr">
        <is>
          <t>저희 마케팅 이사님과 연락이 닿도록 연결해 드릴게요.</t>
        </is>
      </c>
      <c r="H367" s="9">
        <f>HYPERLINK("https://www.youtube.com/watch?v=Y9_QmHGnBlk", "영상 보기 ▶")</f>
        <v/>
      </c>
    </row>
    <row r="368" ht="26" customHeight="1">
      <c r="A368" s="2" t="n">
        <v>367</v>
      </c>
      <c r="B368" s="3" t="inlineStr">
        <is>
          <t>총정리 8탄</t>
        </is>
      </c>
      <c r="C368" s="3" t="inlineStr">
        <is>
          <t>권한 불가</t>
        </is>
      </c>
      <c r="D368" s="4" t="inlineStr">
        <is>
          <t>My hands are tied</t>
        </is>
      </c>
      <c r="E368" s="11" t="inlineStr">
        <is>
          <t>내 손이 묶여 있어 (내 권한 밖이라 어쩔 수 없어)</t>
        </is>
      </c>
      <c r="F368" s="11" t="inlineStr">
        <is>
          <t>I wish I could help, but my hands are tied.</t>
        </is>
      </c>
      <c r="G368" s="11" t="inlineStr">
        <is>
          <t>도와드리고 싶지만 제 권한 밖이라 어쩔 수가 없네요.</t>
        </is>
      </c>
      <c r="H368" s="5">
        <f>HYPERLINK("https://www.youtube.com/watch?v=Y9_QmHGnBlk", "영상 보기 ▶")</f>
        <v/>
      </c>
    </row>
    <row r="369" ht="26" customHeight="1">
      <c r="A369" s="6" t="n">
        <v>368</v>
      </c>
      <c r="B369" s="7" t="inlineStr">
        <is>
          <t>총정리 8탄</t>
        </is>
      </c>
      <c r="C369" s="7" t="inlineStr">
        <is>
          <t>신뢰 의지</t>
        </is>
      </c>
      <c r="D369" s="8" t="inlineStr">
        <is>
          <t>count on (sb)</t>
        </is>
      </c>
      <c r="E369" s="12" t="inlineStr">
        <is>
          <t>~를 굳게 믿다, 신뢰하다</t>
        </is>
      </c>
      <c r="F369" s="12" t="inlineStr">
        <is>
          <t>You can always count on David.</t>
        </is>
      </c>
      <c r="G369" s="12" t="inlineStr">
        <is>
          <t>데이비드는 언제나 굳게 믿을 수 있는 사람이야.</t>
        </is>
      </c>
      <c r="H369" s="9">
        <f>HYPERLINK("https://www.youtube.com/watch?v=Y9_QmHGnBlk", "영상 보기 ▶")</f>
        <v/>
      </c>
    </row>
    <row r="370" ht="26" customHeight="1">
      <c r="A370" s="2" t="n">
        <v>369</v>
      </c>
      <c r="B370" s="3" t="inlineStr">
        <is>
          <t>총정리 8탄</t>
        </is>
      </c>
      <c r="C370" s="3" t="inlineStr">
        <is>
          <t>참가 의사</t>
        </is>
      </c>
      <c r="D370" s="4" t="inlineStr">
        <is>
          <t>Count me in</t>
        </is>
      </c>
      <c r="E370" s="11" t="inlineStr">
        <is>
          <t>나도 껴줘, 나도 참가할게</t>
        </is>
      </c>
      <c r="F370" s="11" t="inlineStr">
        <is>
          <t>If you're going for dinner, count me in!</t>
        </is>
      </c>
      <c r="G370" s="11" t="inlineStr">
        <is>
          <t>저녁 먹으러 가는 거면 나도 껴줘!</t>
        </is>
      </c>
      <c r="H370" s="5">
        <f>HYPERLINK("https://www.youtube.com/watch?v=Y9_QmHGnBlk", "영상 보기 ▶")</f>
        <v/>
      </c>
    </row>
    <row r="371" ht="26" customHeight="1">
      <c r="A371" s="6" t="n">
        <v>370</v>
      </c>
      <c r="B371" s="7" t="inlineStr">
        <is>
          <t>총정리 8탄</t>
        </is>
      </c>
      <c r="C371" s="7" t="inlineStr">
        <is>
          <t>꼼꼼 검토</t>
        </is>
      </c>
      <c r="D371" s="8" t="inlineStr">
        <is>
          <t>go over</t>
        </is>
      </c>
      <c r="E371" s="12" t="inlineStr">
        <is>
          <t>꼼꼼히 짚어보다, 하나하나 검토하다</t>
        </is>
      </c>
      <c r="F371" s="12" t="inlineStr">
        <is>
          <t>Let's go over the agenda one more time.</t>
        </is>
      </c>
      <c r="G371" s="12" t="inlineStr">
        <is>
          <t>회의 안건을 다시 한번 꼼꼼히 짚어봅시다.</t>
        </is>
      </c>
      <c r="H371" s="9">
        <f>HYPERLINK("https://www.youtube.com/watch?v=Y9_QmHGnBlk", "영상 보기 ▶")</f>
        <v/>
      </c>
    </row>
    <row r="372" ht="26" customHeight="1">
      <c r="A372" s="2" t="n">
        <v>371</v>
      </c>
      <c r="B372" s="3" t="inlineStr">
        <is>
          <t>총정리 8탄</t>
        </is>
      </c>
      <c r="C372" s="3" t="inlineStr">
        <is>
          <t>주장 강조</t>
        </is>
      </c>
      <c r="D372" s="4" t="inlineStr">
        <is>
          <t>I'm telling you</t>
        </is>
      </c>
      <c r="E372" s="11" t="inlineStr">
        <is>
          <t>내 말 진짜라니까, 정말이야</t>
        </is>
      </c>
      <c r="F372" s="11" t="inlineStr">
        <is>
          <t>I'm telling you, this restaurant is incredible.</t>
        </is>
      </c>
      <c r="G372" s="11" t="inlineStr">
        <is>
          <t>내 말 진짜라니까, 이 식당 정말 끝내줘.</t>
        </is>
      </c>
      <c r="H372" s="5">
        <f>HYPERLINK("https://www.youtube.com/watch?v=Y9_QmHGnBlk", "영상 보기 ▶")</f>
        <v/>
      </c>
    </row>
    <row r="373" ht="26" customHeight="1">
      <c r="A373" s="6" t="n">
        <v>372</v>
      </c>
      <c r="B373" s="7" t="inlineStr">
        <is>
          <t>총정리 8탄</t>
        </is>
      </c>
      <c r="C373" s="7" t="inlineStr">
        <is>
          <t>의심 표현</t>
        </is>
      </c>
      <c r="D373" s="8" t="inlineStr">
        <is>
          <t>I doubt it</t>
        </is>
      </c>
      <c r="E373" s="12" t="inlineStr">
        <is>
          <t>안 그럴걸, 그럴 리가 없어</t>
        </is>
      </c>
      <c r="F373" s="12" t="inlineStr">
        <is>
          <t>Will it rain today? - I doubt it.</t>
        </is>
      </c>
      <c r="G373" s="12" t="inlineStr">
        <is>
          <t>오늘 비 올까? - 안 그럴 것 같은데.</t>
        </is>
      </c>
      <c r="H373" s="9">
        <f>HYPERLINK("https://www.youtube.com/watch?v=Y9_QmHGnBlk", "영상 보기 ▶")</f>
        <v/>
      </c>
    </row>
    <row r="374" ht="26" customHeight="1">
      <c r="A374" s="2" t="n">
        <v>373</v>
      </c>
      <c r="B374" s="3" t="inlineStr">
        <is>
          <t>총정리 8탄</t>
        </is>
      </c>
      <c r="C374" s="3" t="inlineStr">
        <is>
          <t>철저함</t>
        </is>
      </c>
      <c r="D374" s="4" t="inlineStr">
        <is>
          <t>religiously</t>
        </is>
      </c>
      <c r="E374" s="11" t="inlineStr">
        <is>
          <t>(신앙처럼) 빠짐없이 꼬박꼬박, 철저히</t>
        </is>
      </c>
      <c r="F374" s="11" t="inlineStr">
        <is>
          <t>He checks his emails religiously every morning.</t>
        </is>
      </c>
      <c r="G374" s="11" t="inlineStr">
        <is>
          <t>그는 매일 아침 빠짐없이 꼬박꼬박 이메일을 확인해.</t>
        </is>
      </c>
      <c r="H374" s="5">
        <f>HYPERLINK("https://www.youtube.com/watch?v=Y9_QmHGnBlk", "영상 보기 ▶")</f>
        <v/>
      </c>
    </row>
    <row r="375" ht="26" customHeight="1">
      <c r="A375" s="6" t="n">
        <v>374</v>
      </c>
      <c r="B375" s="7" t="inlineStr">
        <is>
          <t>총정리 8탄</t>
        </is>
      </c>
      <c r="C375" s="7" t="inlineStr">
        <is>
          <t>확신 표현</t>
        </is>
      </c>
      <c r="D375" s="8" t="inlineStr">
        <is>
          <t>positive</t>
        </is>
      </c>
      <c r="E375" s="12" t="inlineStr">
        <is>
          <t>(의심의 여지 없이) 100% 확신하는</t>
        </is>
      </c>
      <c r="F375" s="12" t="inlineStr">
        <is>
          <t>Are you sure? - Yes, I'm absolutely positive.</t>
        </is>
      </c>
      <c r="G375" s="12" t="inlineStr">
        <is>
          <t>확실해? - 응, 나 완전히 100% 확신해.</t>
        </is>
      </c>
      <c r="H375" s="9">
        <f>HYPERLINK("https://www.youtube.com/watch?v=Y9_QmHGnBlk", "영상 보기 ▶")</f>
        <v/>
      </c>
    </row>
    <row r="376" ht="26" customHeight="1">
      <c r="A376" s="2" t="n">
        <v>375</v>
      </c>
      <c r="B376" s="3" t="inlineStr">
        <is>
          <t>총정리 8탄</t>
        </is>
      </c>
      <c r="C376" s="3" t="inlineStr">
        <is>
          <t>재논의</t>
        </is>
      </c>
      <c r="D376" s="4" t="inlineStr">
        <is>
          <t>revisit</t>
        </is>
      </c>
      <c r="E376" s="11" t="inlineStr">
        <is>
          <t>시간이 지난 후에 다시 논의하다/재고하다</t>
        </is>
      </c>
      <c r="F376" s="11" t="inlineStr">
        <is>
          <t>Let's revisit this proposal next quarter.</t>
        </is>
      </c>
      <c r="G376" s="11" t="inlineStr">
        <is>
          <t>이 제안서는 다음 분기에 다시 논의합시다.</t>
        </is>
      </c>
      <c r="H376" s="5">
        <f>HYPERLINK("https://www.youtube.com/watch?v=Y9_QmHGnBlk", "영상 보기 ▶")</f>
        <v/>
      </c>
    </row>
    <row r="377" ht="26" customHeight="1">
      <c r="A377" s="6" t="n">
        <v>376</v>
      </c>
      <c r="B377" s="7" t="inlineStr">
        <is>
          <t>총정리 8탄</t>
        </is>
      </c>
      <c r="C377" s="7" t="inlineStr">
        <is>
          <t>업무 착수</t>
        </is>
      </c>
      <c r="D377" s="8" t="inlineStr">
        <is>
          <t>get to it</t>
        </is>
      </c>
      <c r="E377" s="12" t="inlineStr">
        <is>
          <t>본격적으로 착수하다, 시작하다</t>
        </is>
      </c>
      <c r="F377" s="12" t="inlineStr">
        <is>
          <t>Enough talking, let's get to it.</t>
        </is>
      </c>
      <c r="G377" s="12" t="inlineStr">
        <is>
          <t>말은 이쯤 하고 이제 본격적으로 시작합시다.</t>
        </is>
      </c>
      <c r="H377" s="9">
        <f>HYPERLINK("https://www.youtube.com/watch?v=Y9_QmHGnBlk", "영상 보기 ▶")</f>
        <v/>
      </c>
    </row>
    <row r="378" ht="26" customHeight="1">
      <c r="A378" s="2" t="n">
        <v>377</v>
      </c>
      <c r="B378" s="3" t="inlineStr">
        <is>
          <t>총정리 8탄</t>
        </is>
      </c>
      <c r="C378" s="3" t="inlineStr">
        <is>
          <t>타협/절충</t>
        </is>
      </c>
      <c r="D378" s="4" t="inlineStr">
        <is>
          <t>meet halfway / meet in the middle</t>
        </is>
      </c>
      <c r="E378" s="11" t="inlineStr">
        <is>
          <t>양보해서 타협하다, 중간에서 합의점을 찾다</t>
        </is>
      </c>
      <c r="F378" s="11" t="inlineStr">
        <is>
          <t>Can we meet halfway on the price?</t>
        </is>
      </c>
      <c r="G378" s="11" t="inlineStr">
        <is>
          <t>가격 절충안을 찾아 중간에서 타협할 수 있을까요?</t>
        </is>
      </c>
      <c r="H378" s="5">
        <f>HYPERLINK("https://www.youtube.com/watch?v=Y9_QmHGnBlk", "영상 보기 ▶")</f>
        <v/>
      </c>
    </row>
    <row r="379" ht="26" customHeight="1">
      <c r="A379" s="6" t="n">
        <v>378</v>
      </c>
      <c r="B379" s="7" t="inlineStr">
        <is>
          <t>총정리 8탄</t>
        </is>
      </c>
      <c r="C379" s="7" t="inlineStr">
        <is>
          <t>사전 조사</t>
        </is>
      </c>
      <c r="D379" s="8" t="inlineStr">
        <is>
          <t>do some research</t>
        </is>
      </c>
      <c r="E379" s="12" t="inlineStr">
        <is>
          <t>이것저것 조사를 좀 해보다</t>
        </is>
      </c>
      <c r="F379" s="12" t="inlineStr">
        <is>
          <t>I did some research on their competitors.</t>
        </is>
      </c>
      <c r="G379" s="12" t="inlineStr">
        <is>
          <t>그들의 경쟁사에 대해 사전 조사를 좀 해봤어요.</t>
        </is>
      </c>
      <c r="H379" s="9">
        <f>HYPERLINK("https://www.youtube.com/watch?v=Y9_QmHGnBlk", "영상 보기 ▶")</f>
        <v/>
      </c>
    </row>
    <row r="380" ht="26" customHeight="1">
      <c r="A380" s="2" t="n">
        <v>379</v>
      </c>
      <c r="B380" s="3" t="inlineStr">
        <is>
          <t>총정리 8탄</t>
        </is>
      </c>
      <c r="C380" s="3" t="inlineStr">
        <is>
          <t>확정 계획</t>
        </is>
      </c>
      <c r="D380" s="4" t="inlineStr">
        <is>
          <t>set in stone</t>
        </is>
      </c>
      <c r="E380" s="11" t="inlineStr">
        <is>
          <t>돌에 새긴 듯 확정된, 바꿀 수 없는</t>
        </is>
      </c>
      <c r="F380" s="11" t="inlineStr">
        <is>
          <t>Nothing is set in stone yet.</t>
        </is>
      </c>
      <c r="G380" s="11" t="inlineStr">
        <is>
          <t>아직 확정된 건 아무것도 없어요.</t>
        </is>
      </c>
      <c r="H380" s="5">
        <f>HYPERLINK("https://www.youtube.com/watch?v=Y9_QmHGnBlk", "영상 보기 ▶")</f>
        <v/>
      </c>
    </row>
    <row r="381" ht="26" customHeight="1">
      <c r="A381" s="6" t="n">
        <v>380</v>
      </c>
      <c r="B381" s="7" t="inlineStr">
        <is>
          <t>총정리 8탄</t>
        </is>
      </c>
      <c r="C381" s="7" t="inlineStr">
        <is>
          <t>공손한 희망</t>
        </is>
      </c>
      <c r="D381" s="8" t="inlineStr">
        <is>
          <t>I was hoping ~</t>
        </is>
      </c>
      <c r="E381" s="12" t="inlineStr">
        <is>
          <t>혹시 ~했으면 해서요 (조심스런 부탁)</t>
        </is>
      </c>
      <c r="F381" s="12" t="inlineStr">
        <is>
          <t>I was hoping you could give me some advice.</t>
        </is>
      </c>
      <c r="G381" s="12" t="inlineStr">
        <is>
          <t>조언을 좀 얻을 수 있을까 해서요.</t>
        </is>
      </c>
      <c r="H381" s="9">
        <f>HYPERLINK("https://www.youtube.com/watch?v=Y9_QmHGnBlk", "영상 보기 ▶")</f>
        <v/>
      </c>
    </row>
    <row r="382" ht="26" customHeight="1">
      <c r="A382" s="2" t="n">
        <v>381</v>
      </c>
      <c r="B382" s="3" t="inlineStr">
        <is>
          <t>총정리 8탄</t>
        </is>
      </c>
      <c r="C382" s="3" t="inlineStr">
        <is>
          <t>파티 문화</t>
        </is>
      </c>
      <c r="D382" s="4" t="inlineStr">
        <is>
          <t>potluck</t>
        </is>
      </c>
      <c r="E382" s="11" t="inlineStr">
        <is>
          <t>각자 음식을 조금씩 가져와 함께 나누는 파티</t>
        </is>
      </c>
      <c r="F382" s="11" t="inlineStr">
        <is>
          <t>We're having a potluck lunch this Friday.</t>
        </is>
      </c>
      <c r="G382" s="11" t="inlineStr">
        <is>
          <t>이번 주 금요일에 각자 음식 싸 와서 먹는 포틀럭 파티 해.</t>
        </is>
      </c>
      <c r="H382" s="5">
        <f>HYPERLINK("https://www.youtube.com/watch?v=Y9_QmHGnBlk", "영상 보기 ▶")</f>
        <v/>
      </c>
    </row>
    <row r="383" ht="26" customHeight="1">
      <c r="A383" s="6" t="n">
        <v>382</v>
      </c>
      <c r="B383" s="7" t="inlineStr">
        <is>
          <t>총정리 8탄</t>
        </is>
      </c>
      <c r="C383" s="7" t="inlineStr">
        <is>
          <t>각출/보탬</t>
        </is>
      </c>
      <c r="D383" s="8" t="inlineStr">
        <is>
          <t>chip in</t>
        </is>
      </c>
      <c r="E383" s="12" t="inlineStr">
        <is>
          <t>돈을 조금씩 각출하다, 힘을 보태다</t>
        </is>
      </c>
      <c r="F383" s="12" t="inlineStr">
        <is>
          <t>We all chipped in to buy him a gift.</t>
        </is>
      </c>
      <c r="G383" s="12" t="inlineStr">
        <is>
          <t>우린 그에게 줄 선물을 사려고 다 같이 돈을 보탰어.</t>
        </is>
      </c>
      <c r="H383" s="9">
        <f>HYPERLINK("https://www.youtube.com/watch?v=Y9_QmHGnBlk", "영상 보기 ▶")</f>
        <v/>
      </c>
    </row>
    <row r="384" ht="26" customHeight="1">
      <c r="A384" s="2" t="n">
        <v>383</v>
      </c>
      <c r="B384" s="3" t="inlineStr">
        <is>
          <t>총정리 8탄</t>
        </is>
      </c>
      <c r="C384" s="3" t="inlineStr">
        <is>
          <t>싫어하는 것</t>
        </is>
      </c>
      <c r="D384" s="4" t="inlineStr">
        <is>
          <t>pet peeve</t>
        </is>
      </c>
      <c r="E384" s="11" t="inlineStr">
        <is>
          <t>유독 거슬리고 질색하는 것</t>
        </is>
      </c>
      <c r="F384" s="11" t="inlineStr">
        <is>
          <t>Chewing with your mouth open is my biggest pet peeve.</t>
        </is>
      </c>
      <c r="G384" s="11" t="inlineStr">
        <is>
          <t>입 벌리고 음식 씹는 소리가 내가 제일 질색하는 거야.</t>
        </is>
      </c>
      <c r="H384" s="5">
        <f>HYPERLINK("https://www.youtube.com/watch?v=Y9_QmHGnBlk", "영상 보기 ▶")</f>
        <v/>
      </c>
    </row>
    <row r="385" ht="26" customHeight="1">
      <c r="A385" s="6" t="n">
        <v>384</v>
      </c>
      <c r="B385" s="7" t="inlineStr">
        <is>
          <t>총정리 8탄</t>
        </is>
      </c>
      <c r="C385" s="7" t="inlineStr">
        <is>
          <t>인정/공로</t>
        </is>
      </c>
      <c r="D385" s="8" t="inlineStr">
        <is>
          <t>give credit where credit is due</t>
        </is>
      </c>
      <c r="E385" s="12" t="inlineStr">
        <is>
          <t>인정할 건 인정하다, 공로를 치하하다</t>
        </is>
      </c>
      <c r="F385" s="12" t="inlineStr">
        <is>
          <t>Give credit to the design team, they worked hard.</t>
        </is>
      </c>
      <c r="G385" s="12" t="inlineStr">
        <is>
          <t>디자인팀의 공을 인정해 줘야 해, 정말 고생했어.</t>
        </is>
      </c>
      <c r="H385" s="9">
        <f>HYPERLINK("https://www.youtube.com/watch?v=Y9_QmHGnBlk", "영상 보기 ▶")</f>
        <v/>
      </c>
    </row>
    <row r="386" ht="26" customHeight="1">
      <c r="A386" s="2" t="n">
        <v>385</v>
      </c>
      <c r="B386" s="3" t="inlineStr">
        <is>
          <t>총정리 8탄</t>
        </is>
      </c>
      <c r="C386" s="3" t="inlineStr">
        <is>
          <t>특별 배려</t>
        </is>
      </c>
      <c r="D386" s="4" t="inlineStr">
        <is>
          <t>one-time courtesy</t>
        </is>
      </c>
      <c r="E386" s="11" t="inlineStr">
        <is>
          <t>이번 딱 한 번만 특별히 봐주는 호의/배려</t>
        </is>
      </c>
      <c r="F386" s="11" t="inlineStr">
        <is>
          <t>We can waive the fee as a one-time courtesy.</t>
        </is>
      </c>
      <c r="G386" s="11" t="inlineStr">
        <is>
          <t>이번 한 번만 특별한 배려 차원에서 수수료를 면제해 드릴게요.</t>
        </is>
      </c>
      <c r="H386" s="5">
        <f>HYPERLINK("https://www.youtube.com/watch?v=Y9_QmHGnBlk", "영상 보기 ▶")</f>
        <v/>
      </c>
    </row>
    <row r="387" ht="26" customHeight="1">
      <c r="A387" s="6" t="n">
        <v>386</v>
      </c>
      <c r="B387" s="7" t="inlineStr">
        <is>
          <t>총정리 8탄</t>
        </is>
      </c>
      <c r="C387" s="7" t="inlineStr">
        <is>
          <t>협찬/제공</t>
        </is>
      </c>
      <c r="D387" s="8" t="inlineStr">
        <is>
          <t>courtesy of ~</t>
        </is>
      </c>
      <c r="E387" s="12" t="inlineStr">
        <is>
          <t>~의 호의로/협찬으로 제공된</t>
        </is>
      </c>
      <c r="F387" s="12" t="inlineStr">
        <is>
          <t>Free snacks are provided courtesy of management.</t>
        </is>
      </c>
      <c r="G387" s="12" t="inlineStr">
        <is>
          <t>경영진의 호의로 무료 간식이 제공됩니다.</t>
        </is>
      </c>
      <c r="H387" s="9">
        <f>HYPERLINK("https://www.youtube.com/watch?v=Y9_QmHGnBlk", "영상 보기 ▶")</f>
        <v/>
      </c>
    </row>
    <row r="388" ht="26" customHeight="1">
      <c r="A388" s="2" t="n">
        <v>387</v>
      </c>
      <c r="B388" s="3" t="inlineStr">
        <is>
          <t>총정리 8탄</t>
        </is>
      </c>
      <c r="C388" s="3" t="inlineStr">
        <is>
          <t>중요도 강조</t>
        </is>
      </c>
      <c r="D388" s="4" t="inlineStr">
        <is>
          <t>big vs huge</t>
        </is>
      </c>
      <c r="E388" s="11" t="inlineStr">
        <is>
          <t>단순 크기가 아닌 중대함/의미심장함을 강조</t>
        </is>
      </c>
      <c r="F388" s="11" t="inlineStr">
        <is>
          <t>This is a big deal for our company.</t>
        </is>
      </c>
      <c r="G388" s="11" t="inlineStr">
        <is>
          <t>이건 우리 회사에 정말 중대한 일이야.</t>
        </is>
      </c>
      <c r="H388" s="5">
        <f>HYPERLINK("https://www.youtube.com/watch?v=Y9_QmHGnBlk", "영상 보기 ▶")</f>
        <v/>
      </c>
    </row>
    <row r="389" ht="26" customHeight="1">
      <c r="A389" s="6" t="n">
        <v>388</v>
      </c>
      <c r="B389" s="7" t="inlineStr">
        <is>
          <t>총정리 8탄</t>
        </is>
      </c>
      <c r="C389" s="7" t="inlineStr">
        <is>
          <t>직감/촉</t>
        </is>
      </c>
      <c r="D389" s="8" t="inlineStr">
        <is>
          <t>gut feeling</t>
        </is>
      </c>
      <c r="E389" s="12" t="inlineStr">
        <is>
          <t>직감, 육감, 촉</t>
        </is>
      </c>
      <c r="F389" s="12" t="inlineStr">
        <is>
          <t>Trust your gut feeling.</t>
        </is>
      </c>
      <c r="G389" s="12" t="inlineStr">
        <is>
          <t>너의 직감을 믿어.</t>
        </is>
      </c>
      <c r="H389" s="9">
        <f>HYPERLINK("https://www.youtube.com/watch?v=Y9_QmHGnBlk", "영상 보기 ▶")</f>
        <v/>
      </c>
    </row>
    <row r="390" ht="26" customHeight="1">
      <c r="A390" s="2" t="n">
        <v>389</v>
      </c>
      <c r="B390" s="3" t="inlineStr">
        <is>
          <t>총정리 8탄</t>
        </is>
      </c>
      <c r="C390" s="3" t="inlineStr">
        <is>
          <t>배짱/용기</t>
        </is>
      </c>
      <c r="D390" s="4" t="inlineStr">
        <is>
          <t>guts</t>
        </is>
      </c>
      <c r="E390" s="11" t="inlineStr">
        <is>
          <t>배짱, 용기 (*have the guts to do*)</t>
        </is>
      </c>
      <c r="F390" s="11" t="inlineStr">
        <is>
          <t>It takes a lot of guts to admit your mistake.</t>
        </is>
      </c>
      <c r="G390" s="11" t="inlineStr">
        <is>
          <t>자기 실수를 인정하는 데는 큰 배짱과 용기가 필요해.</t>
        </is>
      </c>
      <c r="H390" s="5">
        <f>HYPERLINK("https://www.youtube.com/watch?v=Y9_QmHGnBlk", "영상 보기 ▶")</f>
        <v/>
      </c>
    </row>
    <row r="391" ht="26" customHeight="1">
      <c r="A391" s="6" t="n">
        <v>390</v>
      </c>
      <c r="B391" s="7" t="inlineStr">
        <is>
          <t>총정리 8탄</t>
        </is>
      </c>
      <c r="C391" s="7" t="inlineStr">
        <is>
          <t>강조 형용사</t>
        </is>
      </c>
      <c r="D391" s="8" t="inlineStr">
        <is>
          <t>the very ~</t>
        </is>
      </c>
      <c r="E391" s="12" t="inlineStr">
        <is>
          <t>다름 아닌 바로 그 ~</t>
        </is>
      </c>
      <c r="F391" s="12" t="inlineStr">
        <is>
          <t>He is the very person I was talking about.</t>
        </is>
      </c>
      <c r="G391" s="12" t="inlineStr">
        <is>
          <t>그 사람이 바로 내가 말하던 다름 아닌 그 인물이야.</t>
        </is>
      </c>
      <c r="H391" s="9">
        <f>HYPERLINK("https://www.youtube.com/watch?v=Y9_QmHGnBlk", "영상 보기 ▶")</f>
        <v/>
      </c>
    </row>
    <row r="392" ht="26" customHeight="1">
      <c r="A392" s="2" t="n">
        <v>391</v>
      </c>
      <c r="B392" s="3" t="inlineStr">
        <is>
          <t>총정리 8탄</t>
        </is>
      </c>
      <c r="C392" s="3" t="inlineStr">
        <is>
          <t>평가</t>
        </is>
      </c>
      <c r="D392" s="4" t="inlineStr">
        <is>
          <t>overrated</t>
        </is>
      </c>
      <c r="E392" s="11" t="inlineStr">
        <is>
          <t>과대평가된 (소문보다 별로인)</t>
        </is>
      </c>
      <c r="F392" s="11" t="inlineStr">
        <is>
          <t>That restaurant is totally overrated.</t>
        </is>
      </c>
      <c r="G392" s="11" t="inlineStr">
        <is>
          <t>그 식당은 완전 거품이고 과대평가됐어.</t>
        </is>
      </c>
      <c r="H392" s="5">
        <f>HYPERLINK("https://www.youtube.com/watch?v=Y9_QmHGnBlk", "영상 보기 ▶")</f>
        <v/>
      </c>
    </row>
    <row r="393" ht="26" customHeight="1">
      <c r="A393" s="6" t="n">
        <v>392</v>
      </c>
      <c r="B393" s="7" t="inlineStr">
        <is>
          <t>총정리 8탄</t>
        </is>
      </c>
      <c r="C393" s="7" t="inlineStr">
        <is>
          <t>평가</t>
        </is>
      </c>
      <c r="D393" s="8" t="inlineStr">
        <is>
          <t>underrated</t>
        </is>
      </c>
      <c r="E393" s="12" t="inlineStr">
        <is>
          <t>진가를 인정받지 못한, 과소평가된</t>
        </is>
      </c>
      <c r="F393" s="12" t="inlineStr">
        <is>
          <t>This movie is completely underrated.</t>
        </is>
      </c>
      <c r="G393" s="12" t="inlineStr">
        <is>
          <t>이 영화는 진짜 저평가된 명작이야.</t>
        </is>
      </c>
      <c r="H393" s="9">
        <f>HYPERLINK("https://www.youtube.com/watch?v=Y9_QmHGnBlk", "영상 보기 ▶")</f>
        <v/>
      </c>
    </row>
    <row r="394" ht="26" customHeight="1">
      <c r="A394" s="2" t="n">
        <v>393</v>
      </c>
      <c r="B394" s="3" t="inlineStr">
        <is>
          <t>총정리 8탄</t>
        </is>
      </c>
      <c r="C394" s="3" t="inlineStr">
        <is>
          <t>끔찍한 일</t>
        </is>
      </c>
      <c r="D394" s="4" t="inlineStr">
        <is>
          <t>nightmare</t>
        </is>
      </c>
      <c r="E394" s="11" t="inlineStr">
        <is>
          <t>악몽 같은 끔찍한 상황/일</t>
        </is>
      </c>
      <c r="F394" s="11" t="inlineStr">
        <is>
          <t>The morning commute was a total nightmare.</t>
        </is>
      </c>
      <c r="G394" s="11" t="inlineStr">
        <is>
          <t>오늘 아침 출근길은 완전 악몽 그 자체였어.</t>
        </is>
      </c>
      <c r="H394" s="5">
        <f>HYPERLINK("https://www.youtube.com/watch?v=Y9_QmHGnBlk", "영상 보기 ▶")</f>
        <v/>
      </c>
    </row>
    <row r="395" ht="26" customHeight="1">
      <c r="A395" s="6" t="n">
        <v>394</v>
      </c>
      <c r="B395" s="7" t="inlineStr">
        <is>
          <t>총정리 8탄</t>
        </is>
      </c>
      <c r="C395" s="7" t="inlineStr">
        <is>
          <t>사실상</t>
        </is>
      </c>
      <c r="D395" s="8" t="inlineStr">
        <is>
          <t>practically</t>
        </is>
      </c>
      <c r="E395" s="12" t="inlineStr">
        <is>
          <t>사실상, 거의 ~나 다름없이</t>
        </is>
      </c>
      <c r="F395" s="12" t="inlineStr">
        <is>
          <t>The project is practically finished.</t>
        </is>
      </c>
      <c r="G395" s="12" t="inlineStr">
        <is>
          <t>프로젝트는 사실상 거의 끝난 거나 다름없어.</t>
        </is>
      </c>
      <c r="H395" s="9">
        <f>HYPERLINK("https://www.youtube.com/watch?v=Y9_QmHGnBlk", "영상 보기 ▶")</f>
        <v/>
      </c>
    </row>
    <row r="396" ht="26" customHeight="1">
      <c r="A396" s="2" t="n">
        <v>395</v>
      </c>
      <c r="B396" s="3" t="inlineStr">
        <is>
          <t>총정리 8탄</t>
        </is>
      </c>
      <c r="C396" s="3" t="inlineStr">
        <is>
          <t>의무 규정</t>
        </is>
      </c>
      <c r="D396" s="4" t="inlineStr">
        <is>
          <t>mandatory</t>
        </is>
      </c>
      <c r="E396" s="11" t="inlineStr">
        <is>
          <t>의무적인, 반드시 지켜야 하는</t>
        </is>
      </c>
      <c r="F396" s="11" t="inlineStr">
        <is>
          <t>Safety training is mandatory for everyone.</t>
        </is>
      </c>
      <c r="G396" s="11" t="inlineStr">
        <is>
          <t>안전 교육은 전 직원 필수 의무 사항입니다.</t>
        </is>
      </c>
      <c r="H396" s="5">
        <f>HYPERLINK("https://www.youtube.com/watch?v=Y9_QmHGnBlk", "영상 보기 ▶")</f>
        <v/>
      </c>
    </row>
    <row r="397" ht="26" customHeight="1">
      <c r="A397" s="6" t="n">
        <v>396</v>
      </c>
      <c r="B397" s="7" t="inlineStr">
        <is>
          <t>총정리 8탄</t>
        </is>
      </c>
      <c r="C397" s="7" t="inlineStr">
        <is>
          <t>원칙적</t>
        </is>
      </c>
      <c r="D397" s="8" t="inlineStr">
        <is>
          <t>technically</t>
        </is>
      </c>
      <c r="E397" s="12" t="inlineStr">
        <is>
          <t>엄밀히 따지자면, 원칙상으로는</t>
        </is>
      </c>
      <c r="F397" s="12" t="inlineStr">
        <is>
          <t>Technically, you're right, but it's complicated.</t>
        </is>
      </c>
      <c r="G397" s="12" t="inlineStr">
        <is>
          <t>엄밀히 따지면 네 말이 맞지만 상황이 복잡해.</t>
        </is>
      </c>
      <c r="H397" s="9">
        <f>HYPERLINK("https://www.youtube.com/watch?v=Y9_QmHGnBlk", "영상 보기 ▶")</f>
        <v/>
      </c>
    </row>
    <row r="398" ht="26" customHeight="1">
      <c r="A398" s="2" t="n">
        <v>397</v>
      </c>
      <c r="B398" s="3" t="inlineStr">
        <is>
          <t>총정리 8탄</t>
        </is>
      </c>
      <c r="C398" s="3" t="inlineStr">
        <is>
          <t>전문/풍문</t>
        </is>
      </c>
      <c r="D398" s="4" t="inlineStr">
        <is>
          <t>apparently</t>
        </is>
      </c>
      <c r="E398" s="11" t="inlineStr">
        <is>
          <t>듣자 하니, 보아하니 (~라더라)</t>
        </is>
      </c>
      <c r="F398" s="11" t="inlineStr">
        <is>
          <t>Apparently, the CEO is visiting tomorrow.</t>
        </is>
      </c>
      <c r="G398" s="11" t="inlineStr">
        <is>
          <t>듣자 하니 내일 대표님이 방문하신대.</t>
        </is>
      </c>
      <c r="H398" s="5">
        <f>HYPERLINK("https://www.youtube.com/watch?v=Y9_QmHGnBlk", "영상 보기 ▶")</f>
        <v/>
      </c>
    </row>
    <row r="399" ht="26" customHeight="1">
      <c r="A399" s="6" t="n">
        <v>398</v>
      </c>
      <c r="B399" s="7" t="inlineStr">
        <is>
          <t>총정리 8탄</t>
        </is>
      </c>
      <c r="C399" s="7" t="inlineStr">
        <is>
          <t>전언</t>
        </is>
      </c>
      <c r="D399" s="8" t="inlineStr">
        <is>
          <t>relay</t>
        </is>
      </c>
      <c r="E399" s="12" t="inlineStr">
        <is>
          <t>(정보나 메시지를) 전해주다, 전달하다</t>
        </is>
      </c>
      <c r="F399" s="12" t="inlineStr">
        <is>
          <t>I'll relay your message to the team.</t>
        </is>
      </c>
      <c r="G399" s="12" t="inlineStr">
        <is>
          <t>당신의 메시지를 팀원들에게 전달할게요.</t>
        </is>
      </c>
      <c r="H399" s="9">
        <f>HYPERLINK("https://www.youtube.com/watch?v=Y9_QmHGnBlk", "영상 보기 ▶")</f>
        <v/>
      </c>
    </row>
    <row r="400" ht="26" customHeight="1">
      <c r="A400" s="2" t="n">
        <v>399</v>
      </c>
      <c r="B400" s="3" t="inlineStr">
        <is>
          <t>총정리 8탄</t>
        </is>
      </c>
      <c r="C400" s="3" t="inlineStr">
        <is>
          <t>신속 공유</t>
        </is>
      </c>
      <c r="D400" s="4" t="inlineStr">
        <is>
          <t>You'll be the first to know</t>
        </is>
      </c>
      <c r="E400" s="11" t="inlineStr">
        <is>
          <t>너한테 가장 먼저 바로 알려줄게</t>
        </is>
      </c>
      <c r="F400" s="11" t="inlineStr">
        <is>
          <t>As soon as I hear back, you'll be the first to know.</t>
        </is>
      </c>
      <c r="G400" s="11" t="inlineStr">
        <is>
          <t>답변받는 즉시 너한테 제일 먼저 알려줄게.</t>
        </is>
      </c>
      <c r="H400" s="5">
        <f>HYPERLINK("https://www.youtube.com/watch?v=Y9_QmHGnBlk", "영상 보기 ▶")</f>
        <v/>
      </c>
    </row>
    <row r="401" ht="26" customHeight="1">
      <c r="A401" s="6" t="n">
        <v>400</v>
      </c>
      <c r="B401" s="7" t="inlineStr">
        <is>
          <t>총정리 8탄</t>
        </is>
      </c>
      <c r="C401" s="7" t="inlineStr">
        <is>
          <t>지식 출처</t>
        </is>
      </c>
      <c r="D401" s="8" t="inlineStr">
        <is>
          <t>firsthand knowledge</t>
        </is>
      </c>
      <c r="E401" s="12" t="inlineStr">
        <is>
          <t>직접 경험하여 얻은 생생한 지식</t>
        </is>
      </c>
      <c r="F401" s="12" t="inlineStr">
        <is>
          <t>She has firsthand knowledge of the market.</t>
        </is>
      </c>
      <c r="G401" s="12" t="inlineStr">
        <is>
          <t>그녀는 그 시장에 대해 직접 체득한 생생한 지식을 갖고 있어.</t>
        </is>
      </c>
      <c r="H401" s="9">
        <f>HYPERLINK("https://www.youtube.com/watch?v=Y9_QmHGnBlk", "영상 보기 ▶")</f>
        <v/>
      </c>
    </row>
    <row r="402" ht="26" customHeight="1">
      <c r="A402" s="2" t="n">
        <v>401</v>
      </c>
      <c r="B402" s="3" t="inlineStr">
        <is>
          <t>총정리 9탄</t>
        </is>
      </c>
      <c r="C402" s="3" t="inlineStr">
        <is>
          <t>극찬</t>
        </is>
      </c>
      <c r="D402" s="4" t="inlineStr">
        <is>
          <t>brilliant</t>
        </is>
      </c>
      <c r="E402" s="11" t="inlineStr">
        <is>
          <t>눈부신, 아주 훌륭하고 멋진</t>
        </is>
      </c>
      <c r="F402" s="11" t="inlineStr">
        <is>
          <t>That was a brilliant presentation.</t>
        </is>
      </c>
      <c r="G402" s="11" t="inlineStr">
        <is>
          <t>정말 훌륭하고 멋진 발표였어요.</t>
        </is>
      </c>
      <c r="H402" s="5">
        <f>HYPERLINK("https://www.youtube.com/watch?v=gA4OSs3w5Mw", "영상 보기 ▶")</f>
        <v/>
      </c>
    </row>
    <row r="403" ht="26" customHeight="1">
      <c r="A403" s="6" t="n">
        <v>402</v>
      </c>
      <c r="B403" s="7" t="inlineStr">
        <is>
          <t>총정리 9탄</t>
        </is>
      </c>
      <c r="C403" s="7" t="inlineStr">
        <is>
          <t>심리/상태</t>
        </is>
      </c>
      <c r="D403" s="8" t="inlineStr">
        <is>
          <t>vulnerable</t>
        </is>
      </c>
      <c r="E403" s="12" t="inlineStr">
        <is>
          <t>취약한, 상처받기 쉬운</t>
        </is>
      </c>
      <c r="F403" s="12" t="inlineStr">
        <is>
          <t>It's okay to feel vulnerable sometimes.</t>
        </is>
      </c>
      <c r="G403" s="12" t="inlineStr">
        <is>
          <t>때로는 취약한 모습을 보여도 괜찮아.</t>
        </is>
      </c>
      <c r="H403" s="9">
        <f>HYPERLINK("https://www.youtube.com/watch?v=gA4OSs3w5Mw", "영상 보기 ▶")</f>
        <v/>
      </c>
    </row>
    <row r="404" ht="26" customHeight="1">
      <c r="A404" s="2" t="n">
        <v>403</v>
      </c>
      <c r="B404" s="3" t="inlineStr">
        <is>
          <t>총정리 9탄</t>
        </is>
      </c>
      <c r="C404" s="3" t="inlineStr">
        <is>
          <t>분야 한정</t>
        </is>
      </c>
      <c r="D404" s="4" t="inlineStr">
        <is>
          <t>When it comes to ~</t>
        </is>
      </c>
      <c r="E404" s="11" t="inlineStr">
        <is>
          <t>~에 있어서라면, ~에 관해서라면</t>
        </is>
      </c>
      <c r="F404" s="11" t="inlineStr">
        <is>
          <t>When it comes to negotiation, he is an expert.</t>
        </is>
      </c>
      <c r="G404" s="11" t="inlineStr">
        <is>
          <t>협상에 있어서라면 그는 최고 전문가야.</t>
        </is>
      </c>
      <c r="H404" s="5">
        <f>HYPERLINK("https://www.youtube.com/watch?v=gA4OSs3w5Mw", "영상 보기 ▶")</f>
        <v/>
      </c>
    </row>
    <row r="405" ht="26" customHeight="1">
      <c r="A405" s="6" t="n">
        <v>404</v>
      </c>
      <c r="B405" s="7" t="inlineStr">
        <is>
          <t>총정리 9탄</t>
        </is>
      </c>
      <c r="C405" s="7" t="inlineStr">
        <is>
          <t>비교 표현</t>
        </is>
      </c>
      <c r="D405" s="8" t="inlineStr">
        <is>
          <t>as ~ as possible</t>
        </is>
      </c>
      <c r="E405" s="12" t="inlineStr">
        <is>
          <t>가능한 한 ~하게</t>
        </is>
      </c>
      <c r="F405" s="12" t="inlineStr">
        <is>
          <t>Please handle this as discreetly as possible.</t>
        </is>
      </c>
      <c r="G405" s="12" t="inlineStr">
        <is>
          <t>이 일은 가능한 한 조용하고 신중하게 처리해 주세요.</t>
        </is>
      </c>
      <c r="H405" s="9">
        <f>HYPERLINK("https://www.youtube.com/watch?v=gA4OSs3w5Mw", "영상 보기 ▶")</f>
        <v/>
      </c>
    </row>
    <row r="406" ht="26" customHeight="1">
      <c r="A406" s="2" t="n">
        <v>405</v>
      </c>
      <c r="B406" s="3" t="inlineStr">
        <is>
          <t>총정리 9탄</t>
        </is>
      </c>
      <c r="C406" s="3" t="inlineStr">
        <is>
          <t>검토 중</t>
        </is>
      </c>
      <c r="D406" s="4" t="inlineStr">
        <is>
          <t>on the table</t>
        </is>
      </c>
      <c r="E406" s="11" t="inlineStr">
        <is>
          <t>(제안이나 계획이) 논의/고려 대상인</t>
        </is>
      </c>
      <c r="F406" s="11" t="inlineStr">
        <is>
          <t>All options are currently on the table.</t>
        </is>
      </c>
      <c r="G406" s="11" t="inlineStr">
        <is>
          <t>현재 모든 선택지가 논의 테이블 위에 올라와 있어.</t>
        </is>
      </c>
      <c r="H406" s="5">
        <f>HYPERLINK("https://www.youtube.com/watch?v=gA4OSs3w5Mw", "영상 보기 ▶")</f>
        <v/>
      </c>
    </row>
    <row r="407" ht="26" customHeight="1">
      <c r="A407" s="6" t="n">
        <v>406</v>
      </c>
      <c r="B407" s="7" t="inlineStr">
        <is>
          <t>총정리 9탄</t>
        </is>
      </c>
      <c r="C407" s="7" t="inlineStr">
        <is>
          <t>검토 제외</t>
        </is>
      </c>
      <c r="D407" s="8" t="inlineStr">
        <is>
          <t>off the table</t>
        </is>
      </c>
      <c r="E407" s="12" t="inlineStr">
        <is>
          <t>논외인, 고려 대상에서 완전히 제외된</t>
        </is>
      </c>
      <c r="F407" s="12" t="inlineStr">
        <is>
          <t>Price reduction is completely off the table.</t>
        </is>
      </c>
      <c r="G407" s="12" t="inlineStr">
        <is>
          <t>가격 인하는 절대 고려 대상이 아닙니다.</t>
        </is>
      </c>
      <c r="H407" s="9">
        <f>HYPERLINK("https://www.youtube.com/watch?v=gA4OSs3w5Mw", "영상 보기 ▶")</f>
        <v/>
      </c>
    </row>
    <row r="408" ht="26" customHeight="1">
      <c r="A408" s="2" t="n">
        <v>407</v>
      </c>
      <c r="B408" s="3" t="inlineStr">
        <is>
          <t>총정리 9탄</t>
        </is>
      </c>
      <c r="C408" s="3" t="inlineStr">
        <is>
          <t>기여/제안</t>
        </is>
      </c>
      <c r="D408" s="4" t="inlineStr">
        <is>
          <t>bring to the table</t>
        </is>
      </c>
      <c r="E408" s="11" t="inlineStr">
        <is>
          <t>(협상 등에) 이익을 가져오다, 기여하다</t>
        </is>
      </c>
      <c r="F408" s="11" t="inlineStr">
        <is>
          <t>What skills do you bring to the table?</t>
        </is>
      </c>
      <c r="G408" s="11" t="inlineStr">
        <is>
          <t>우리 회사에 어떤 가치와 역량을 기여할 수 있나요?</t>
        </is>
      </c>
      <c r="H408" s="5">
        <f>HYPERLINK("https://www.youtube.com/watch?v=gA4OSs3w5Mw", "영상 보기 ▶")</f>
        <v/>
      </c>
    </row>
    <row r="409" ht="26" customHeight="1">
      <c r="A409" s="6" t="n">
        <v>408</v>
      </c>
      <c r="B409" s="7" t="inlineStr">
        <is>
          <t>총정리 9탄</t>
        </is>
      </c>
      <c r="C409" s="7" t="inlineStr">
        <is>
          <t>무리/억지</t>
        </is>
      </c>
      <c r="D409" s="8" t="inlineStr">
        <is>
          <t>It's a stretch</t>
        </is>
      </c>
      <c r="E409" s="12" t="inlineStr">
        <is>
          <t>그건 무리야, 억지 주장이야</t>
        </is>
      </c>
      <c r="F409" s="12" t="inlineStr">
        <is>
          <t>To say he did it alone is a big stretch.</t>
        </is>
      </c>
      <c r="G409" s="12" t="inlineStr">
        <is>
          <t>그걸 그 사람 혼자 다 했다고 말하는 건 너무 억지야.</t>
        </is>
      </c>
      <c r="H409" s="9">
        <f>HYPERLINK("https://www.youtube.com/watch?v=gA4OSs3w5Mw", "영상 보기 ▶")</f>
        <v/>
      </c>
    </row>
    <row r="410" ht="26" customHeight="1">
      <c r="A410" s="2" t="n">
        <v>409</v>
      </c>
      <c r="B410" s="3" t="inlineStr">
        <is>
          <t>총정리 9탄</t>
        </is>
      </c>
      <c r="C410" s="3" t="inlineStr">
        <is>
          <t>기세/탄력</t>
        </is>
      </c>
      <c r="D410" s="4" t="inlineStr">
        <is>
          <t>momentum</t>
        </is>
      </c>
      <c r="E410" s="11" t="inlineStr">
        <is>
          <t>일의 탄력, 가속도, 거침없는 기세</t>
        </is>
      </c>
      <c r="F410" s="11" t="inlineStr">
        <is>
          <t>We need to maintain this momentum.</t>
        </is>
      </c>
      <c r="G410" s="11" t="inlineStr">
        <is>
          <t>우리는 이 상승 탄력과 기세를 유지해야 해.</t>
        </is>
      </c>
      <c r="H410" s="5">
        <f>HYPERLINK("https://www.youtube.com/watch?v=gA4OSs3w5Mw", "영상 보기 ▶")</f>
        <v/>
      </c>
    </row>
    <row r="411" ht="26" customHeight="1">
      <c r="A411" s="6" t="n">
        <v>410</v>
      </c>
      <c r="B411" s="7" t="inlineStr">
        <is>
          <t>총정리 9탄</t>
        </is>
      </c>
      <c r="C411" s="7" t="inlineStr">
        <is>
          <t>주량 표현</t>
        </is>
      </c>
      <c r="D411" s="8" t="inlineStr">
        <is>
          <t>light drinker</t>
        </is>
      </c>
      <c r="E411" s="12" t="inlineStr">
        <is>
          <t>술을 잘 못 마시는 사람, 주량이 약한 사람</t>
        </is>
      </c>
      <c r="F411" s="12" t="inlineStr">
        <is>
          <t>I'm a light drinker, so one beer is enough.</t>
        </is>
      </c>
      <c r="G411" s="12" t="inlineStr">
        <is>
          <t>나 술이 약해서 맥주 한 잔이면 충분해.</t>
        </is>
      </c>
      <c r="H411" s="9">
        <f>HYPERLINK("https://www.youtube.com/watch?v=gA4OSs3w5Mw", "영상 보기 ▶")</f>
        <v/>
      </c>
    </row>
    <row r="412" ht="26" customHeight="1">
      <c r="A412" s="2" t="n">
        <v>411</v>
      </c>
      <c r="B412" s="3" t="inlineStr">
        <is>
          <t>총정리 9탄</t>
        </is>
      </c>
      <c r="C412" s="3" t="inlineStr">
        <is>
          <t>내성/주량</t>
        </is>
      </c>
      <c r="D412" s="4" t="inlineStr">
        <is>
          <t>tolerance</t>
        </is>
      </c>
      <c r="E412" s="11" t="inlineStr">
        <is>
          <t>주량, 약에 대한 내성, 관용</t>
        </is>
      </c>
      <c r="F412" s="11" t="inlineStr">
        <is>
          <t>I have a very low alcohol tolerance.</t>
        </is>
      </c>
      <c r="G412" s="11" t="inlineStr">
        <is>
          <t>난 알코올 분해 능력이 아주 약해.</t>
        </is>
      </c>
      <c r="H412" s="5">
        <f>HYPERLINK("https://www.youtube.com/watch?v=gA4OSs3w5Mw", "영상 보기 ▶")</f>
        <v/>
      </c>
    </row>
    <row r="413" ht="26" customHeight="1">
      <c r="A413" s="6" t="n">
        <v>412</v>
      </c>
      <c r="B413" s="7" t="inlineStr">
        <is>
          <t>총정리 9탄</t>
        </is>
      </c>
      <c r="C413" s="7" t="inlineStr">
        <is>
          <t>엄격 원칙</t>
        </is>
      </c>
      <c r="D413" s="8" t="inlineStr">
        <is>
          <t>zero tolerance</t>
        </is>
      </c>
      <c r="E413" s="12" t="inlineStr">
        <is>
          <t>무관용 원칙 (절대 용납하지 않음)</t>
        </is>
      </c>
      <c r="F413" s="12" t="inlineStr">
        <is>
          <t>Our company has zero tolerance for harassment.</t>
        </is>
      </c>
      <c r="G413" s="12" t="inlineStr">
        <is>
          <t>우리 회사는 괴롭힘에 대해 무관용 원칙을 적용합니다.</t>
        </is>
      </c>
      <c r="H413" s="9">
        <f>HYPERLINK("https://www.youtube.com/watch?v=gA4OSs3w5Mw", "영상 보기 ▶")</f>
        <v/>
      </c>
    </row>
    <row r="414" ht="26" customHeight="1">
      <c r="A414" s="2" t="n">
        <v>413</v>
      </c>
      <c r="B414" s="3" t="inlineStr">
        <is>
          <t>총정리 9탄</t>
        </is>
      </c>
      <c r="C414" s="3" t="inlineStr">
        <is>
          <t>축하 분위기</t>
        </is>
      </c>
      <c r="D414" s="4" t="inlineStr">
        <is>
          <t>cause for celebration</t>
        </is>
      </c>
      <c r="E414" s="11" t="inlineStr">
        <is>
          <t>축하할 만한 경사, 기념할 일</t>
        </is>
      </c>
      <c r="F414" s="11" t="inlineStr">
        <is>
          <t>Closing this deal is a real cause for celebration.</t>
        </is>
      </c>
      <c r="G414" s="11" t="inlineStr">
        <is>
          <t>이번 계약 체결은 정말 축하할 만한 경사야.</t>
        </is>
      </c>
      <c r="H414" s="5">
        <f>HYPERLINK("https://www.youtube.com/watch?v=gA4OSs3w5Mw", "영상 보기 ▶")</f>
        <v/>
      </c>
    </row>
    <row r="415" ht="26" customHeight="1">
      <c r="A415" s="6" t="n">
        <v>414</v>
      </c>
      <c r="B415" s="7" t="inlineStr">
        <is>
          <t>총정리 9탄</t>
        </is>
      </c>
      <c r="C415" s="7" t="inlineStr">
        <is>
          <t>위압감</t>
        </is>
      </c>
      <c r="D415" s="8" t="inlineStr">
        <is>
          <t>intimidating</t>
        </is>
      </c>
      <c r="E415" s="12" t="inlineStr">
        <is>
          <t>(기죽을 만큼) 위협적인, 다가가기 힘든</t>
        </is>
      </c>
      <c r="F415" s="12" t="inlineStr">
        <is>
          <t>The new boss can seem a bit intimidating.</t>
        </is>
      </c>
      <c r="G415" s="12" t="inlineStr">
        <is>
          <t>새 상사분은 처음엔 좀 위압적으로 느껴질 수 있어.</t>
        </is>
      </c>
      <c r="H415" s="9">
        <f>HYPERLINK("https://www.youtube.com/watch?v=gA4OSs3w5Mw", "영상 보기 ▶")</f>
        <v/>
      </c>
    </row>
    <row r="416" ht="26" customHeight="1">
      <c r="A416" s="2" t="n">
        <v>415</v>
      </c>
      <c r="B416" s="3" t="inlineStr">
        <is>
          <t>총정리 9탄</t>
        </is>
      </c>
      <c r="C416" s="3" t="inlineStr">
        <is>
          <t>부정 표현</t>
        </is>
      </c>
      <c r="D416" s="4" t="inlineStr">
        <is>
          <t>There's no such thing as ~</t>
        </is>
      </c>
      <c r="E416" s="11" t="inlineStr">
        <is>
          <t>~같은 그런 건 세상에 없어</t>
        </is>
      </c>
      <c r="F416" s="11" t="inlineStr">
        <is>
          <t>There's no such thing as a free lunch.</t>
        </is>
      </c>
      <c r="G416" s="11" t="inlineStr">
        <is>
          <t>세상에 공짜 점심 같은 건 없어.</t>
        </is>
      </c>
      <c r="H416" s="5">
        <f>HYPERLINK("https://www.youtube.com/watch?v=gA4OSs3w5Mw", "영상 보기 ▶")</f>
        <v/>
      </c>
    </row>
    <row r="417" ht="26" customHeight="1">
      <c r="A417" s="6" t="n">
        <v>416</v>
      </c>
      <c r="B417" s="7" t="inlineStr">
        <is>
          <t>총정리 9탄</t>
        </is>
      </c>
      <c r="C417" s="7" t="inlineStr">
        <is>
          <t>최상의 상태</t>
        </is>
      </c>
      <c r="D417" s="8" t="inlineStr">
        <is>
          <t>Couldn't be better</t>
        </is>
      </c>
      <c r="E417" s="12" t="inlineStr">
        <is>
          <t>더할 나위 없이 최고야 (더 좋을 수 없어)</t>
        </is>
      </c>
      <c r="F417" s="12" t="inlineStr">
        <is>
          <t>How are you doing? - Couldn't be better!</t>
        </is>
      </c>
      <c r="G417" s="12" t="inlineStr">
        <is>
          <t>어떻게 지내? - 더할 나위 없이 아주 최고지!</t>
        </is>
      </c>
      <c r="H417" s="9">
        <f>HYPERLINK("https://www.youtube.com/watch?v=gA4OSs3w5Mw", "영상 보기 ▶")</f>
        <v/>
      </c>
    </row>
    <row r="418" ht="26" customHeight="1">
      <c r="A418" s="2" t="n">
        <v>417</v>
      </c>
      <c r="B418" s="3" t="inlineStr">
        <is>
          <t>총정리 9탄</t>
        </is>
      </c>
      <c r="C418" s="3" t="inlineStr">
        <is>
          <t>최악의 상태</t>
        </is>
      </c>
      <c r="D418" s="4" t="inlineStr">
        <is>
          <t>Couldn't be worse</t>
        </is>
      </c>
      <c r="E418" s="11" t="inlineStr">
        <is>
          <t>더 나쁠 수가 없을 만큼 최악이야</t>
        </is>
      </c>
      <c r="F418" s="11" t="inlineStr">
        <is>
          <t>The timing couldn't be worse.</t>
        </is>
      </c>
      <c r="G418" s="11" t="inlineStr">
        <is>
          <t>타이밍이 이보다 더 최악일 수는 없어.</t>
        </is>
      </c>
      <c r="H418" s="5">
        <f>HYPERLINK("https://www.youtube.com/watch?v=gA4OSs3w5Mw", "영상 보기 ▶")</f>
        <v/>
      </c>
    </row>
    <row r="419" ht="26" customHeight="1">
      <c r="A419" s="6" t="n">
        <v>418</v>
      </c>
      <c r="B419" s="7" t="inlineStr">
        <is>
          <t>총정리 9탄</t>
        </is>
      </c>
      <c r="C419" s="7" t="inlineStr">
        <is>
          <t>위로 격언</t>
        </is>
      </c>
      <c r="D419" s="8" t="inlineStr">
        <is>
          <t>This, too, shall pass</t>
        </is>
      </c>
      <c r="E419" s="12" t="inlineStr">
        <is>
          <t>(힘든 시기에) 이 또한 다 지나가리라</t>
        </is>
      </c>
      <c r="F419" s="12" t="inlineStr">
        <is>
          <t>Stay strong. This, too, shall pass.</t>
        </is>
      </c>
      <c r="G419" s="12" t="inlineStr">
        <is>
          <t>힘내. 이 힘든 시간 또한 다 지나갈 거야.</t>
        </is>
      </c>
      <c r="H419" s="9">
        <f>HYPERLINK("https://www.youtube.com/watch?v=gA4OSs3w5Mw", "영상 보기 ▶")</f>
        <v/>
      </c>
    </row>
    <row r="420" ht="26" customHeight="1">
      <c r="A420" s="2" t="n">
        <v>419</v>
      </c>
      <c r="B420" s="3" t="inlineStr">
        <is>
          <t>총정리 9탄</t>
        </is>
      </c>
      <c r="C420" s="3" t="inlineStr">
        <is>
          <t>안도 표현</t>
        </is>
      </c>
      <c r="D420" s="4" t="inlineStr">
        <is>
          <t>Could be worse</t>
        </is>
      </c>
      <c r="E420" s="11" t="inlineStr">
        <is>
          <t>이만하길 다행이지 (더 나빴을 수도 있었어)</t>
        </is>
      </c>
      <c r="F420" s="11" t="inlineStr">
        <is>
          <t>We lost the file, but could be worse.</t>
        </is>
      </c>
      <c r="G420" s="11" t="inlineStr">
        <is>
          <t>파일을 날리긴 했지만 이만하길 다행이지.</t>
        </is>
      </c>
      <c r="H420" s="5">
        <f>HYPERLINK("https://www.youtube.com/watch?v=gA4OSs3w5Mw", "영상 보기 ▶")</f>
        <v/>
      </c>
    </row>
    <row r="421" ht="26" customHeight="1">
      <c r="A421" s="6" t="n">
        <v>420</v>
      </c>
      <c r="B421" s="7" t="inlineStr">
        <is>
          <t>총정리 9탄</t>
        </is>
      </c>
      <c r="C421" s="7" t="inlineStr">
        <is>
          <t>편한 권유</t>
        </is>
      </c>
      <c r="D421" s="8" t="inlineStr">
        <is>
          <t>Don't be shy</t>
        </is>
      </c>
      <c r="E421" s="12" t="inlineStr">
        <is>
          <t>눈치 보지 말고 편히 드세요/하세요</t>
        </is>
      </c>
      <c r="F421" s="12" t="inlineStr">
        <is>
          <t>There's plenty of food, don't be shy!</t>
        </is>
      </c>
      <c r="G421" s="12" t="inlineStr">
        <is>
          <t>음식 많으니까 눈치 보지 말고 편하게 맘껏 드세요!</t>
        </is>
      </c>
      <c r="H421" s="9">
        <f>HYPERLINK("https://www.youtube.com/watch?v=gA4OSs3w5Mw", "영상 보기 ▶")</f>
        <v/>
      </c>
    </row>
    <row r="422" ht="26" customHeight="1">
      <c r="A422" s="2" t="n">
        <v>421</v>
      </c>
      <c r="B422" s="3" t="inlineStr">
        <is>
          <t>총정리 9탄</t>
        </is>
      </c>
      <c r="C422" s="3" t="inlineStr">
        <is>
          <t>참신함</t>
        </is>
      </c>
      <c r="D422" s="4" t="inlineStr">
        <is>
          <t>novel</t>
        </is>
      </c>
      <c r="E422" s="11" t="inlineStr">
        <is>
          <t>기존에 없던 참신하고 독창적인</t>
        </is>
      </c>
      <c r="F422" s="11" t="inlineStr">
        <is>
          <t>She suggested a novel approach to the problem.</t>
        </is>
      </c>
      <c r="G422" s="11" t="inlineStr">
        <is>
          <t>그녀는 그 문제에 대해 아주 참신한 접근법을 제안했어.</t>
        </is>
      </c>
      <c r="H422" s="5">
        <f>HYPERLINK("https://www.youtube.com/watch?v=gA4OSs3w5Mw", "영상 보기 ▶")</f>
        <v/>
      </c>
    </row>
    <row r="423" ht="26" customHeight="1">
      <c r="A423" s="6" t="n">
        <v>422</v>
      </c>
      <c r="B423" s="7" t="inlineStr">
        <is>
          <t>총정리 9탄</t>
        </is>
      </c>
      <c r="C423" s="7" t="inlineStr">
        <is>
          <t>겸손 유머</t>
        </is>
      </c>
      <c r="D423" s="8" t="inlineStr">
        <is>
          <t>I have my moments</t>
        </is>
      </c>
      <c r="E423" s="12" t="inlineStr">
        <is>
          <t>나도 가끔은 밥값 해 / 잘할 때도 있어</t>
        </is>
      </c>
      <c r="F423" s="12" t="inlineStr">
        <is>
          <t>You solved it! - Well, I have my moments.</t>
        </is>
      </c>
      <c r="G423" s="12" t="inlineStr">
        <is>
          <t>네가 풀었어? - 하하, 나도 가끔은 제 몫을 한다니까.</t>
        </is>
      </c>
      <c r="H423" s="9">
        <f>HYPERLINK("https://www.youtube.com/watch?v=gA4OSs3w5Mw", "영상 보기 ▶")</f>
        <v/>
      </c>
    </row>
    <row r="424" ht="26" customHeight="1">
      <c r="A424" s="2" t="n">
        <v>423</v>
      </c>
      <c r="B424" s="3" t="inlineStr">
        <is>
          <t>총정리 9탄</t>
        </is>
      </c>
      <c r="C424" s="3" t="inlineStr">
        <is>
          <t>가벼운 핀잔</t>
        </is>
      </c>
      <c r="D424" s="4" t="inlineStr">
        <is>
          <t>silly</t>
        </is>
      </c>
      <c r="E424" s="11" t="inlineStr">
        <is>
          <t>엉뚱한, 쓸데없는 걱정을 하는</t>
        </is>
      </c>
      <c r="F424" s="11" t="inlineStr">
        <is>
          <t>Don't be silly, of course you're invited.</t>
        </is>
      </c>
      <c r="G424" s="11" t="inlineStr">
        <is>
          <t>쓸데없는 소리 하지 마, 당연히 너도 초대받았지.</t>
        </is>
      </c>
      <c r="H424" s="5">
        <f>HYPERLINK("https://www.youtube.com/watch?v=gA4OSs3w5Mw", "영상 보기 ▶")</f>
        <v/>
      </c>
    </row>
    <row r="425" ht="26" customHeight="1">
      <c r="A425" s="6" t="n">
        <v>424</v>
      </c>
      <c r="B425" s="7" t="inlineStr">
        <is>
          <t>총정리 9탄</t>
        </is>
      </c>
      <c r="C425" s="7" t="inlineStr">
        <is>
          <t>기획/조율</t>
        </is>
      </c>
      <c r="D425" s="8" t="inlineStr">
        <is>
          <t>orchestrate</t>
        </is>
      </c>
      <c r="E425" s="12" t="inlineStr">
        <is>
          <t>(배후에서 치밀하게) 조율하고 기획하다</t>
        </is>
      </c>
      <c r="F425" s="12" t="inlineStr">
        <is>
          <t>She orchestrated the entire marketing campaign.</t>
        </is>
      </c>
      <c r="G425" s="12" t="inlineStr">
        <is>
          <t>그녀가 마케팅 캠페인 전체를 총괄 기획했어.</t>
        </is>
      </c>
      <c r="H425" s="9">
        <f>HYPERLINK("https://www.youtube.com/watch?v=gA4OSs3w5Mw", "영상 보기 ▶")</f>
        <v/>
      </c>
    </row>
    <row r="426" ht="26" customHeight="1">
      <c r="A426" s="2" t="n">
        <v>425</v>
      </c>
      <c r="B426" s="3" t="inlineStr">
        <is>
          <t>총정리 9탄</t>
        </is>
      </c>
      <c r="C426" s="3" t="inlineStr">
        <is>
          <t>즉각 생각</t>
        </is>
      </c>
      <c r="D426" s="4" t="inlineStr">
        <is>
          <t>off the top of my head</t>
        </is>
      </c>
      <c r="E426" s="11" t="inlineStr">
        <is>
          <t>지금 당장 머릿속에 떠오르는 생각으로는</t>
        </is>
      </c>
      <c r="F426" s="11" t="inlineStr">
        <is>
          <t>Off the top of my head, I think it costs $50.</t>
        </is>
      </c>
      <c r="G426" s="11" t="inlineStr">
        <is>
          <t>지금 당장 기억나는 바로는 50달러 정도 했던 것 같아.</t>
        </is>
      </c>
      <c r="H426" s="5">
        <f>HYPERLINK("https://www.youtube.com/watch?v=gA4OSs3w5Mw", "영상 보기 ▶")</f>
        <v/>
      </c>
    </row>
    <row r="427" ht="26" customHeight="1">
      <c r="A427" s="6" t="n">
        <v>426</v>
      </c>
      <c r="B427" s="7" t="inlineStr">
        <is>
          <t>총정리 9탄</t>
        </is>
      </c>
      <c r="C427" s="7" t="inlineStr">
        <is>
          <t>사소한 차질</t>
        </is>
      </c>
      <c r="D427" s="8" t="inlineStr">
        <is>
          <t>hiccup</t>
        </is>
      </c>
      <c r="E427" s="12" t="inlineStr">
        <is>
          <t>일시적인 작은 차질, 가벼운 장애</t>
        </is>
      </c>
      <c r="F427" s="12" t="inlineStr">
        <is>
          <t>We had a small technical hiccup, but it's fixed.</t>
        </is>
      </c>
      <c r="G427" s="12" t="inlineStr">
        <is>
          <t>약간의 기술적 차질이 있었지만 지금은 해결됐어요.</t>
        </is>
      </c>
      <c r="H427" s="9">
        <f>HYPERLINK("https://www.youtube.com/watch?v=gA4OSs3w5Mw", "영상 보기 ▶")</f>
        <v/>
      </c>
    </row>
    <row r="428" ht="26" customHeight="1">
      <c r="A428" s="2" t="n">
        <v>427</v>
      </c>
      <c r="B428" s="3" t="inlineStr">
        <is>
          <t>총정리 9탄</t>
        </is>
      </c>
      <c r="C428" s="3" t="inlineStr">
        <is>
          <t>위태로움</t>
        </is>
      </c>
      <c r="D428" s="4" t="inlineStr">
        <is>
          <t>on the line</t>
        </is>
      </c>
      <c r="E428" s="11" t="inlineStr">
        <is>
          <t>(명예, 직업 등이) 위험에 처한, 걸려 있는</t>
        </is>
      </c>
      <c r="F428" s="11" t="inlineStr">
        <is>
          <t>My reputation is on the line here.</t>
        </is>
      </c>
      <c r="G428" s="11" t="inlineStr">
        <is>
          <t>여기 내 명예가 걸려 있단 말이야.</t>
        </is>
      </c>
      <c r="H428" s="5">
        <f>HYPERLINK("https://www.youtube.com/watch?v=gA4OSs3w5Mw", "영상 보기 ▶")</f>
        <v/>
      </c>
    </row>
    <row r="429" ht="26" customHeight="1">
      <c r="A429" s="6" t="n">
        <v>428</v>
      </c>
      <c r="B429" s="7" t="inlineStr">
        <is>
          <t>총정리 9탄</t>
        </is>
      </c>
      <c r="C429" s="7" t="inlineStr">
        <is>
          <t>이해 점검</t>
        </is>
      </c>
      <c r="D429" s="8" t="inlineStr">
        <is>
          <t>Let me get this straight</t>
        </is>
      </c>
      <c r="E429" s="12" t="inlineStr">
        <is>
          <t>제가 제대로 이해한 게 맞는지 짚어볼게요</t>
        </is>
      </c>
      <c r="F429" s="12" t="inlineStr">
        <is>
          <t>Let me get this straight, you want me to cancel it?</t>
        </is>
      </c>
      <c r="G429" s="12" t="inlineStr">
        <is>
          <t>제가 정확히 이해한 게 맞나요, 제가 취소하길 바라시는 건가요?</t>
        </is>
      </c>
      <c r="H429" s="9">
        <f>HYPERLINK("https://www.youtube.com/watch?v=gA4OSs3w5Mw", "영상 보기 ▶")</f>
        <v/>
      </c>
    </row>
    <row r="430" ht="26" customHeight="1">
      <c r="A430" s="2" t="n">
        <v>429</v>
      </c>
      <c r="B430" s="3" t="inlineStr">
        <is>
          <t>총정리 9탄</t>
        </is>
      </c>
      <c r="C430" s="3" t="inlineStr">
        <is>
          <t>소중함</t>
        </is>
      </c>
      <c r="D430" s="4" t="inlineStr">
        <is>
          <t>value</t>
        </is>
      </c>
      <c r="E430" s="11" t="inlineStr">
        <is>
          <t>~를 대단히 소중히 여기다, 귀하게 생각하다</t>
        </is>
      </c>
      <c r="F430" s="11" t="inlineStr">
        <is>
          <t>We value your partnership very much.</t>
        </is>
      </c>
      <c r="G430" s="11" t="inlineStr">
        <is>
          <t>우리는 당신과의 협력 관계를 매우 소중하게 여깁니다.</t>
        </is>
      </c>
      <c r="H430" s="5">
        <f>HYPERLINK("https://www.youtube.com/watch?v=gA4OSs3w5Mw", "영상 보기 ▶")</f>
        <v/>
      </c>
    </row>
    <row r="431" ht="26" customHeight="1">
      <c r="A431" s="6" t="n">
        <v>430</v>
      </c>
      <c r="B431" s="7" t="inlineStr">
        <is>
          <t>총정리 9탄</t>
        </is>
      </c>
      <c r="C431" s="7" t="inlineStr">
        <is>
          <t>실수 배려</t>
        </is>
      </c>
      <c r="D431" s="8" t="inlineStr">
        <is>
          <t>honest mistake</t>
        </is>
      </c>
      <c r="E431" s="12" t="inlineStr">
        <is>
          <t>누구나 할 수 있는 순수한 실수</t>
        </is>
      </c>
      <c r="F431" s="12" t="inlineStr">
        <is>
          <t>It was an honest mistake, so don't worry.</t>
        </is>
      </c>
      <c r="G431" s="12" t="inlineStr">
        <is>
          <t>일부러 그런 게 아닌 순수한 실수였으니 걱정 마.</t>
        </is>
      </c>
      <c r="H431" s="9">
        <f>HYPERLINK("https://www.youtube.com/watch?v=gA4OSs3w5Mw", "영상 보기 ▶")</f>
        <v/>
      </c>
    </row>
    <row r="432" ht="26" customHeight="1">
      <c r="A432" s="2" t="n">
        <v>431</v>
      </c>
      <c r="B432" s="3" t="inlineStr">
        <is>
          <t>총정리 9탄</t>
        </is>
      </c>
      <c r="C432" s="3" t="inlineStr">
        <is>
          <t>선의 강조</t>
        </is>
      </c>
      <c r="D432" s="4" t="inlineStr">
        <is>
          <t>mean well</t>
        </is>
      </c>
      <c r="E432" s="11" t="inlineStr">
        <is>
          <t>의도는 좋았다, 선의를 가지고 행동하다</t>
        </is>
      </c>
      <c r="F432" s="11" t="inlineStr">
        <is>
          <t>He can be blunt, but he means well.</t>
        </is>
      </c>
      <c r="G432" s="11" t="inlineStr">
        <is>
          <t>그가 말이 좀 직설적이긴 해도 나쁜 뜻으로 그런 건 아니야.</t>
        </is>
      </c>
      <c r="H432" s="5">
        <f>HYPERLINK("https://www.youtube.com/watch?v=gA4OSs3w5Mw", "영상 보기 ▶")</f>
        <v/>
      </c>
    </row>
    <row r="433" ht="26" customHeight="1">
      <c r="A433" s="6" t="n">
        <v>432</v>
      </c>
      <c r="B433" s="7" t="inlineStr">
        <is>
          <t>총정리 9탄</t>
        </is>
      </c>
      <c r="C433" s="7" t="inlineStr">
        <is>
          <t>진지 전환</t>
        </is>
      </c>
      <c r="D433" s="8" t="inlineStr">
        <is>
          <t>All jokes aside,</t>
        </is>
      </c>
      <c r="E433" s="12" t="inlineStr">
        <is>
          <t>농담은 다 제쳐두고, 진지하게 말해서</t>
        </is>
      </c>
      <c r="F433" s="12" t="inlineStr">
        <is>
          <t>All jokes aside, we have a serious issue to discuss.</t>
        </is>
      </c>
      <c r="G433" s="12" t="inlineStr">
        <is>
          <t>농담은 다 접어두고, 우리 진지하게 의논할 사안이 있어.</t>
        </is>
      </c>
      <c r="H433" s="9">
        <f>HYPERLINK("https://www.youtube.com/watch?v=gA4OSs3w5Mw", "영상 보기 ▶")</f>
        <v/>
      </c>
    </row>
    <row r="434" ht="26" customHeight="1">
      <c r="A434" s="2" t="n">
        <v>433</v>
      </c>
      <c r="B434" s="3" t="inlineStr">
        <is>
          <t>총정리 9탄</t>
        </is>
      </c>
      <c r="C434" s="3" t="inlineStr">
        <is>
          <t>간과/용서</t>
        </is>
      </c>
      <c r="D434" s="4" t="inlineStr">
        <is>
          <t>overlook</t>
        </is>
      </c>
      <c r="E434" s="11" t="inlineStr">
        <is>
          <t>못 본 체 넘어가 주다, 간과하다</t>
        </is>
      </c>
      <c r="F434" s="11" t="inlineStr">
        <is>
          <t>Can you overlook his mistake just this once?</t>
        </is>
      </c>
      <c r="G434" s="11" t="inlineStr">
        <is>
          <t>이번 딱 한 번만 그의 실수를 눈감아 주실 수 있나요?</t>
        </is>
      </c>
      <c r="H434" s="5">
        <f>HYPERLINK("https://www.youtube.com/watch?v=gA4OSs3w5Mw", "영상 보기 ▶")</f>
        <v/>
      </c>
    </row>
    <row r="435" ht="26" customHeight="1">
      <c r="A435" s="6" t="n">
        <v>434</v>
      </c>
      <c r="B435" s="7" t="inlineStr">
        <is>
          <t>총정리 9탄</t>
        </is>
      </c>
      <c r="C435" s="7" t="inlineStr">
        <is>
          <t>공동 운명</t>
        </is>
      </c>
      <c r="D435" s="8" t="inlineStr">
        <is>
          <t>in the same boat</t>
        </is>
      </c>
      <c r="E435" s="12" t="inlineStr">
        <is>
          <t>한 배를 탄 처지이다, 같은 어려움에 처하다</t>
        </is>
      </c>
      <c r="F435" s="12" t="inlineStr">
        <is>
          <t>We are all in the same boat now.</t>
        </is>
      </c>
      <c r="G435" s="12" t="inlineStr">
        <is>
          <t>우린 이제 모두 한 배를 탄 공동 운명체야.</t>
        </is>
      </c>
      <c r="H435" s="9">
        <f>HYPERLINK("https://www.youtube.com/watch?v=gA4OSs3w5Mw", "영상 보기 ▶")</f>
        <v/>
      </c>
    </row>
    <row r="436" ht="26" customHeight="1">
      <c r="A436" s="2" t="n">
        <v>435</v>
      </c>
      <c r="B436" s="3" t="inlineStr">
        <is>
          <t>총정리 9탄</t>
        </is>
      </c>
      <c r="C436" s="3" t="inlineStr">
        <is>
          <t>상호 반대</t>
        </is>
      </c>
      <c r="D436" s="4" t="inlineStr">
        <is>
          <t>vice versa</t>
        </is>
      </c>
      <c r="E436" s="11" t="inlineStr">
        <is>
          <t>역도 마찬가지이다, 반대의 경우도 성립한다</t>
        </is>
      </c>
      <c r="F436" s="11" t="inlineStr">
        <is>
          <t>He trusts me, and vice versa.</t>
        </is>
      </c>
      <c r="G436" s="11" t="inlineStr">
        <is>
          <t>그는 날 믿고, 나 또한 그를 믿어.</t>
        </is>
      </c>
      <c r="H436" s="5">
        <f>HYPERLINK("https://www.youtube.com/watch?v=gA4OSs3w5Mw", "영상 보기 ▶")</f>
        <v/>
      </c>
    </row>
    <row r="437" ht="26" customHeight="1">
      <c r="A437" s="6" t="n">
        <v>436</v>
      </c>
      <c r="B437" s="7" t="inlineStr">
        <is>
          <t>총정리 9탄</t>
        </is>
      </c>
      <c r="C437" s="7" t="inlineStr">
        <is>
          <t>형식주의</t>
        </is>
      </c>
      <c r="D437" s="8" t="inlineStr">
        <is>
          <t>formality</t>
        </is>
      </c>
      <c r="E437" s="12" t="inlineStr">
        <is>
          <t>단순히 형식적인 절차</t>
        </is>
      </c>
      <c r="F437" s="12" t="inlineStr">
        <is>
          <t>Signing the paper is just a formality.</t>
        </is>
      </c>
      <c r="G437" s="12" t="inlineStr">
        <is>
          <t>서류 서명은 그저 형식적인 절차일 뿐이에요.</t>
        </is>
      </c>
      <c r="H437" s="9">
        <f>HYPERLINK("https://www.youtube.com/watch?v=gA4OSs3w5Mw", "영상 보기 ▶")</f>
        <v/>
      </c>
    </row>
    <row r="438" ht="26" customHeight="1">
      <c r="A438" s="2" t="n">
        <v>437</v>
      </c>
      <c r="B438" s="3" t="inlineStr">
        <is>
          <t>총정리 9탄</t>
        </is>
      </c>
      <c r="C438" s="3" t="inlineStr">
        <is>
          <t>미련 금지</t>
        </is>
      </c>
      <c r="D438" s="4" t="inlineStr">
        <is>
          <t>Don't dwell on it</t>
        </is>
      </c>
      <c r="E438" s="11" t="inlineStr">
        <is>
          <t>마음에 담아두지 마, 자꾸 되새기지 마</t>
        </is>
      </c>
      <c r="F438" s="11" t="inlineStr">
        <is>
          <t>What's done is done, don't dwell on it.</t>
        </is>
      </c>
      <c r="G438" s="11" t="inlineStr">
        <is>
          <t>이미 벌어진 일이야, 자꾸 마음에 담아두지 마.</t>
        </is>
      </c>
      <c r="H438" s="5">
        <f>HYPERLINK("https://www.youtube.com/watch?v=gA4OSs3w5Mw", "영상 보기 ▶")</f>
        <v/>
      </c>
    </row>
    <row r="439" ht="26" customHeight="1">
      <c r="A439" s="6" t="n">
        <v>438</v>
      </c>
      <c r="B439" s="7" t="inlineStr">
        <is>
          <t>총정리 9탄</t>
        </is>
      </c>
      <c r="C439" s="7" t="inlineStr">
        <is>
          <t>기분 전환</t>
        </is>
      </c>
      <c r="D439" s="8" t="inlineStr">
        <is>
          <t>Don't let it ruin your day</t>
        </is>
      </c>
      <c r="E439" s="12" t="inlineStr">
        <is>
          <t>그것 때문에 하루 기분 망치지 마</t>
        </is>
      </c>
      <c r="F439" s="12" t="inlineStr">
        <is>
          <t>It's minor, don't let it ruin your day.</t>
        </is>
      </c>
      <c r="G439" s="12" t="inlineStr">
        <is>
          <t>사소한 일이야, 그것 때문에 하루 기분 잡치지 마.</t>
        </is>
      </c>
      <c r="H439" s="9">
        <f>HYPERLINK("https://www.youtube.com/watch?v=gA4OSs3w5Mw", "영상 보기 ▶")</f>
        <v/>
      </c>
    </row>
    <row r="440" ht="26" customHeight="1">
      <c r="A440" s="2" t="n">
        <v>439</v>
      </c>
      <c r="B440" s="3" t="inlineStr">
        <is>
          <t>총정리 9탄</t>
        </is>
      </c>
      <c r="C440" s="3" t="inlineStr">
        <is>
          <t>타이밍 부적절</t>
        </is>
      </c>
      <c r="D440" s="4" t="inlineStr">
        <is>
          <t>Now is not the time</t>
        </is>
      </c>
      <c r="E440" s="11" t="inlineStr">
        <is>
          <t>지금은 그럴 때가 아니야</t>
        </is>
      </c>
      <c r="F440" s="11" t="inlineStr">
        <is>
          <t>Now is not the time to argue.</t>
        </is>
      </c>
      <c r="G440" s="11" t="inlineStr">
        <is>
          <t>지금은 서로 다투고 있을 때가 아니야.</t>
        </is>
      </c>
      <c r="H440" s="5">
        <f>HYPERLINK("https://www.youtube.com/watch?v=gA4OSs3w5Mw", "영상 보기 ▶")</f>
        <v/>
      </c>
    </row>
    <row r="441" ht="26" customHeight="1">
      <c r="A441" s="6" t="n">
        <v>440</v>
      </c>
      <c r="B441" s="7" t="inlineStr">
        <is>
          <t>총정리 9탄</t>
        </is>
      </c>
      <c r="C441" s="7" t="inlineStr">
        <is>
          <t>책임 전가</t>
        </is>
      </c>
      <c r="D441" s="8" t="inlineStr">
        <is>
          <t>point fingers</t>
        </is>
      </c>
      <c r="E441" s="12" t="inlineStr">
        <is>
          <t>남 탓을 하다, 책임을 전가하다</t>
        </is>
      </c>
      <c r="F441" s="12" t="inlineStr">
        <is>
          <t>Instead of pointing fingers, let's find a solution.</t>
        </is>
      </c>
      <c r="G441" s="12" t="inlineStr">
        <is>
          <t>남 탓만 하지 말고 해결책을 찾읍시다.</t>
        </is>
      </c>
      <c r="H441" s="9">
        <f>HYPERLINK("https://www.youtube.com/watch?v=gA4OSs3w5Mw", "영상 보기 ▶")</f>
        <v/>
      </c>
    </row>
    <row r="442" ht="26" customHeight="1">
      <c r="A442" s="2" t="n">
        <v>441</v>
      </c>
      <c r="B442" s="3" t="inlineStr">
        <is>
          <t>총정리 9탄</t>
        </is>
      </c>
      <c r="C442" s="3" t="inlineStr">
        <is>
          <t>당연한 시점</t>
        </is>
      </c>
      <c r="D442" s="4" t="inlineStr">
        <is>
          <t>It's about time</t>
        </is>
      </c>
      <c r="E442" s="11" t="inlineStr">
        <is>
          <t>진작에 그랬어야지 / 이제야 때가 됐네</t>
        </is>
      </c>
      <c r="F442" s="11" t="inlineStr">
        <is>
          <t>You apologized? It's about time!</t>
        </is>
      </c>
      <c r="G442" s="11" t="inlineStr">
        <is>
          <t>사과했어? 진작에 그랬어야지!</t>
        </is>
      </c>
      <c r="H442" s="5">
        <f>HYPERLINK("https://www.youtube.com/watch?v=gA4OSs3w5Mw", "영상 보기 ▶")</f>
        <v/>
      </c>
    </row>
    <row r="443" ht="26" customHeight="1">
      <c r="A443" s="6" t="n">
        <v>442</v>
      </c>
      <c r="B443" s="7" t="inlineStr">
        <is>
          <t>총정리 9탄</t>
        </is>
      </c>
      <c r="C443" s="7" t="inlineStr">
        <is>
          <t>결론 요약</t>
        </is>
      </c>
      <c r="D443" s="8" t="inlineStr">
        <is>
          <t>At the end of the day,</t>
        </is>
      </c>
      <c r="E443" s="12" t="inlineStr">
        <is>
          <t>결국, 하루를 결산하며 따져보면</t>
        </is>
      </c>
      <c r="F443" s="12" t="inlineStr">
        <is>
          <t>At the end of the day, quality matters most.</t>
        </is>
      </c>
      <c r="G443" s="12" t="inlineStr">
        <is>
          <t>결국 따지고 보면 품질이 가장 중요한 법이야.</t>
        </is>
      </c>
      <c r="H443" s="9">
        <f>HYPERLINK("https://www.youtube.com/watch?v=gA4OSs3w5Mw", "영상 보기 ▶")</f>
        <v/>
      </c>
    </row>
    <row r="444" ht="26" customHeight="1">
      <c r="A444" s="2" t="n">
        <v>443</v>
      </c>
      <c r="B444" s="3" t="inlineStr">
        <is>
          <t>총정리 9탄</t>
        </is>
      </c>
      <c r="C444" s="3" t="inlineStr">
        <is>
          <t>건배 제의</t>
        </is>
      </c>
      <c r="D444" s="4" t="inlineStr">
        <is>
          <t>Here's to ~</t>
        </is>
      </c>
      <c r="E444" s="11" t="inlineStr">
        <is>
          <t>~를 위하여! (건배사)</t>
        </is>
      </c>
      <c r="F444" s="11" t="inlineStr">
        <is>
          <t>Here's to our new partnership!</t>
        </is>
      </c>
      <c r="G444" s="11" t="inlineStr">
        <is>
          <t>우리의 새로운 파트너십을 위하여 건배!</t>
        </is>
      </c>
      <c r="H444" s="5">
        <f>HYPERLINK("https://www.youtube.com/watch?v=gA4OSs3w5Mw", "영상 보기 ▶")</f>
        <v/>
      </c>
    </row>
    <row r="445" ht="26" customHeight="1">
      <c r="A445" s="6" t="n">
        <v>444</v>
      </c>
      <c r="B445" s="7" t="inlineStr">
        <is>
          <t>총정리 9탄</t>
        </is>
      </c>
      <c r="C445" s="7" t="inlineStr">
        <is>
          <t>맨정신</t>
        </is>
      </c>
      <c r="D445" s="8" t="inlineStr">
        <is>
          <t>sober</t>
        </is>
      </c>
      <c r="E445" s="12" t="inlineStr">
        <is>
          <t>술에 취하지 않은, 맑은 정신의</t>
        </is>
      </c>
      <c r="F445" s="12" t="inlineStr">
        <is>
          <t>Are you sober enough to drive?</t>
        </is>
      </c>
      <c r="G445" s="12" t="inlineStr">
        <is>
          <t>운전할 수 있을 만큼 맨정신이야?</t>
        </is>
      </c>
      <c r="H445" s="9">
        <f>HYPERLINK("https://www.youtube.com/watch?v=gA4OSs3w5Mw", "영상 보기 ▶")</f>
        <v/>
      </c>
    </row>
    <row r="446" ht="26" customHeight="1">
      <c r="A446" s="2" t="n">
        <v>445</v>
      </c>
      <c r="B446" s="3" t="inlineStr">
        <is>
          <t>총정리 9탄</t>
        </is>
      </c>
      <c r="C446" s="3" t="inlineStr">
        <is>
          <t>취기 상태</t>
        </is>
      </c>
      <c r="D446" s="4" t="inlineStr">
        <is>
          <t>tipsy</t>
        </is>
      </c>
      <c r="E446" s="11" t="inlineStr">
        <is>
          <t>술기운이 알딸딸하게 올라온</t>
        </is>
      </c>
      <c r="F446" s="11" t="inlineStr">
        <is>
          <t>I had one cocktail and I'm already tipsy.</t>
        </is>
      </c>
      <c r="G446" s="11" t="inlineStr">
        <is>
          <t>칵테일 한 잔 마셨는데 벌써 알딸딸해.</t>
        </is>
      </c>
      <c r="H446" s="5">
        <f>HYPERLINK("https://www.youtube.com/watch?v=gA4OSs3w5Mw", "영상 보기 ▶")</f>
        <v/>
      </c>
    </row>
    <row r="447" ht="26" customHeight="1">
      <c r="A447" s="6" t="n">
        <v>446</v>
      </c>
      <c r="B447" s="7" t="inlineStr">
        <is>
          <t>총정리 9탄</t>
        </is>
      </c>
      <c r="C447" s="7" t="inlineStr">
        <is>
          <t>음료 매너</t>
        </is>
      </c>
      <c r="D447" s="8" t="inlineStr">
        <is>
          <t>Say when</t>
        </is>
      </c>
      <c r="E447" s="12" t="inlineStr">
        <is>
          <t>(술/음료를 따라주며) 적당할 때 그만이라고 말해</t>
        </is>
      </c>
      <c r="F447" s="12" t="inlineStr">
        <is>
          <t>Let me pour you some wine, say when!</t>
        </is>
      </c>
      <c r="G447" s="12" t="inlineStr">
        <is>
          <t>와인 좀 따라줄게, 적당할 때 그만이라고 말해줘!</t>
        </is>
      </c>
      <c r="H447" s="9">
        <f>HYPERLINK("https://www.youtube.com/watch?v=gA4OSs3w5Mw", "영상 보기 ▶")</f>
        <v/>
      </c>
    </row>
    <row r="448" ht="26" customHeight="1">
      <c r="A448" s="2" t="n">
        <v>447</v>
      </c>
      <c r="B448" s="3" t="inlineStr">
        <is>
          <t>총정리 9탄</t>
        </is>
      </c>
      <c r="C448" s="3" t="inlineStr">
        <is>
          <t>나이 체중</t>
        </is>
      </c>
      <c r="D448" s="4" t="inlineStr">
        <is>
          <t>gain weight as you get older</t>
        </is>
      </c>
      <c r="E448" s="11" t="inlineStr">
        <is>
          <t>나이가 들면서 자연스레 나잇살이 찌다</t>
        </is>
      </c>
      <c r="F448" s="11" t="inlineStr">
        <is>
          <t>It's easy to gain weight as you get older.</t>
        </is>
      </c>
      <c r="G448" s="11" t="inlineStr">
        <is>
          <t>나이가 들수록 나잇살이 찌기 쉬워.</t>
        </is>
      </c>
      <c r="H448" s="5">
        <f>HYPERLINK("https://www.youtube.com/watch?v=gA4OSs3w5Mw", "영상 보기 ▶")</f>
        <v/>
      </c>
    </row>
    <row r="449" ht="26" customHeight="1">
      <c r="A449" s="6" t="n">
        <v>448</v>
      </c>
      <c r="B449" s="7" t="inlineStr">
        <is>
          <t>총정리 9탄</t>
        </is>
      </c>
      <c r="C449" s="7" t="inlineStr">
        <is>
          <t>흥미진진 책</t>
        </is>
      </c>
      <c r="D449" s="8" t="inlineStr">
        <is>
          <t>page-turner</t>
        </is>
      </c>
      <c r="E449" s="12" t="inlineStr">
        <is>
          <t>손에서 놓을 수 없을 만큼 흥미진진한 책</t>
        </is>
      </c>
      <c r="F449" s="12" t="inlineStr">
        <is>
          <t>This mystery novel is a real page-turner.</t>
        </is>
      </c>
      <c r="G449" s="12" t="inlineStr">
        <is>
          <t>이 추리소설은 정말 손에서 뗄 수 없이 흥미진진해.</t>
        </is>
      </c>
      <c r="H449" s="9">
        <f>HYPERLINK("https://www.youtube.com/watch?v=gA4OSs3w5Mw", "영상 보기 ▶")</f>
        <v/>
      </c>
    </row>
    <row r="450" ht="26" customHeight="1">
      <c r="A450" s="2" t="n">
        <v>449</v>
      </c>
      <c r="B450" s="3" t="inlineStr">
        <is>
          <t>총정리 9탄</t>
        </is>
      </c>
      <c r="C450" s="3" t="inlineStr">
        <is>
          <t>표현 문형</t>
        </is>
      </c>
      <c r="D450" s="4" t="inlineStr">
        <is>
          <t>one of the + 복수명사</t>
        </is>
      </c>
      <c r="E450" s="11" t="inlineStr">
        <is>
          <t>가장 ~한 것들 중 하나 (단수 동사 수일치)</t>
        </is>
      </c>
      <c r="F450" s="11" t="inlineStr">
        <is>
          <t>He is one of the most dedicated employees.</t>
        </is>
      </c>
      <c r="G450" s="11" t="inlineStr">
        <is>
          <t>그는 우리 회사에서 가장 헌신적인 직원 중 한 명이야.</t>
        </is>
      </c>
      <c r="H450" s="5">
        <f>HYPERLINK("https://www.youtube.com/watch?v=gA4OSs3w5Mw", "영상 보기 ▶")</f>
        <v/>
      </c>
    </row>
    <row r="451" ht="26" customHeight="1">
      <c r="A451" s="6" t="n">
        <v>450</v>
      </c>
      <c r="B451" s="7" t="inlineStr">
        <is>
          <t>총정리 9탄</t>
        </is>
      </c>
      <c r="C451" s="7" t="inlineStr">
        <is>
          <t>공손한 양해</t>
        </is>
      </c>
      <c r="D451" s="8" t="inlineStr">
        <is>
          <t>Is it okay if ~?</t>
        </is>
      </c>
      <c r="E451" s="12" t="inlineStr">
        <is>
          <t>제가 ~해도 괜찮을까요? (허락과 양해)</t>
        </is>
      </c>
      <c r="F451" s="12" t="inlineStr">
        <is>
          <t>Is it okay if I open the window?</t>
        </is>
      </c>
      <c r="G451" s="12" t="inlineStr">
        <is>
          <t>창문 좀 열어도 괜찮을까요?</t>
        </is>
      </c>
      <c r="H451" s="9">
        <f>HYPERLINK("https://www.youtube.com/watch?v=gA4OSs3w5Mw", "영상 보기 ▶")</f>
        <v/>
      </c>
    </row>
    <row r="452" ht="26" customHeight="1">
      <c r="A452" s="2" t="n">
        <v>451</v>
      </c>
      <c r="B452" s="3" t="inlineStr">
        <is>
          <t>총정리 10탄</t>
        </is>
      </c>
      <c r="C452" s="3" t="inlineStr">
        <is>
          <t>주제넘음</t>
        </is>
      </c>
      <c r="D452" s="4" t="inlineStr">
        <is>
          <t>It's not my place</t>
        </is>
      </c>
      <c r="E452" s="11" t="inlineStr">
        <is>
          <t>내가 나설 자리가 아니야, 참견할 입장이 아냐</t>
        </is>
      </c>
      <c r="F452" s="11" t="inlineStr">
        <is>
          <t>It's not my place to give relationship advice.</t>
        </is>
      </c>
      <c r="G452" s="11" t="inlineStr">
        <is>
          <t>연애 문제에 내가 왈가왈부 참견할 입장은 아니야.</t>
        </is>
      </c>
      <c r="H452" s="5">
        <f>HYPERLINK("https://www.youtube.com/watch?v=GA7NIKxDZB4", "영상 보기 ▶")</f>
        <v/>
      </c>
    </row>
    <row r="453" ht="26" customHeight="1">
      <c r="A453" s="6" t="n">
        <v>452</v>
      </c>
      <c r="B453" s="7" t="inlineStr">
        <is>
          <t>총정리 10탄</t>
        </is>
      </c>
      <c r="C453" s="7" t="inlineStr">
        <is>
          <t>화법 전환</t>
        </is>
      </c>
      <c r="D453" s="8" t="inlineStr">
        <is>
          <t>let me put it this way</t>
        </is>
      </c>
      <c r="E453" s="12" t="inlineStr">
        <is>
          <t>이렇게 다른 말로 설명해 볼게</t>
        </is>
      </c>
      <c r="F453" s="12" t="inlineStr">
        <is>
          <t>Let me put it this way, you're on thin ice.</t>
        </is>
      </c>
      <c r="G453" s="12" t="inlineStr">
        <is>
          <t>알기 쉽게 말해주자면 너 지금 살얼음판 걷고 있는 거야.</t>
        </is>
      </c>
      <c r="H453" s="9">
        <f>HYPERLINK("https://www.youtube.com/watch?v=GA7NIKxDZB4", "영상 보기 ▶")</f>
        <v/>
      </c>
    </row>
    <row r="454" ht="26" customHeight="1">
      <c r="A454" s="2" t="n">
        <v>453</v>
      </c>
      <c r="B454" s="3" t="inlineStr">
        <is>
          <t>총정리 10탄</t>
        </is>
      </c>
      <c r="C454" s="3" t="inlineStr">
        <is>
          <t>표현 칭찬</t>
        </is>
      </c>
      <c r="D454" s="4" t="inlineStr">
        <is>
          <t>well put</t>
        </is>
      </c>
      <c r="E454" s="11" t="inlineStr">
        <is>
          <t>말 참 잘했다, 아주 적절하고 멋진 표현이다</t>
        </is>
      </c>
      <c r="F454" s="11" t="inlineStr">
        <is>
          <t>That was very well put, Sarah.</t>
        </is>
      </c>
      <c r="G454" s="11" t="inlineStr">
        <is>
          <t>사라, 정말 적절하고 멋진 표현이었어요.</t>
        </is>
      </c>
      <c r="H454" s="5">
        <f>HYPERLINK("https://www.youtube.com/watch?v=GA7NIKxDZB4", "영상 보기 ▶")</f>
        <v/>
      </c>
    </row>
    <row r="455" ht="26" customHeight="1">
      <c r="A455" s="6" t="n">
        <v>454</v>
      </c>
      <c r="B455" s="7" t="inlineStr">
        <is>
          <t>총정리 10탄</t>
        </is>
      </c>
      <c r="C455" s="7" t="inlineStr">
        <is>
          <t>노력 투입</t>
        </is>
      </c>
      <c r="D455" s="8" t="inlineStr">
        <is>
          <t>put effort into</t>
        </is>
      </c>
      <c r="E455" s="12" t="inlineStr">
        <is>
          <t>~에 성심성의껏 노력과 공을 쏟다</t>
        </is>
      </c>
      <c r="F455" s="12" t="inlineStr">
        <is>
          <t>She put a lot of effort into this presentation.</t>
        </is>
      </c>
      <c r="G455" s="12" t="inlineStr">
        <is>
          <t>그녀는 이번 발표 준비에 정말 많은 공을 들였어.</t>
        </is>
      </c>
      <c r="H455" s="9">
        <f>HYPERLINK("https://www.youtube.com/watch?v=GA7NIKxDZB4", "영상 보기 ▶")</f>
        <v/>
      </c>
    </row>
    <row r="456" ht="26" customHeight="1">
      <c r="A456" s="2" t="n">
        <v>455</v>
      </c>
      <c r="B456" s="3" t="inlineStr">
        <is>
          <t>총정리 10탄</t>
        </is>
      </c>
      <c r="C456" s="3" t="inlineStr">
        <is>
          <t>착용 동사</t>
        </is>
      </c>
      <c r="D456" s="4" t="inlineStr">
        <is>
          <t>put on</t>
        </is>
      </c>
      <c r="E456" s="11" t="inlineStr">
        <is>
          <t>(옷, 신발, 향수 등을) 착용하다, 바르다</t>
        </is>
      </c>
      <c r="F456" s="11" t="inlineStr">
        <is>
          <t>Put on a warm coat, it's cold outside.</t>
        </is>
      </c>
      <c r="G456" s="11" t="inlineStr">
        <is>
          <t>밖에 추우니까 따뜻한 코트 챙겨 입어.</t>
        </is>
      </c>
      <c r="H456" s="5">
        <f>HYPERLINK("https://www.youtube.com/watch?v=GA7NIKxDZB4", "영상 보기 ▶")</f>
        <v/>
      </c>
    </row>
    <row r="457" ht="26" customHeight="1">
      <c r="A457" s="6" t="n">
        <v>456</v>
      </c>
      <c r="B457" s="7" t="inlineStr">
        <is>
          <t>총정리 10탄</t>
        </is>
      </c>
      <c r="C457" s="7" t="inlineStr">
        <is>
          <t>전화 매너</t>
        </is>
      </c>
      <c r="D457" s="8" t="inlineStr">
        <is>
          <t>put (sb) on hold</t>
        </is>
      </c>
      <c r="E457" s="12" t="inlineStr">
        <is>
          <t>(전화 통화 중에) 잠시 대기하게 하다</t>
        </is>
      </c>
      <c r="F457" s="12" t="inlineStr">
        <is>
          <t>Can I put you on hold for a brief moment?</t>
        </is>
      </c>
      <c r="G457" s="12" t="inlineStr">
        <is>
          <t>잠시만 전화 끊지 말고 대기해 주시겠어요?</t>
        </is>
      </c>
      <c r="H457" s="9">
        <f>HYPERLINK("https://www.youtube.com/watch?v=GA7NIKxDZB4", "영상 보기 ▶")</f>
        <v/>
      </c>
    </row>
    <row r="458" ht="26" customHeight="1">
      <c r="A458" s="2" t="n">
        <v>457</v>
      </c>
      <c r="B458" s="3" t="inlineStr">
        <is>
          <t>총정리 10탄</t>
        </is>
      </c>
      <c r="C458" s="3" t="inlineStr">
        <is>
          <t>사전 공유</t>
        </is>
      </c>
      <c r="D458" s="4" t="inlineStr">
        <is>
          <t>Just so you know</t>
        </is>
      </c>
      <c r="E458" s="11" t="inlineStr">
        <is>
          <t>참고로 미리 알려두는데, 귀띔하자면</t>
        </is>
      </c>
      <c r="F458" s="11" t="inlineStr">
        <is>
          <t>Just so you know, the boss is in a bad mood.</t>
        </is>
      </c>
      <c r="G458" s="11" t="inlineStr">
        <is>
          <t>참고로 알아둬, 오늘 부장님 기분 안 좋으셔.</t>
        </is>
      </c>
      <c r="H458" s="5">
        <f>HYPERLINK("https://www.youtube.com/watch?v=GA7NIKxDZB4", "영상 보기 ▶")</f>
        <v/>
      </c>
    </row>
    <row r="459" ht="26" customHeight="1">
      <c r="A459" s="6" t="n">
        <v>458</v>
      </c>
      <c r="B459" s="7" t="inlineStr">
        <is>
          <t>총정리 10탄</t>
        </is>
      </c>
      <c r="C459" s="7" t="inlineStr">
        <is>
          <t>전화 연결</t>
        </is>
      </c>
      <c r="D459" s="8" t="inlineStr">
        <is>
          <t>put (sb) through to</t>
        </is>
      </c>
      <c r="E459" s="12" t="inlineStr">
        <is>
          <t>(전화를 담당자에게) 연결해 주다</t>
        </is>
      </c>
      <c r="F459" s="12" t="inlineStr">
        <is>
          <t>Please hold while I put you through to sales.</t>
        </is>
      </c>
      <c r="G459" s="12" t="inlineStr">
        <is>
          <t>영업부로 전화 연결해 드릴 테니 잠시만 기다려 주세요.</t>
        </is>
      </c>
      <c r="H459" s="9">
        <f>HYPERLINK("https://www.youtube.com/watch?v=GA7NIKxDZB4", "영상 보기 ▶")</f>
        <v/>
      </c>
    </row>
    <row r="460" ht="26" customHeight="1">
      <c r="A460" s="2" t="n">
        <v>459</v>
      </c>
      <c r="B460" s="3" t="inlineStr">
        <is>
          <t>총정리 10탄</t>
        </is>
      </c>
      <c r="C460" s="3" t="inlineStr">
        <is>
          <t>자원 투입</t>
        </is>
      </c>
      <c r="D460" s="4" t="inlineStr">
        <is>
          <t>put into</t>
        </is>
      </c>
      <c r="E460" s="11" t="inlineStr">
        <is>
          <t>시간, 돈, 자원을 쏟아붓다</t>
        </is>
      </c>
      <c r="F460" s="11" t="inlineStr">
        <is>
          <t>He put his heart and soul into the project.</t>
        </is>
      </c>
      <c r="G460" s="11" t="inlineStr">
        <is>
          <t>그는 그 프로젝트에 자신의 온 영혼과 열정을 쏟아부었어.</t>
        </is>
      </c>
      <c r="H460" s="5">
        <f>HYPERLINK("https://www.youtube.com/watch?v=GA7NIKxDZB4", "영상 보기 ▶")</f>
        <v/>
      </c>
    </row>
    <row r="461" ht="26" customHeight="1">
      <c r="A461" s="6" t="n">
        <v>460</v>
      </c>
      <c r="B461" s="7" t="inlineStr">
        <is>
          <t>총정리 10탄</t>
        </is>
      </c>
      <c r="C461" s="7" t="inlineStr">
        <is>
          <t>자료 준비</t>
        </is>
      </c>
      <c r="D461" s="8" t="inlineStr">
        <is>
          <t>put together</t>
        </is>
      </c>
      <c r="E461" s="12" t="inlineStr">
        <is>
          <t>(자료나 문서를) 일목요연하게 취합/정리하다</t>
        </is>
      </c>
      <c r="F461" s="12" t="inlineStr">
        <is>
          <t>I put together a brief summary for you.</t>
        </is>
      </c>
      <c r="G461" s="12" t="inlineStr">
        <is>
          <t>당신을 위해 간단한 요약본을 정리해 두었습니다.</t>
        </is>
      </c>
      <c r="H461" s="9">
        <f>HYPERLINK("https://www.youtube.com/watch?v=GA7NIKxDZB4", "영상 보기 ▶")</f>
        <v/>
      </c>
    </row>
    <row r="462" ht="26" customHeight="1">
      <c r="A462" s="2" t="n">
        <v>461</v>
      </c>
      <c r="B462" s="3" t="inlineStr">
        <is>
          <t>총정리 10탄</t>
        </is>
      </c>
      <c r="C462" s="3" t="inlineStr">
        <is>
          <t>찬사/칭찬</t>
        </is>
      </c>
      <c r="D462" s="4" t="inlineStr">
        <is>
          <t>Kudos to ~</t>
        </is>
      </c>
      <c r="E462" s="11" t="inlineStr">
        <is>
          <t>~에게 큰 박수를 보냅니다, 찬사를 보냅니다</t>
        </is>
      </c>
      <c r="F462" s="11" t="inlineStr">
        <is>
          <t>Kudos to everyone who organized the event!</t>
        </is>
      </c>
      <c r="G462" s="11" t="inlineStr">
        <is>
          <t>이번 행사를 기획하고 준비한 모든 분께 박수를 보냅니다!</t>
        </is>
      </c>
      <c r="H462" s="5">
        <f>HYPERLINK("https://www.youtube.com/watch?v=GA7NIKxDZB4", "영상 보기 ▶")</f>
        <v/>
      </c>
    </row>
    <row r="463" ht="26" customHeight="1">
      <c r="A463" s="6" t="n">
        <v>462</v>
      </c>
      <c r="B463" s="7" t="inlineStr">
        <is>
          <t>총정리 10탄</t>
        </is>
      </c>
      <c r="C463" s="7" t="inlineStr">
        <is>
          <t>대성공 칭찬</t>
        </is>
      </c>
      <c r="D463" s="8" t="inlineStr">
        <is>
          <t>hit another home run</t>
        </is>
      </c>
      <c r="E463" s="12" t="inlineStr">
        <is>
          <t>또 한 번 대박을 치다, 멋진 성공을 거두다</t>
        </is>
      </c>
      <c r="F463" s="12" t="inlineStr">
        <is>
          <t>Your new design hit another home run.</t>
        </is>
      </c>
      <c r="G463" s="12" t="inlineStr">
        <is>
          <t>이번 신규 디자인도 완전 대박 성공을 거뒀어.</t>
        </is>
      </c>
      <c r="H463" s="9">
        <f>HYPERLINK("https://www.youtube.com/watch?v=GA7NIKxDZB4", "영상 보기 ▶")</f>
        <v/>
      </c>
    </row>
    <row r="464" ht="26" customHeight="1">
      <c r="A464" s="2" t="n">
        <v>463</v>
      </c>
      <c r="B464" s="3" t="inlineStr">
        <is>
          <t>총정리 10탄</t>
        </is>
      </c>
      <c r="C464" s="3" t="inlineStr">
        <is>
          <t>곤란한 입장</t>
        </is>
      </c>
      <c r="D464" s="4" t="inlineStr">
        <is>
          <t>put (sb) in a tough position</t>
        </is>
      </c>
      <c r="E464" s="11" t="inlineStr">
        <is>
          <t>~를 난처하고 곤란한 처지에 빠뜨리다</t>
        </is>
      </c>
      <c r="F464" s="11" t="inlineStr">
        <is>
          <t>Don't put me in a tough position like this.</t>
        </is>
      </c>
      <c r="G464" s="11" t="inlineStr">
        <is>
          <t>날 이런 난처한 입장에 처하게 만들지 마.</t>
        </is>
      </c>
      <c r="H464" s="5">
        <f>HYPERLINK("https://www.youtube.com/watch?v=GA7NIKxDZB4", "영상 보기 ▶")</f>
        <v/>
      </c>
    </row>
    <row r="465" ht="26" customHeight="1">
      <c r="A465" s="6" t="n">
        <v>464</v>
      </c>
      <c r="B465" s="7" t="inlineStr">
        <is>
          <t>총정리 10탄</t>
        </is>
      </c>
      <c r="C465" s="7" t="inlineStr">
        <is>
          <t>갈등 유보</t>
        </is>
      </c>
      <c r="D465" s="8" t="inlineStr">
        <is>
          <t>put aside</t>
        </is>
      </c>
      <c r="E465" s="12" t="inlineStr">
        <is>
          <t>(사소한 차이나 편견을) 잠시 제쳐두다</t>
        </is>
      </c>
      <c r="F465" s="12" t="inlineStr">
        <is>
          <t>Let's put our differences aside and cooperate.</t>
        </is>
      </c>
      <c r="G465" s="12" t="inlineStr">
        <is>
          <t>우리 의견 차이는 잠시 접어두고 협력합시다.</t>
        </is>
      </c>
      <c r="H465" s="9">
        <f>HYPERLINK("https://www.youtube.com/watch?v=GA7NIKxDZB4", "영상 보기 ▶")</f>
        <v/>
      </c>
    </row>
    <row r="466" ht="26" customHeight="1">
      <c r="A466" s="2" t="n">
        <v>465</v>
      </c>
      <c r="B466" s="3" t="inlineStr">
        <is>
          <t>총정리 10탄</t>
        </is>
      </c>
      <c r="C466" s="3" t="inlineStr">
        <is>
          <t>과거 극복</t>
        </is>
      </c>
      <c r="D466" s="4" t="inlineStr">
        <is>
          <t>put (sth) behind</t>
        </is>
      </c>
      <c r="E466" s="11" t="inlineStr">
        <is>
          <t>(불쾌한 일을) 훌훌 털어버리고 뒤로 넘기다</t>
        </is>
      </c>
      <c r="F466" s="11" t="inlineStr">
        <is>
          <t>I'm ready to put this whole incident behind me.</t>
        </is>
      </c>
      <c r="G466" s="11" t="inlineStr">
        <is>
          <t>난 이제 이 일 전체를 훌훌 털어버릴 준비가 됐어.</t>
        </is>
      </c>
      <c r="H466" s="5">
        <f>HYPERLINK("https://www.youtube.com/watch?v=GA7NIKxDZB4", "영상 보기 ▶")</f>
        <v/>
      </c>
    </row>
    <row r="467" ht="26" customHeight="1">
      <c r="A467" s="6" t="n">
        <v>466</v>
      </c>
      <c r="B467" s="7" t="inlineStr">
        <is>
          <t>총정리 10탄</t>
        </is>
      </c>
      <c r="C467" s="7" t="inlineStr">
        <is>
          <t>인내/참음</t>
        </is>
      </c>
      <c r="D467" s="8" t="inlineStr">
        <is>
          <t>put up with</t>
        </is>
      </c>
      <c r="E467" s="12" t="inlineStr">
        <is>
          <t>(짜증 나는 상황이나 사람을) 꾹 참고 견디다</t>
        </is>
      </c>
      <c r="F467" s="12" t="inlineStr">
        <is>
          <t>I can't put up with his rude behavior anymore.</t>
        </is>
      </c>
      <c r="G467" s="12" t="inlineStr">
        <is>
          <t>그의 무례한 행동을 더 이상은 꾹 참고 견딜 수가 없어.</t>
        </is>
      </c>
      <c r="H467" s="9">
        <f>HYPERLINK("https://www.youtube.com/watch?v=GA7NIKxDZB4", "영상 보기 ▶")</f>
        <v/>
      </c>
    </row>
    <row r="468" ht="26" customHeight="1">
      <c r="A468" s="2" t="n">
        <v>467</v>
      </c>
      <c r="B468" s="3" t="inlineStr">
        <is>
          <t>총정리 10탄</t>
        </is>
      </c>
      <c r="C468" s="3" t="inlineStr">
        <is>
          <t>일정 지연</t>
        </is>
      </c>
      <c r="D468" s="4" t="inlineStr">
        <is>
          <t>put off</t>
        </is>
      </c>
      <c r="E468" s="11" t="inlineStr">
        <is>
          <t>뒤로 미루다, 연기하다 (= postpone)</t>
        </is>
      </c>
      <c r="F468" s="11" t="inlineStr">
        <is>
          <t>Never put off until tomorrow what you can do today.</t>
        </is>
      </c>
      <c r="G468" s="11" t="inlineStr">
        <is>
          <t>오늘 할 수 있는 일을 내일로 미루지 마라.</t>
        </is>
      </c>
      <c r="H468" s="5">
        <f>HYPERLINK("https://www.youtube.com/watch?v=GA7NIKxDZB4", "영상 보기 ▶")</f>
        <v/>
      </c>
    </row>
    <row r="469" ht="26" customHeight="1">
      <c r="A469" s="6" t="n">
        <v>468</v>
      </c>
      <c r="B469" s="7" t="inlineStr">
        <is>
          <t>총정리 10탄</t>
        </is>
      </c>
      <c r="C469" s="7" t="inlineStr">
        <is>
          <t>최종 승인</t>
        </is>
      </c>
      <c r="D469" s="8" t="inlineStr">
        <is>
          <t>sign off on</t>
        </is>
      </c>
      <c r="E469" s="12" t="inlineStr">
        <is>
          <t>(결재 서류에) 최종 승인/서명하다</t>
        </is>
      </c>
      <c r="F469" s="12" t="inlineStr">
        <is>
          <t>Has the director signed off on the budget?</t>
        </is>
      </c>
      <c r="G469" s="12" t="inlineStr">
        <is>
          <t>이사님께서 예산안에 최종 승인해 주셨나요?</t>
        </is>
      </c>
      <c r="H469" s="9">
        <f>HYPERLINK("https://www.youtube.com/watch?v=GA7NIKxDZB4", "영상 보기 ▶")</f>
        <v/>
      </c>
    </row>
    <row r="470" ht="26" customHeight="1">
      <c r="A470" s="2" t="n">
        <v>469</v>
      </c>
      <c r="B470" s="3" t="inlineStr">
        <is>
          <t>총정리 10탄</t>
        </is>
      </c>
      <c r="C470" s="3" t="inlineStr">
        <is>
          <t>승인/찬성</t>
        </is>
      </c>
      <c r="D470" s="4" t="inlineStr">
        <is>
          <t>approve</t>
        </is>
      </c>
      <c r="E470" s="11" t="inlineStr">
        <is>
          <t>공식적으로 인가/승인하다</t>
        </is>
      </c>
      <c r="F470" s="11" t="inlineStr">
        <is>
          <t>The board approved our proposal.</t>
        </is>
      </c>
      <c r="G470" s="11" t="inlineStr">
        <is>
          <t>이사회에서 우리 제안서를 최종 승인했습니다.</t>
        </is>
      </c>
      <c r="H470" s="5">
        <f>HYPERLINK("https://www.youtube.com/watch?v=GA7NIKxDZB4", "영상 보기 ▶")</f>
        <v/>
      </c>
    </row>
    <row r="471" ht="26" customHeight="1">
      <c r="A471" s="6" t="n">
        <v>470</v>
      </c>
      <c r="B471" s="7" t="inlineStr">
        <is>
          <t>총정리 10탄</t>
        </is>
      </c>
      <c r="C471" s="7" t="inlineStr">
        <is>
          <t>흔쾌한 허락</t>
        </is>
      </c>
      <c r="D471" s="8" t="inlineStr">
        <is>
          <t>You have my blessing</t>
        </is>
      </c>
      <c r="E471" s="12" t="inlineStr">
        <is>
          <t>난 적극 찬성해, 얼마든지 기꺼이 허락할게</t>
        </is>
      </c>
      <c r="F471" s="12" t="inlineStr">
        <is>
          <t>If you want to transfer, you have my blessing.</t>
        </is>
      </c>
      <c r="G471" s="12" t="inlineStr">
        <is>
          <t>부서 이동을 원한다면 난 얼마든지 기쁜 마음으로 응원할게.</t>
        </is>
      </c>
      <c r="H471" s="9">
        <f>HYPERLINK("https://www.youtube.com/watch?v=GA7NIKxDZB4", "영상 보기 ▶")</f>
        <v/>
      </c>
    </row>
    <row r="472" ht="26" customHeight="1">
      <c r="A472" s="2" t="n">
        <v>471</v>
      </c>
      <c r="B472" s="3" t="inlineStr">
        <is>
          <t>총정리 10탄</t>
        </is>
      </c>
      <c r="C472" s="3" t="inlineStr">
        <is>
          <t>빈말 의심</t>
        </is>
      </c>
      <c r="D472" s="4" t="inlineStr">
        <is>
          <t>You're just saying that</t>
        </is>
      </c>
      <c r="E472" s="11" t="inlineStr">
        <is>
          <t>빈말이지? 그냥 듣기 좋으라고 하는 소리지?</t>
        </is>
      </c>
      <c r="F472" s="11" t="inlineStr">
        <is>
          <t>You look great! - Aw, you're just saying that.</t>
        </is>
      </c>
      <c r="G472" s="11" t="inlineStr">
        <is>
          <t>너 오늘 멋지다! - 에이, 그냥 듣기 좋으라고 하는 소리지?</t>
        </is>
      </c>
      <c r="H472" s="5">
        <f>HYPERLINK("https://www.youtube.com/watch?v=GA7NIKxDZB4", "영상 보기 ▶")</f>
        <v/>
      </c>
    </row>
    <row r="473" ht="26" customHeight="1">
      <c r="A473" s="6" t="n">
        <v>472</v>
      </c>
      <c r="B473" s="7" t="inlineStr">
        <is>
          <t>총정리 10탄</t>
        </is>
      </c>
      <c r="C473" s="7" t="inlineStr">
        <is>
          <t>최고의 칭찬</t>
        </is>
      </c>
      <c r="D473" s="8" t="inlineStr">
        <is>
          <t>the best ~ I know</t>
        </is>
      </c>
      <c r="E473" s="12" t="inlineStr">
        <is>
          <t>내가 아는 사람 중에 가장 뛰어난 ~야</t>
        </is>
      </c>
      <c r="F473" s="12" t="inlineStr">
        <is>
          <t>You're the best problem solver I know.</t>
        </is>
      </c>
      <c r="G473" s="12" t="inlineStr">
        <is>
          <t>너는 내가 아는 사람 중에 문제 해결 능력이 제일 뛰어난 사람이야.</t>
        </is>
      </c>
      <c r="H473" s="9">
        <f>HYPERLINK("https://www.youtube.com/watch?v=GA7NIKxDZB4", "영상 보기 ▶")</f>
        <v/>
      </c>
    </row>
    <row r="474" ht="26" customHeight="1">
      <c r="A474" s="2" t="n">
        <v>473</v>
      </c>
      <c r="B474" s="3" t="inlineStr">
        <is>
          <t>총정리 10탄</t>
        </is>
      </c>
      <c r="C474" s="3" t="inlineStr">
        <is>
          <t>자질/인재</t>
        </is>
      </c>
      <c r="D474" s="4" t="inlineStr">
        <is>
          <t>material</t>
        </is>
      </c>
      <c r="E474" s="11" t="inlineStr">
        <is>
          <t>(특정 직책이나 역할에 걸맞은) 자질, 그릇</t>
        </is>
      </c>
      <c r="F474" s="11" t="inlineStr">
        <is>
          <t>She is definitely leadership material.</t>
        </is>
      </c>
      <c r="G474" s="11" t="inlineStr">
        <is>
          <t>그녀는 분명 리더로서의 자질과 그릇을 갖추고 있어.</t>
        </is>
      </c>
      <c r="H474" s="5">
        <f>HYPERLINK("https://www.youtube.com/watch?v=GA7NIKxDZB4", "영상 보기 ▶")</f>
        <v/>
      </c>
    </row>
    <row r="475" ht="26" customHeight="1">
      <c r="A475" s="6" t="n">
        <v>474</v>
      </c>
      <c r="B475" s="7" t="inlineStr">
        <is>
          <t>총정리 10탄</t>
        </is>
      </c>
      <c r="C475" s="7" t="inlineStr">
        <is>
          <t>후속 논의</t>
        </is>
      </c>
      <c r="D475" s="8" t="inlineStr">
        <is>
          <t>circle back to</t>
        </is>
      </c>
      <c r="E475" s="12" t="inlineStr">
        <is>
          <t>나중에 다시 그 사안으로 돌아와 얘기하다</t>
        </is>
      </c>
      <c r="F475" s="12" t="inlineStr">
        <is>
          <t>Let's circle back to this after lunch.</t>
        </is>
      </c>
      <c r="G475" s="12" t="inlineStr">
        <is>
          <t>점심 먹고 나서 이 사안으로 다시 돌아와 얘기합시다.</t>
        </is>
      </c>
      <c r="H475" s="9">
        <f>HYPERLINK("https://www.youtube.com/watch?v=GA7NIKxDZB4", "영상 보기 ▶")</f>
        <v/>
      </c>
    </row>
    <row r="476" ht="26" customHeight="1">
      <c r="A476" s="2" t="n">
        <v>475</v>
      </c>
      <c r="B476" s="3" t="inlineStr">
        <is>
          <t>총정리 10탄</t>
        </is>
      </c>
      <c r="C476" s="3" t="inlineStr">
        <is>
          <t>발언권 부여</t>
        </is>
      </c>
      <c r="D476" s="4" t="inlineStr">
        <is>
          <t>have the floor</t>
        </is>
      </c>
      <c r="E476" s="11" t="inlineStr">
        <is>
          <t>(회의에서) 발언권을 갖다</t>
        </is>
      </c>
      <c r="F476" s="11" t="inlineStr">
        <is>
          <t>The floor is yours, please begin.</t>
        </is>
      </c>
      <c r="G476" s="11" t="inlineStr">
        <is>
          <t>발언권이 주어졌으니 발표를 시작해 주세요.</t>
        </is>
      </c>
      <c r="H476" s="5">
        <f>HYPERLINK("https://www.youtube.com/watch?v=GA7NIKxDZB4", "영상 보기 ▶")</f>
        <v/>
      </c>
    </row>
    <row r="477" ht="26" customHeight="1">
      <c r="A477" s="6" t="n">
        <v>476</v>
      </c>
      <c r="B477" s="7" t="inlineStr">
        <is>
          <t>총정리 10탄</t>
        </is>
      </c>
      <c r="C477" s="7" t="inlineStr">
        <is>
          <t>순서 양보</t>
        </is>
      </c>
      <c r="D477" s="8" t="inlineStr">
        <is>
          <t>It's all yours</t>
        </is>
      </c>
      <c r="E477" s="12" t="inlineStr">
        <is>
          <t>이제 네 차례야, 마이크 넘길게</t>
        </is>
      </c>
      <c r="F477" s="12" t="inlineStr">
        <is>
          <t>Here's the microphone, it's all yours.</t>
        </is>
      </c>
      <c r="G477" s="12" t="inlineStr">
        <is>
          <t>여기 마이크 받을래, 이제 네 무대야.</t>
        </is>
      </c>
      <c r="H477" s="9">
        <f>HYPERLINK("https://www.youtube.com/watch?v=GA7NIKxDZB4", "영상 보기 ▶")</f>
        <v/>
      </c>
    </row>
    <row r="478" ht="26" customHeight="1">
      <c r="A478" s="2" t="n">
        <v>477</v>
      </c>
      <c r="B478" s="3" t="inlineStr">
        <is>
          <t>총정리 10탄</t>
        </is>
      </c>
      <c r="C478" s="3" t="inlineStr">
        <is>
          <t>고집/양보</t>
        </is>
      </c>
      <c r="D478" s="4" t="inlineStr">
        <is>
          <t>budge</t>
        </is>
      </c>
      <c r="E478" s="11" t="inlineStr">
        <is>
          <t>(양보하여 생각을) 조금이라도 바꾸다</t>
        </is>
      </c>
      <c r="F478" s="11" t="inlineStr">
        <is>
          <t>He won't budge on the price.</t>
        </is>
      </c>
      <c r="G478" s="11" t="inlineStr">
        <is>
          <t>그는 가격에 대해선 일절 양보할 기색이 없어.</t>
        </is>
      </c>
      <c r="H478" s="5">
        <f>HYPERLINK("https://www.youtube.com/watch?v=GA7NIKxDZB4", "영상 보기 ▶")</f>
        <v/>
      </c>
    </row>
    <row r="479" ht="26" customHeight="1">
      <c r="A479" s="6" t="n">
        <v>478</v>
      </c>
      <c r="B479" s="7" t="inlineStr">
        <is>
          <t>총정리 10탄</t>
        </is>
      </c>
      <c r="C479" s="7" t="inlineStr">
        <is>
          <t>마감 촉박</t>
        </is>
      </c>
      <c r="D479" s="8" t="inlineStr">
        <is>
          <t>on a deadline</t>
        </is>
      </c>
      <c r="E479" s="12" t="inlineStr">
        <is>
          <t>마감 기한에 쫓기고 있는</t>
        </is>
      </c>
      <c r="F479" s="12" t="inlineStr">
        <is>
          <t>I'm on a tight deadline this week.</t>
        </is>
      </c>
      <c r="G479" s="12" t="inlineStr">
        <is>
          <t>나 이번 주에 촉박한 마감에 쫓기고 있어.</t>
        </is>
      </c>
      <c r="H479" s="9">
        <f>HYPERLINK("https://www.youtube.com/watch?v=GA7NIKxDZB4", "영상 보기 ▶")</f>
        <v/>
      </c>
    </row>
    <row r="480" ht="26" customHeight="1">
      <c r="A480" s="2" t="n">
        <v>479</v>
      </c>
      <c r="B480" s="3" t="inlineStr">
        <is>
          <t>총정리 10탄</t>
        </is>
      </c>
      <c r="C480" s="3" t="inlineStr">
        <is>
          <t>엄격한 마감</t>
        </is>
      </c>
      <c r="D480" s="4" t="inlineStr">
        <is>
          <t>hard deadline</t>
        </is>
      </c>
      <c r="E480" s="11" t="inlineStr">
        <is>
          <t>절대 변경할 수 없는 엄격한 마감 기한</t>
        </is>
      </c>
      <c r="F480" s="11" t="inlineStr">
        <is>
          <t>Tomorrow at noon is a hard deadline.</t>
        </is>
      </c>
      <c r="G480" s="11" t="inlineStr">
        <is>
          <t>내일 정오는 타협할 수 없는 절대적인 마감 시간입니다.</t>
        </is>
      </c>
      <c r="H480" s="5">
        <f>HYPERLINK("https://www.youtube.com/watch?v=GA7NIKxDZB4", "영상 보기 ▶")</f>
        <v/>
      </c>
    </row>
    <row r="481" ht="26" customHeight="1">
      <c r="A481" s="6" t="n">
        <v>480</v>
      </c>
      <c r="B481" s="7" t="inlineStr">
        <is>
          <t>총정리 10탄</t>
        </is>
      </c>
      <c r="C481" s="7" t="inlineStr">
        <is>
          <t>불쾌한 태도</t>
        </is>
      </c>
      <c r="D481" s="8" t="inlineStr">
        <is>
          <t>I don't appreciate your tone</t>
        </is>
      </c>
      <c r="E481" s="12" t="inlineStr">
        <is>
          <t>그런 무례한 말투와 태도는 정중히 사양하겠습니다</t>
        </is>
      </c>
      <c r="F481" s="12" t="inlineStr">
        <is>
          <t>I don't appreciate your tone with me.</t>
        </is>
      </c>
      <c r="G481" s="12" t="inlineStr">
        <is>
          <t>저에게 그런 무례한 말투로 말씀하시는 건 불쾌합니다.</t>
        </is>
      </c>
      <c r="H481" s="9">
        <f>HYPERLINK("https://www.youtube.com/watch?v=GA7NIKxDZB4", "영상 보기 ▶")</f>
        <v/>
      </c>
    </row>
    <row r="482" ht="26" customHeight="1">
      <c r="A482" s="2" t="n">
        <v>481</v>
      </c>
      <c r="B482" s="3" t="inlineStr">
        <is>
          <t>총정리 10탄</t>
        </is>
      </c>
      <c r="C482" s="3" t="inlineStr">
        <is>
          <t>양면성</t>
        </is>
      </c>
      <c r="D482" s="4" t="inlineStr">
        <is>
          <t>two sides to every story</t>
        </is>
      </c>
      <c r="E482" s="11" t="inlineStr">
        <is>
          <t>어떤 일이든 양쪽의 입장을 다 들어봐야 한다</t>
        </is>
      </c>
      <c r="F482" s="11" t="inlineStr">
        <is>
          <t>Remember, there are two sides to every story.</t>
        </is>
      </c>
      <c r="G482" s="11" t="inlineStr">
        <is>
          <t>기억해, 어떤 일이든 양쪽 말을 다 들어봐야 하는 법이야.</t>
        </is>
      </c>
      <c r="H482" s="5">
        <f>HYPERLINK("https://www.youtube.com/watch?v=GA7NIKxDZB4", "영상 보기 ▶")</f>
        <v/>
      </c>
    </row>
    <row r="483" ht="26" customHeight="1">
      <c r="A483" s="6" t="n">
        <v>482</v>
      </c>
      <c r="B483" s="7" t="inlineStr">
        <is>
          <t>총정리 10탄</t>
        </is>
      </c>
      <c r="C483" s="7" t="inlineStr">
        <is>
          <t>숨은 사정</t>
        </is>
      </c>
      <c r="D483" s="8" t="inlineStr">
        <is>
          <t>more to the story</t>
        </is>
      </c>
      <c r="E483" s="12" t="inlineStr">
        <is>
          <t>그게 다가 아님, 이면에 더 많은 사정이 있음</t>
        </is>
      </c>
      <c r="F483" s="12" t="inlineStr">
        <is>
          <t>I feel like there has to be more to the story.</t>
        </is>
      </c>
      <c r="G483" s="12" t="inlineStr">
        <is>
          <t>이 일에는 분명 우리가 모르는 숨은 내막이 더 있을 거야.</t>
        </is>
      </c>
      <c r="H483" s="9">
        <f>HYPERLINK("https://www.youtube.com/watch?v=GA7NIKxDZB4", "영상 보기 ▶")</f>
        <v/>
      </c>
    </row>
    <row r="484" ht="26" customHeight="1">
      <c r="A484" s="2" t="n">
        <v>483</v>
      </c>
      <c r="B484" s="3" t="inlineStr">
        <is>
          <t>총정리 10탄</t>
        </is>
      </c>
      <c r="C484" s="3" t="inlineStr">
        <is>
          <t>간결 요구</t>
        </is>
      </c>
      <c r="D484" s="4" t="inlineStr">
        <is>
          <t>make it short and sweet</t>
        </is>
      </c>
      <c r="E484" s="11" t="inlineStr">
        <is>
          <t>지루하게 늘어놓지 말고 간단명료하게 해줘</t>
        </is>
      </c>
      <c r="F484" s="11" t="inlineStr">
        <is>
          <t>We don't have much time, make it short and sweet.</t>
        </is>
      </c>
      <c r="G484" s="11" t="inlineStr">
        <is>
          <t>우리 시간 별로 없으니 요점만 간단명료하게 해줘.</t>
        </is>
      </c>
      <c r="H484" s="5">
        <f>HYPERLINK("https://www.youtube.com/watch?v=GA7NIKxDZB4", "영상 보기 ▶")</f>
        <v/>
      </c>
    </row>
    <row r="485" ht="26" customHeight="1">
      <c r="A485" s="6" t="n">
        <v>484</v>
      </c>
      <c r="B485" s="7" t="inlineStr">
        <is>
          <t>총정리 10탄</t>
        </is>
      </c>
      <c r="C485" s="7" t="inlineStr">
        <is>
          <t>본론 직행</t>
        </is>
      </c>
      <c r="D485" s="8" t="inlineStr">
        <is>
          <t>cut to the chase</t>
        </is>
      </c>
      <c r="E485" s="12" t="inlineStr">
        <is>
          <t>서론은 건너뛰고 곧바로 본론으로 들어가다</t>
        </is>
      </c>
      <c r="F485" s="12" t="inlineStr">
        <is>
          <t>Let's cut to the chase: how much will it cost?</t>
        </is>
      </c>
      <c r="G485" s="12" t="inlineStr">
        <is>
          <t>서론은 건너뛰고 본론으로 들어갑시다, 비용이 얼마인가요?</t>
        </is>
      </c>
      <c r="H485" s="9">
        <f>HYPERLINK("https://www.youtube.com/watch?v=GA7NIKxDZB4", "영상 보기 ▶")</f>
        <v/>
      </c>
    </row>
    <row r="486" ht="26" customHeight="1">
      <c r="A486" s="2" t="n">
        <v>485</v>
      </c>
      <c r="B486" s="3" t="inlineStr">
        <is>
          <t>총정리 10탄</t>
        </is>
      </c>
      <c r="C486" s="3" t="inlineStr">
        <is>
          <t>의견 공유</t>
        </is>
      </c>
      <c r="D486" s="4" t="inlineStr">
        <is>
          <t>share one's thoughts</t>
        </is>
      </c>
      <c r="E486" s="11" t="inlineStr">
        <is>
          <t>자신의 생각과 소견을 허심탄회하게 밝히다</t>
        </is>
      </c>
      <c r="F486" s="11" t="inlineStr">
        <is>
          <t>Would anyone like to share their thoughts?</t>
        </is>
      </c>
      <c r="G486" s="11" t="inlineStr">
        <is>
          <t>자신의 의견이나 생각을 공유해 주실 분 계신가요?</t>
        </is>
      </c>
      <c r="H486" s="5">
        <f>HYPERLINK("https://www.youtube.com/watch?v=GA7NIKxDZB4", "영상 보기 ▶")</f>
        <v/>
      </c>
    </row>
    <row r="487" ht="26" customHeight="1">
      <c r="A487" s="6" t="n">
        <v>486</v>
      </c>
      <c r="B487" s="7" t="inlineStr">
        <is>
          <t>총정리 10탄</t>
        </is>
      </c>
      <c r="C487" s="7" t="inlineStr">
        <is>
          <t>반문 화법</t>
        </is>
      </c>
      <c r="D487" s="8" t="inlineStr">
        <is>
          <t>rhetorical question</t>
        </is>
      </c>
      <c r="E487" s="12" t="inlineStr">
        <is>
          <t>답변을 바라는 게 아닌 강조를 위한 반문/수사의문</t>
        </is>
      </c>
      <c r="F487" s="12" t="inlineStr">
        <is>
          <t>Don't answer that, it was a rhetorical question.</t>
        </is>
      </c>
      <c r="G487" s="12" t="inlineStr">
        <is>
          <t>대답 안 해도 돼, 그냥 강조하려고 던진 반문이었어.</t>
        </is>
      </c>
      <c r="H487" s="9">
        <f>HYPERLINK("https://www.youtube.com/watch?v=GA7NIKxDZB4", "영상 보기 ▶")</f>
        <v/>
      </c>
    </row>
    <row r="488" ht="26" customHeight="1">
      <c r="A488" s="2" t="n">
        <v>487</v>
      </c>
      <c r="B488" s="3" t="inlineStr">
        <is>
          <t>총정리 10탄</t>
        </is>
      </c>
      <c r="C488" s="3" t="inlineStr">
        <is>
          <t>서론 생략</t>
        </is>
      </c>
      <c r="D488" s="4" t="inlineStr">
        <is>
          <t>Without further ado,</t>
        </is>
      </c>
      <c r="E488" s="11" t="inlineStr">
        <is>
          <t>더 이상의 군더더기 서론 없이 곧바로</t>
        </is>
      </c>
      <c r="F488" s="11" t="inlineStr">
        <is>
          <t>Without further ado, let's welcome our keynote speaker.</t>
        </is>
      </c>
      <c r="G488" s="11" t="inlineStr">
        <is>
          <t>더 이상의 긴 설명 없이 바로 기조 연설자분을 모시겠습니다.</t>
        </is>
      </c>
      <c r="H488" s="5">
        <f>HYPERLINK("https://www.youtube.com/watch?v=GA7NIKxDZB4", "영상 보기 ▶")</f>
        <v/>
      </c>
    </row>
    <row r="489" ht="26" customHeight="1">
      <c r="A489" s="6" t="n">
        <v>488</v>
      </c>
      <c r="B489" s="7" t="inlineStr">
        <is>
          <t>총정리 10탄</t>
        </is>
      </c>
      <c r="C489" s="7" t="inlineStr">
        <is>
          <t>도움 자부심</t>
        </is>
      </c>
      <c r="D489" s="8" t="inlineStr">
        <is>
          <t>That's what I'm here for</t>
        </is>
      </c>
      <c r="E489" s="12" t="inlineStr">
        <is>
          <t>그게 제가 있는 이유인걸요 (당연히 도와드려야죠)</t>
        </is>
      </c>
      <c r="F489" s="12" t="inlineStr">
        <is>
          <t>Thank you for the advice! - That's what I'm here for.</t>
        </is>
      </c>
      <c r="G489" s="12" t="inlineStr">
        <is>
          <t>조언 감사해요! - 에이, 언제든 도우려고 제가 여기 있는걸요.</t>
        </is>
      </c>
      <c r="H489" s="9">
        <f>HYPERLINK("https://www.youtube.com/watch?v=GA7NIKxDZB4", "영상 보기 ▶")</f>
        <v/>
      </c>
    </row>
    <row r="490" ht="26" customHeight="1">
      <c r="A490" s="2" t="n">
        <v>489</v>
      </c>
      <c r="B490" s="3" t="inlineStr">
        <is>
          <t>총정리 10탄</t>
        </is>
      </c>
      <c r="C490" s="3" t="inlineStr">
        <is>
          <t>두 번째 기회</t>
        </is>
      </c>
      <c r="D490" s="4" t="inlineStr">
        <is>
          <t>second chance</t>
        </is>
      </c>
      <c r="E490" s="11" t="inlineStr">
        <is>
          <t>만회할 수 있는 두 번째 기회</t>
        </is>
      </c>
      <c r="F490" s="11" t="inlineStr">
        <is>
          <t>Everyone deserves a second chance.</t>
        </is>
      </c>
      <c r="G490" s="11" t="inlineStr">
        <is>
          <t>누구에게나 만회할 수 있는 두 번째 기회는 주어져야 해.</t>
        </is>
      </c>
      <c r="H490" s="5">
        <f>HYPERLINK("https://www.youtube.com/watch?v=GA7NIKxDZB4", "영상 보기 ▶")</f>
        <v/>
      </c>
    </row>
    <row r="491" ht="26" customHeight="1">
      <c r="A491" s="6" t="n">
        <v>490</v>
      </c>
      <c r="B491" s="7" t="inlineStr">
        <is>
          <t>총정리 10탄</t>
        </is>
      </c>
      <c r="C491" s="7" t="inlineStr">
        <is>
          <t>설레발 금지</t>
        </is>
      </c>
      <c r="D491" s="8" t="inlineStr">
        <is>
          <t>Don't get your hopes up</t>
        </is>
      </c>
      <c r="E491" s="12" t="inlineStr">
        <is>
          <t>너무 기대하지 마, 미리 김칫국 마시지 마</t>
        </is>
      </c>
      <c r="F491" s="12" t="inlineStr">
        <is>
          <t>It's not official yet, so don't get your hopes up.</t>
        </is>
      </c>
      <c r="G491" s="12" t="inlineStr">
        <is>
          <t>아직 확정된 건 아니니까 너무 설레발치지 마.</t>
        </is>
      </c>
      <c r="H491" s="9">
        <f>HYPERLINK("https://www.youtube.com/watch?v=GA7NIKxDZB4", "영상 보기 ▶")</f>
        <v/>
      </c>
    </row>
    <row r="492" ht="26" customHeight="1">
      <c r="A492" s="2" t="n">
        <v>491</v>
      </c>
      <c r="B492" s="3" t="inlineStr">
        <is>
          <t>총정리 10탄</t>
        </is>
      </c>
      <c r="C492" s="3" t="inlineStr">
        <is>
          <t>손해 없음</t>
        </is>
      </c>
      <c r="D492" s="4" t="inlineStr">
        <is>
          <t>nothing to lose</t>
        </is>
      </c>
      <c r="E492" s="11" t="inlineStr">
        <is>
          <t>밑져야 본전이다, 잃을 게 전혀 없다</t>
        </is>
      </c>
      <c r="F492" s="11" t="inlineStr">
        <is>
          <t>Just apply for it, you have nothing to lose.</t>
        </is>
      </c>
      <c r="G492" s="11" t="inlineStr">
        <is>
          <t>그냥 지원이라도 해봐, 밑져야 본전이잖아.</t>
        </is>
      </c>
      <c r="H492" s="5">
        <f>HYPERLINK("https://www.youtube.com/watch?v=GA7NIKxDZB4", "영상 보기 ▶")</f>
        <v/>
      </c>
    </row>
    <row r="493" ht="26" customHeight="1">
      <c r="A493" s="6" t="n">
        <v>492</v>
      </c>
      <c r="B493" s="7" t="inlineStr">
        <is>
          <t>총정리 10탄</t>
        </is>
      </c>
      <c r="C493" s="7" t="inlineStr">
        <is>
          <t>깊은 울림</t>
        </is>
      </c>
      <c r="D493" s="8" t="inlineStr">
        <is>
          <t>resonate with</t>
        </is>
      </c>
      <c r="E493" s="12" t="inlineStr">
        <is>
          <t>가슴에 와닿다, 깊은 공감을 불러일으키다</t>
        </is>
      </c>
      <c r="F493" s="12" t="inlineStr">
        <is>
          <t>Her speech really resonated with the audience.</t>
        </is>
      </c>
      <c r="G493" s="12" t="inlineStr">
        <is>
          <t>그녀의 연설은 청중들에게 깊은 울림과 공감을 주었어.</t>
        </is>
      </c>
      <c r="H493" s="9">
        <f>HYPERLINK("https://www.youtube.com/watch?v=GA7NIKxDZB4", "영상 보기 ▶")</f>
        <v/>
      </c>
    </row>
    <row r="494" ht="26" customHeight="1">
      <c r="A494" s="2" t="n">
        <v>493</v>
      </c>
      <c r="B494" s="3" t="inlineStr">
        <is>
          <t>총정리 10탄</t>
        </is>
      </c>
      <c r="C494" s="3" t="inlineStr">
        <is>
          <t>찰떡궁합</t>
        </is>
      </c>
      <c r="D494" s="4" t="inlineStr">
        <is>
          <t>compatible</t>
        </is>
      </c>
      <c r="E494" s="11" t="inlineStr">
        <is>
          <t>성격이나 가치관이 잘 맞는, 호환성이 좋은</t>
        </is>
      </c>
      <c r="F494" s="11" t="inlineStr">
        <is>
          <t>They have very compatible personalities.</t>
        </is>
      </c>
      <c r="G494" s="11" t="inlineStr">
        <is>
          <t>그들은 서로 성격이 정말 찰떡처럼 잘 맞아.</t>
        </is>
      </c>
      <c r="H494" s="5">
        <f>HYPERLINK("https://www.youtube.com/watch?v=GA7NIKxDZB4", "영상 보기 ▶")</f>
        <v/>
      </c>
    </row>
    <row r="495" ht="26" customHeight="1">
      <c r="A495" s="6" t="n">
        <v>494</v>
      </c>
      <c r="B495" s="7" t="inlineStr">
        <is>
          <t>총정리 10탄</t>
        </is>
      </c>
      <c r="C495" s="7" t="inlineStr">
        <is>
          <t>산책 여유</t>
        </is>
      </c>
      <c r="D495" s="8" t="inlineStr">
        <is>
          <t>stroll</t>
        </is>
      </c>
      <c r="E495" s="12" t="inlineStr">
        <is>
          <t>여유롭게 한가로이 거닐다, 산책하다</t>
        </is>
      </c>
      <c r="F495" s="12" t="inlineStr">
        <is>
          <t>We took a peaceful evening stroll in the park.</t>
        </is>
      </c>
      <c r="G495" s="12" t="inlineStr">
        <is>
          <t>우리는 저녁에 공원을 평화롭게 한가로이 거닐었어.</t>
        </is>
      </c>
      <c r="H495" s="9">
        <f>HYPERLINK("https://www.youtube.com/watch?v=GA7NIKxDZB4", "영상 보기 ▶")</f>
        <v/>
      </c>
    </row>
    <row r="496" ht="26" customHeight="1">
      <c r="A496" s="2" t="n">
        <v>495</v>
      </c>
      <c r="B496" s="3" t="inlineStr">
        <is>
          <t>총정리 10탄</t>
        </is>
      </c>
      <c r="C496" s="3" t="inlineStr">
        <is>
          <t>백미/최고</t>
        </is>
      </c>
      <c r="D496" s="4" t="inlineStr">
        <is>
          <t>highlight of the day</t>
        </is>
      </c>
      <c r="E496" s="11" t="inlineStr">
        <is>
          <t>오늘 하루 중 가장 인상적이고 빛난 순간</t>
        </is>
      </c>
      <c r="F496" s="11" t="inlineStr">
        <is>
          <t>Meeting you was the highlight of my day.</t>
        </is>
      </c>
      <c r="G496" s="11" t="inlineStr">
        <is>
          <t>당신을 만난 게 오늘 하루 중 최고의 순간이었어요.</t>
        </is>
      </c>
      <c r="H496" s="5">
        <f>HYPERLINK("https://www.youtube.com/watch?v=GA7NIKxDZB4", "영상 보기 ▶")</f>
        <v/>
      </c>
    </row>
    <row r="497" ht="26" customHeight="1">
      <c r="A497" s="6" t="n">
        <v>496</v>
      </c>
      <c r="B497" s="7" t="inlineStr">
        <is>
          <t>총정리 10탄</t>
        </is>
      </c>
      <c r="C497" s="7" t="inlineStr">
        <is>
          <t>성공 완수</t>
        </is>
      </c>
      <c r="D497" s="8" t="inlineStr">
        <is>
          <t>pull off</t>
        </is>
      </c>
      <c r="E497" s="12" t="inlineStr">
        <is>
          <t>어려운 과제를 기어코 성사시키다/해내다</t>
        </is>
      </c>
      <c r="F497" s="12" t="inlineStr">
        <is>
          <t>I can't believe we pulled it off!</t>
        </is>
      </c>
      <c r="G497" s="12" t="inlineStr">
        <is>
          <t>우리가 이걸 기어코 해내다니 믿기지가 않아!</t>
        </is>
      </c>
      <c r="H497" s="9">
        <f>HYPERLINK("https://www.youtube.com/watch?v=GA7NIKxDZB4", "영상 보기 ▶")</f>
        <v/>
      </c>
    </row>
    <row r="498" ht="26" customHeight="1">
      <c r="A498" s="2" t="n">
        <v>497</v>
      </c>
      <c r="B498" s="3" t="inlineStr">
        <is>
          <t>총정리 10탄</t>
        </is>
      </c>
      <c r="C498" s="3" t="inlineStr">
        <is>
          <t>밀린 소통</t>
        </is>
      </c>
      <c r="D498" s="4" t="inlineStr">
        <is>
          <t>catch up on</t>
        </is>
      </c>
      <c r="E498" s="11" t="inlineStr">
        <is>
          <t>(밀린 일이나 대화를) 따라잡다, 회포를 풀다</t>
        </is>
      </c>
      <c r="F498" s="11" t="inlineStr">
        <is>
          <t>Let's grab a coffee and catch up.</t>
        </is>
      </c>
      <c r="G498" s="11" t="inlineStr">
        <is>
          <t>커피 한잔하면서 밀린 회포 좀 풀자.</t>
        </is>
      </c>
      <c r="H498" s="5">
        <f>HYPERLINK("https://www.youtube.com/watch?v=GA7NIKxDZB4", "영상 보기 ▶")</f>
        <v/>
      </c>
    </row>
    <row r="499" ht="26" customHeight="1">
      <c r="A499" s="6" t="n">
        <v>498</v>
      </c>
      <c r="B499" s="7" t="inlineStr">
        <is>
          <t>총정리 10탄</t>
        </is>
      </c>
      <c r="C499" s="7" t="inlineStr">
        <is>
          <t>일정 문의</t>
        </is>
      </c>
      <c r="D499" s="8" t="inlineStr">
        <is>
          <t>What's your schedule like ~?</t>
        </is>
      </c>
      <c r="E499" s="12" t="inlineStr">
        <is>
          <t>~ 일정이 대략 어떠신가요?</t>
        </is>
      </c>
      <c r="F499" s="12" t="inlineStr">
        <is>
          <t>What's your schedule like next Wednesday?</t>
        </is>
      </c>
      <c r="G499" s="12" t="inlineStr">
        <is>
          <t>다음 주 수요일 일정 형편이 대략 어떠세요?</t>
        </is>
      </c>
      <c r="H499" s="9">
        <f>HYPERLINK("https://www.youtube.com/watch?v=GA7NIKxDZB4", "영상 보기 ▶")</f>
        <v/>
      </c>
    </row>
    <row r="500" ht="26" customHeight="1">
      <c r="A500" s="2" t="n">
        <v>499</v>
      </c>
      <c r="B500" s="3" t="inlineStr">
        <is>
          <t>총정리 10탄</t>
        </is>
      </c>
      <c r="C500" s="3" t="inlineStr">
        <is>
          <t>인사 마무리</t>
        </is>
      </c>
      <c r="D500" s="4" t="inlineStr">
        <is>
          <t>I'll catch up with you later</t>
        </is>
      </c>
      <c r="E500" s="11" t="inlineStr">
        <is>
          <t>이따가 다시 얘기 나눠, 나중에 봐</t>
        </is>
      </c>
      <c r="F500" s="11" t="inlineStr">
        <is>
          <t>I have to jump on a call, I'll catch up with you later.</t>
        </is>
      </c>
      <c r="G500" s="11" t="inlineStr">
        <is>
          <t>나 지금 회의 들어가야 해서 이따가 다시 얘기 나누자.</t>
        </is>
      </c>
      <c r="H500" s="5">
        <f>HYPERLINK("https://www.youtube.com/watch?v=GA7NIKxDZB4", "영상 보기 ▶")</f>
        <v/>
      </c>
    </row>
    <row r="501" ht="26" customHeight="1">
      <c r="A501" s="6" t="n">
        <v>500</v>
      </c>
      <c r="B501" s="7" t="inlineStr">
        <is>
          <t>총정리 10탄</t>
        </is>
      </c>
      <c r="C501" s="7" t="inlineStr">
        <is>
          <t>다의어 miss</t>
        </is>
      </c>
      <c r="D501" s="8" t="inlineStr">
        <is>
          <t>miss</t>
        </is>
      </c>
      <c r="E501" s="12" t="inlineStr">
        <is>
          <t>① 놓치다 ② 그리워하다 ③ 빠뜨리다/누락하다</t>
        </is>
      </c>
      <c r="F501" s="12" t="inlineStr">
        <is>
          <t>Make sure you don't miss any details.</t>
        </is>
      </c>
      <c r="G501" s="12" t="inlineStr">
        <is>
          <t>어떤 세부 사항도 절대 누락하지 않도록 주의해.</t>
        </is>
      </c>
      <c r="H501" s="9">
        <f>HYPERLINK("https://www.youtube.com/watch?v=GA7NIKxDZB4", "영상 보기 ▶")</f>
        <v/>
      </c>
    </row>
    <row r="502" ht="26" customHeight="1">
      <c r="A502" s="2" t="n">
        <v>501</v>
      </c>
      <c r="B502" s="3" t="inlineStr">
        <is>
          <t>총정리 11탄</t>
        </is>
      </c>
      <c r="C502" s="3" t="inlineStr">
        <is>
          <t>업무 지원</t>
        </is>
      </c>
      <c r="D502" s="4" t="inlineStr">
        <is>
          <t>fill in</t>
        </is>
      </c>
      <c r="E502" s="11" t="inlineStr">
        <is>
          <t>(세부사항을) 알려주다 / (부재중인 사람을) 대신하다</t>
        </is>
      </c>
      <c r="F502" s="11" t="inlineStr">
        <is>
          <t>Can you fill in for me while I'm away? / Let me fill you in on what happened.</t>
        </is>
      </c>
      <c r="G502" s="11" t="inlineStr">
        <is>
          <t>나 부재중에 내 일 좀 대신 맡아줄 수 있어? / 무슨 일이 있었는지 자세히 알려줄게.</t>
        </is>
      </c>
      <c r="H502" s="5">
        <f>HYPERLINK("https://www.youtube.com/watch?v=HTed60y_wXc", "영상 보기 ▶")</f>
        <v/>
      </c>
    </row>
    <row r="503" ht="26" customHeight="1">
      <c r="A503" s="6" t="n">
        <v>502</v>
      </c>
      <c r="B503" s="7" t="inlineStr">
        <is>
          <t>총정리 11탄</t>
        </is>
      </c>
      <c r="C503" s="7" t="inlineStr">
        <is>
          <t>동의/합류</t>
        </is>
      </c>
      <c r="D503" s="8" t="inlineStr">
        <is>
          <t>on board</t>
        </is>
      </c>
      <c r="E503" s="12" t="inlineStr">
        <is>
          <t>팀/계획에 동의하는, 동참하는</t>
        </is>
      </c>
      <c r="F503" s="12" t="inlineStr">
        <is>
          <t>Are you on board with the new strategy?</t>
        </is>
      </c>
      <c r="G503" s="12" t="inlineStr">
        <is>
          <t>새로운 전략 방향에 동의하시나요?</t>
        </is>
      </c>
      <c r="H503" s="9">
        <f>HYPERLINK("https://www.youtube.com/watch?v=HTed60y_wXc", "영상 보기 ▶")</f>
        <v/>
      </c>
    </row>
    <row r="504" ht="26" customHeight="1">
      <c r="A504" s="2" t="n">
        <v>503</v>
      </c>
      <c r="B504" s="3" t="inlineStr">
        <is>
          <t>총정리 11탄</t>
        </is>
      </c>
      <c r="C504" s="3" t="inlineStr">
        <is>
          <t>속임/호감</t>
        </is>
      </c>
      <c r="D504" s="4" t="inlineStr">
        <is>
          <t>fall for</t>
        </is>
      </c>
      <c r="E504" s="11" t="inlineStr">
        <is>
          <t>① ~에 속아 넘어가다 ② ~에게 홀딱 반하다</t>
        </is>
      </c>
      <c r="F504" s="11" t="inlineStr">
        <is>
          <t>Don't fall for their marketing tricks. / He fell for her immediately.</t>
        </is>
      </c>
      <c r="G504" s="11" t="inlineStr">
        <is>
          <t>그들의 마케팅 상술에 속지 마. / 그는 그녀에게 첫눈에 반했어.</t>
        </is>
      </c>
      <c r="H504" s="5">
        <f>HYPERLINK("https://www.youtube.com/watch?v=HTed60y_wXc", "영상 보기 ▶")</f>
        <v/>
      </c>
    </row>
    <row r="505" ht="26" customHeight="1">
      <c r="A505" s="6" t="n">
        <v>504</v>
      </c>
      <c r="B505" s="7" t="inlineStr">
        <is>
          <t>총정리 11탄</t>
        </is>
      </c>
      <c r="C505" s="7" t="inlineStr">
        <is>
          <t>일정 지연</t>
        </is>
      </c>
      <c r="D505" s="8" t="inlineStr">
        <is>
          <t>fall behind</t>
        </is>
      </c>
      <c r="E505" s="12" t="inlineStr">
        <is>
          <t>(진도/일정/납부 등에서) 뒤처지다, 밀리다</t>
        </is>
      </c>
      <c r="F505" s="12" t="inlineStr">
        <is>
          <t>We can't afford to fall behind schedule.</t>
        </is>
      </c>
      <c r="G505" s="12" t="inlineStr">
        <is>
          <t>우리는 일정에서 뒤처질 여유가 없습니다.</t>
        </is>
      </c>
      <c r="H505" s="9">
        <f>HYPERLINK("https://www.youtube.com/watch?v=HTed60y_wXc", "영상 보기 ▶")</f>
        <v/>
      </c>
    </row>
    <row r="506" ht="26" customHeight="1">
      <c r="A506" s="2" t="n">
        <v>505</v>
      </c>
      <c r="B506" s="3" t="inlineStr">
        <is>
          <t>총정리 11탄</t>
        </is>
      </c>
      <c r="C506" s="3" t="inlineStr">
        <is>
          <t>비상 대책</t>
        </is>
      </c>
      <c r="D506" s="4" t="inlineStr">
        <is>
          <t>fall back on</t>
        </is>
      </c>
      <c r="E506" s="11" t="inlineStr">
        <is>
          <t>(곤경에 처했을 때) 의지하다, 기댈 곳을 찾다</t>
        </is>
      </c>
      <c r="F506" s="11" t="inlineStr">
        <is>
          <t>It's always good to have some savings to fall back on.</t>
        </is>
      </c>
      <c r="G506" s="11" t="inlineStr">
        <is>
          <t>비상시에 기댈 수 있는 저축이 좀 있는 게 늘 좋죠.</t>
        </is>
      </c>
      <c r="H506" s="5">
        <f>HYPERLINK("https://www.youtube.com/watch?v=HTed60y_wXc", "영상 보기 ▶")</f>
        <v/>
      </c>
    </row>
    <row r="507" ht="26" customHeight="1">
      <c r="A507" s="6" t="n">
        <v>506</v>
      </c>
      <c r="B507" s="7" t="inlineStr">
        <is>
          <t>총정리 11탄</t>
        </is>
      </c>
      <c r="C507" s="7" t="inlineStr">
        <is>
          <t>관계 악화</t>
        </is>
      </c>
      <c r="D507" s="8" t="inlineStr">
        <is>
          <t>fall out</t>
        </is>
      </c>
      <c r="E507" s="12" t="inlineStr">
        <is>
          <t>(싸우고) 사이가 틀어지다, 소원해지다</t>
        </is>
      </c>
      <c r="F507" s="12" t="inlineStr">
        <is>
          <t>They fell out over a misunderstanding at work.</t>
        </is>
      </c>
      <c r="G507" s="12" t="inlineStr">
        <is>
          <t>그들은 직장에서의 오해로 인해 사이가 틀어졌어.</t>
        </is>
      </c>
      <c r="H507" s="9">
        <f>HYPERLINK("https://www.youtube.com/watch?v=HTed60y_wXc", "영상 보기 ▶")</f>
        <v/>
      </c>
    </row>
    <row r="508" ht="26" customHeight="1">
      <c r="A508" s="2" t="n">
        <v>507</v>
      </c>
      <c r="B508" s="3" t="inlineStr">
        <is>
          <t>총정리 11탄</t>
        </is>
      </c>
      <c r="C508" s="3" t="inlineStr">
        <is>
          <t>계획 무산</t>
        </is>
      </c>
      <c r="D508" s="4" t="inlineStr">
        <is>
          <t>fall through</t>
        </is>
      </c>
      <c r="E508" s="11" t="inlineStr">
        <is>
          <t>(계약/계획이) 수포로 돌아가다, 무산되다</t>
        </is>
      </c>
      <c r="F508" s="11" t="inlineStr">
        <is>
          <t>The partnership deal fell through at the last minute.</t>
        </is>
      </c>
      <c r="G508" s="11" t="inlineStr">
        <is>
          <t>그 제휴 계약은 마지막 순간에 무산되었습니다.</t>
        </is>
      </c>
      <c r="H508" s="5">
        <f>HYPERLINK("https://www.youtube.com/watch?v=HTed60y_wXc", "영상 보기 ▶")</f>
        <v/>
      </c>
    </row>
    <row r="509" ht="26" customHeight="1">
      <c r="A509" s="6" t="n">
        <v>508</v>
      </c>
      <c r="B509" s="7" t="inlineStr">
        <is>
          <t>총정리 11탄</t>
        </is>
      </c>
      <c r="C509" s="7" t="inlineStr">
        <is>
          <t>붕괴/파탄</t>
        </is>
      </c>
      <c r="D509" s="8" t="inlineStr">
        <is>
          <t>fall apart</t>
        </is>
      </c>
      <c r="E509" s="12" t="inlineStr">
        <is>
          <t>산산이 부서지다, 무너지다, 멘붕 오다</t>
        </is>
      </c>
      <c r="F509" s="12" t="inlineStr">
        <is>
          <t>Without proper management, everything will fall apart.</t>
        </is>
      </c>
      <c r="G509" s="12" t="inlineStr">
        <is>
          <t>제대로 된 관리가 없으면 모든 게 와르르 무너질 거예요.</t>
        </is>
      </c>
      <c r="H509" s="9">
        <f>HYPERLINK("https://www.youtube.com/watch?v=HTed60y_wXc", "영상 보기 ▶")</f>
        <v/>
      </c>
    </row>
    <row r="510" ht="26" customHeight="1">
      <c r="A510" s="2" t="n">
        <v>509</v>
      </c>
      <c r="B510" s="3" t="inlineStr">
        <is>
          <t>총정리 11탄</t>
        </is>
      </c>
      <c r="C510" s="3" t="inlineStr">
        <is>
          <t>목표 미달</t>
        </is>
      </c>
      <c r="D510" s="4" t="inlineStr">
        <is>
          <t>fall short</t>
        </is>
      </c>
      <c r="E510" s="11" t="inlineStr">
        <is>
          <t>(기대나 목표치에) 미치지 못하다, 미달하다</t>
        </is>
      </c>
      <c r="F510" s="11" t="inlineStr">
        <is>
          <t>Our quarterly revenue fell short of expectations.</t>
        </is>
      </c>
      <c r="G510" s="11" t="inlineStr">
        <is>
          <t>우리 분기 매출이 기대치에 미치지 못했습니다.</t>
        </is>
      </c>
      <c r="H510" s="5">
        <f>HYPERLINK("https://www.youtube.com/watch?v=HTed60y_wXc", "영상 보기 ▶")</f>
        <v/>
      </c>
    </row>
    <row r="511" ht="26" customHeight="1">
      <c r="A511" s="6" t="n">
        <v>510</v>
      </c>
      <c r="B511" s="7" t="inlineStr">
        <is>
          <t>총정리 11탄</t>
        </is>
      </c>
      <c r="C511" s="7" t="inlineStr">
        <is>
          <t>과부하</t>
        </is>
      </c>
      <c r="D511" s="8" t="inlineStr">
        <is>
          <t>My brain is fried</t>
        </is>
      </c>
      <c r="E511" s="12" t="inlineStr">
        <is>
          <t>머리에 과부하가 걸렸어, 머리가 멍해</t>
        </is>
      </c>
      <c r="F511" s="12" t="inlineStr">
        <is>
          <t>I've been staring at spreadsheets all day; my brain is fried.</t>
        </is>
      </c>
      <c r="G511" s="12" t="inlineStr">
        <is>
          <t>하루 종일 엑셀 시트만 쳐다봤더니 머리에 쥐가 날 것 같아.</t>
        </is>
      </c>
      <c r="H511" s="9">
        <f>HYPERLINK("https://www.youtube.com/watch?v=HTed60y_wXc", "영상 보기 ▶")</f>
        <v/>
      </c>
    </row>
    <row r="512" ht="26" customHeight="1">
      <c r="A512" s="2" t="n">
        <v>511</v>
      </c>
      <c r="B512" s="3" t="inlineStr">
        <is>
          <t>총정리 11탄</t>
        </is>
      </c>
      <c r="C512" s="3" t="inlineStr">
        <is>
          <t>상태 해명</t>
        </is>
      </c>
      <c r="D512" s="4" t="inlineStr">
        <is>
          <t>Sorry. I haven't had (my) coffee yet</t>
        </is>
      </c>
      <c r="E512" s="11" t="inlineStr">
        <is>
          <t>미안, 아직 모닝커피를 못 마셔서 정신이 멍하네</t>
        </is>
      </c>
      <c r="F512" s="11" t="inlineStr">
        <is>
          <t>Sorry, what did you say? I haven't had my coffee yet.</t>
        </is>
      </c>
      <c r="G512" s="11" t="inlineStr">
        <is>
          <t>미안, 뭐라고 했어? 아직 커피를 못 마셔서 제정신이 아니네.</t>
        </is>
      </c>
      <c r="H512" s="5">
        <f>HYPERLINK("https://www.youtube.com/watch?v=HTed60y_wXc", "영상 보기 ▶")</f>
        <v/>
      </c>
    </row>
    <row r="513" ht="26" customHeight="1">
      <c r="A513" s="6" t="n">
        <v>512</v>
      </c>
      <c r="B513" s="7" t="inlineStr">
        <is>
          <t>총정리 11탄</t>
        </is>
      </c>
      <c r="C513" s="7" t="inlineStr">
        <is>
          <t>경험/눈치</t>
        </is>
      </c>
      <c r="D513" s="8" t="inlineStr">
        <is>
          <t>I wasn't born yesterday</t>
        </is>
      </c>
      <c r="E513" s="12" t="inlineStr">
        <is>
          <t>나도 알 건 다 알아, 나 그렇게 호락호락하지 않아</t>
        </is>
      </c>
      <c r="F513" s="12" t="inlineStr">
        <is>
          <t>You don't need to lie to me; I wasn't born yesterday.</t>
        </is>
      </c>
      <c r="G513" s="12" t="inlineStr">
        <is>
          <t>나한테 거짓말할 필요 없어, 나도 세상 물정 모르는 바보 아니야.</t>
        </is>
      </c>
      <c r="H513" s="9">
        <f>HYPERLINK("https://www.youtube.com/watch?v=HTed60y_wXc", "영상 보기 ▶")</f>
        <v/>
      </c>
    </row>
    <row r="514" ht="26" customHeight="1">
      <c r="A514" s="2" t="n">
        <v>513</v>
      </c>
      <c r="B514" s="3" t="inlineStr">
        <is>
          <t>총정리 11탄</t>
        </is>
      </c>
      <c r="C514" s="3" t="inlineStr">
        <is>
          <t>미숙함</t>
        </is>
      </c>
      <c r="D514" s="4" t="inlineStr">
        <is>
          <t>rookie</t>
        </is>
      </c>
      <c r="E514" s="11" t="inlineStr">
        <is>
          <t>신참, 초보 (rookie mistake: 초보적인 실수)</t>
        </is>
      </c>
      <c r="F514" s="11" t="inlineStr">
        <is>
          <t>Don't beat yourself up; it was just a rookie mistake.</t>
        </is>
      </c>
      <c r="G514" s="11" t="inlineStr">
        <is>
          <t>너무 자책하지 마, 그건 그냥 초보적인 실수였어.</t>
        </is>
      </c>
      <c r="H514" s="5">
        <f>HYPERLINK("https://www.youtube.com/watch?v=HTed60y_wXc", "영상 보기 ▶")</f>
        <v/>
      </c>
    </row>
    <row r="515" ht="26" customHeight="1">
      <c r="A515" s="6" t="n">
        <v>514</v>
      </c>
      <c r="B515" s="7" t="inlineStr">
        <is>
          <t>총정리 11탄</t>
        </is>
      </c>
      <c r="C515" s="7" t="inlineStr">
        <is>
          <t>책임 전가</t>
        </is>
      </c>
      <c r="D515" s="8" t="inlineStr">
        <is>
          <t>point fingers</t>
        </is>
      </c>
      <c r="E515" s="12" t="inlineStr">
        <is>
          <t>(잘못에 대해) 남 탓을 하다, 손가락질하다</t>
        </is>
      </c>
      <c r="F515" s="12" t="inlineStr">
        <is>
          <t>Now is not the time to point fingers; let's fix the problem.</t>
        </is>
      </c>
      <c r="G515" s="12" t="inlineStr">
        <is>
          <t>지금은 남 탓할 때가 아닙니다, 문제 해결부터 합시다.</t>
        </is>
      </c>
      <c r="H515" s="9">
        <f>HYPERLINK("https://www.youtube.com/watch?v=HTed60y_wXc", "영상 보기 ▶")</f>
        <v/>
      </c>
    </row>
    <row r="516" ht="26" customHeight="1">
      <c r="A516" s="2" t="n">
        <v>515</v>
      </c>
      <c r="B516" s="3" t="inlineStr">
        <is>
          <t>총정리 11탄</t>
        </is>
      </c>
      <c r="C516" s="3" t="inlineStr">
        <is>
          <t>무의미함</t>
        </is>
      </c>
      <c r="D516" s="4" t="inlineStr">
        <is>
          <t>It's not going to get us anywhere</t>
        </is>
      </c>
      <c r="E516" s="11" t="inlineStr">
        <is>
          <t>그렇게 해봤자 아무런 도움/소용이 없어</t>
        </is>
      </c>
      <c r="F516" s="11" t="inlineStr">
        <is>
          <t>Arguing like this is not going to get us anywhere.</t>
        </is>
      </c>
      <c r="G516" s="11" t="inlineStr">
        <is>
          <t>이렇게 언쟁해 봤자 우리에게 아무런 득이 되지 않아.</t>
        </is>
      </c>
      <c r="H516" s="5">
        <f>HYPERLINK("https://www.youtube.com/watch?v=HTed60y_wXc", "영상 보기 ▶")</f>
        <v/>
      </c>
    </row>
    <row r="517" ht="26" customHeight="1">
      <c r="A517" s="6" t="n">
        <v>516</v>
      </c>
      <c r="B517" s="7" t="inlineStr">
        <is>
          <t>총정리 11탄</t>
        </is>
      </c>
      <c r="C517" s="7" t="inlineStr">
        <is>
          <t>감사 표현</t>
        </is>
      </c>
      <c r="D517" s="8" t="inlineStr">
        <is>
          <t>What would I do without you?</t>
        </is>
      </c>
      <c r="E517" s="12" t="inlineStr">
        <is>
          <t>너 없었으면 내가 어쩔 뻔했니! (진심 어린 감사)</t>
        </is>
      </c>
      <c r="F517" s="12" t="inlineStr">
        <is>
          <t>Thank you so much for saving the presentation. What would I do without you?</t>
        </is>
      </c>
      <c r="G517" s="12" t="inlineStr">
        <is>
          <t>발표 자료 살려줘서 정말 고마워. 너 없었으면 어쩔 뻔했니!</t>
        </is>
      </c>
      <c r="H517" s="9">
        <f>HYPERLINK("https://www.youtube.com/watch?v=HTed60y_wXc", "영상 보기 ▶")</f>
        <v/>
      </c>
    </row>
    <row r="518" ht="26" customHeight="1">
      <c r="A518" s="2" t="n">
        <v>517</v>
      </c>
      <c r="B518" s="3" t="inlineStr">
        <is>
          <t>총정리 11탄</t>
        </is>
      </c>
      <c r="C518" s="3" t="inlineStr">
        <is>
          <t>조심스런 제안</t>
        </is>
      </c>
      <c r="D518" s="4" t="inlineStr">
        <is>
          <t>I was thinking</t>
        </is>
      </c>
      <c r="E518" s="11" t="inlineStr">
        <is>
          <t>내 생각에는 말이지, 혹시 ~하면 어떨까 싶어서</t>
        </is>
      </c>
      <c r="F518" s="11" t="inlineStr">
        <is>
          <t>I was thinking we could reschedule our meeting to Thursday.</t>
        </is>
      </c>
      <c r="G518" s="11" t="inlineStr">
        <is>
          <t>우리 회의를 목요일로 조정하면 어떨까 생각 중이었어요.</t>
        </is>
      </c>
      <c r="H518" s="5">
        <f>HYPERLINK("https://www.youtube.com/watch?v=HTed60y_wXc", "영상 보기 ▶")</f>
        <v/>
      </c>
    </row>
    <row r="519" ht="26" customHeight="1">
      <c r="A519" s="6" t="n">
        <v>518</v>
      </c>
      <c r="B519" s="7" t="inlineStr">
        <is>
          <t>총정리 11탄</t>
        </is>
      </c>
      <c r="C519" s="7" t="inlineStr">
        <is>
          <t>업무 장악</t>
        </is>
      </c>
      <c r="D519" s="8" t="inlineStr">
        <is>
          <t>I'm on top of it</t>
        </is>
      </c>
      <c r="E519" s="12" t="inlineStr">
        <is>
          <t>내가 완벽하게 챙겨서 처리 중이야 (걱정 마)</t>
        </is>
      </c>
      <c r="F519" s="12" t="inlineStr">
        <is>
          <t>Don't worry about the shipment issue; I'm completely on top of it.</t>
        </is>
      </c>
      <c r="G519" s="12" t="inlineStr">
        <is>
          <t>배송 문제 걱정 마세요, 제가 확실히 챙겨보고 있습니다.</t>
        </is>
      </c>
      <c r="H519" s="9">
        <f>HYPERLINK("https://www.youtube.com/watch?v=HTed60y_wXc", "영상 보기 ▶")</f>
        <v/>
      </c>
    </row>
    <row r="520" ht="26" customHeight="1">
      <c r="A520" s="2" t="n">
        <v>519</v>
      </c>
      <c r="B520" s="3" t="inlineStr">
        <is>
          <t>총정리 11탄</t>
        </is>
      </c>
      <c r="C520" s="3" t="inlineStr">
        <is>
          <t>처리 완료</t>
        </is>
      </c>
      <c r="D520" s="4" t="inlineStr">
        <is>
          <t>It's already been taken care of</t>
        </is>
      </c>
      <c r="E520" s="11" t="inlineStr">
        <is>
          <t>그건 이미 다 처리되었습니다</t>
        </is>
      </c>
      <c r="F520" s="11" t="inlineStr">
        <is>
          <t>You don't need to book the tickets; it's already been taken care of.</t>
        </is>
      </c>
      <c r="G520" s="11" t="inlineStr">
        <is>
          <t>티켓 예매하실 필요 없어요, 이미 처리 완료되었습니다.</t>
        </is>
      </c>
      <c r="H520" s="5">
        <f>HYPERLINK("https://www.youtube.com/watch?v=HTed60y_wXc", "영상 보기 ▶")</f>
        <v/>
      </c>
    </row>
    <row r="521" ht="26" customHeight="1">
      <c r="A521" s="6" t="n">
        <v>520</v>
      </c>
      <c r="B521" s="7" t="inlineStr">
        <is>
          <t>총정리 11탄</t>
        </is>
      </c>
      <c r="C521" s="7" t="inlineStr">
        <is>
          <t>선의 해석</t>
        </is>
      </c>
      <c r="D521" s="8" t="inlineStr">
        <is>
          <t>Give (대상) the benefit of the doubt</t>
        </is>
      </c>
      <c r="E521" s="12" t="inlineStr">
        <is>
          <t>의심스럽더라도 일단 악의는 아닐 거라고 믿어주다</t>
        </is>
      </c>
      <c r="F521" s="12" t="inlineStr">
        <is>
          <t>Let's give him the benefit of the doubt until we hear his side.</t>
        </is>
      </c>
      <c r="G521" s="12" t="inlineStr">
        <is>
          <t>그 사람 입장도 들어볼 때까지는 일단 좋게 믿어줍시다.</t>
        </is>
      </c>
      <c r="H521" s="9">
        <f>HYPERLINK("https://www.youtube.com/watch?v=HTed60y_wXc", "영상 보기 ▶")</f>
        <v/>
      </c>
    </row>
    <row r="522" ht="26" customHeight="1">
      <c r="A522" s="2" t="n">
        <v>521</v>
      </c>
      <c r="B522" s="3" t="inlineStr">
        <is>
          <t>총정리 11탄</t>
        </is>
      </c>
      <c r="C522" s="3" t="inlineStr">
        <is>
          <t>품질/인성</t>
        </is>
      </c>
      <c r="D522" s="4" t="inlineStr">
        <is>
          <t>decent</t>
        </is>
      </c>
      <c r="E522" s="11" t="inlineStr">
        <is>
          <t>꽤 괜찮은, 수준급의, 품위 있는</t>
        </is>
      </c>
      <c r="F522" s="11" t="inlineStr">
        <is>
          <t>He offered me a decent salary and great benefits.</t>
        </is>
      </c>
      <c r="G522" s="11" t="inlineStr">
        <is>
          <t>그는 나에게 꽤 괜찮은 급여와 훌륭한 복지를 제안했어.</t>
        </is>
      </c>
      <c r="H522" s="5">
        <f>HYPERLINK("https://www.youtube.com/watch?v=HTed60y_wXc", "영상 보기 ▶")</f>
        <v/>
      </c>
    </row>
    <row r="523" ht="26" customHeight="1">
      <c r="A523" s="6" t="n">
        <v>522</v>
      </c>
      <c r="B523" s="7" t="inlineStr">
        <is>
          <t>총정리 11탄</t>
        </is>
      </c>
      <c r="C523" s="7" t="inlineStr">
        <is>
          <t>인간 도리</t>
        </is>
      </c>
      <c r="D523" s="8" t="inlineStr">
        <is>
          <t>It's only decent</t>
        </is>
      </c>
      <c r="E523" s="12" t="inlineStr">
        <is>
          <t>그게 사람 된 도리/기본 예의지</t>
        </is>
      </c>
      <c r="F523" s="12" t="inlineStr">
        <is>
          <t>Calling them back to apologize is only decent.</t>
        </is>
      </c>
      <c r="G523" s="12" t="inlineStr">
        <is>
          <t>다시 전화해서 사과하는 게 최소한의 인간적 도리죠.</t>
        </is>
      </c>
      <c r="H523" s="9">
        <f>HYPERLINK("https://www.youtube.com/watch?v=HTed60y_wXc", "영상 보기 ▶")</f>
        <v/>
      </c>
    </row>
    <row r="524" ht="26" customHeight="1">
      <c r="A524" s="2" t="n">
        <v>523</v>
      </c>
      <c r="B524" s="3" t="inlineStr">
        <is>
          <t>총정리 11탄</t>
        </is>
      </c>
      <c r="C524" s="3" t="inlineStr">
        <is>
          <t>성의 요구</t>
        </is>
      </c>
      <c r="D524" s="4" t="inlineStr">
        <is>
          <t>You could at least pretend ~</t>
        </is>
      </c>
      <c r="E524" s="11" t="inlineStr">
        <is>
          <t>적어도 ~하는 척이라도 할 수 있잖아</t>
        </is>
      </c>
      <c r="F524" s="11" t="inlineStr">
        <is>
          <t>You could at least pretend to be interested.</t>
        </is>
      </c>
      <c r="G524" s="11" t="inlineStr">
        <is>
          <t>적어도 관심 있는 척이라도 해줄 수 있잖아.</t>
        </is>
      </c>
      <c r="H524" s="5">
        <f>HYPERLINK("https://www.youtube.com/watch?v=HTed60y_wXc", "영상 보기 ▶")</f>
        <v/>
      </c>
    </row>
    <row r="525" ht="26" customHeight="1">
      <c r="A525" s="6" t="n">
        <v>524</v>
      </c>
      <c r="B525" s="7" t="inlineStr">
        <is>
          <t>총정리 11탄</t>
        </is>
      </c>
      <c r="C525" s="7" t="inlineStr">
        <is>
          <t>우연/운명</t>
        </is>
      </c>
      <c r="D525" s="8" t="inlineStr">
        <is>
          <t>It's a sign!</t>
        </is>
      </c>
      <c r="E525" s="12" t="inlineStr">
        <is>
          <t>이건 운명의 계시/징조야!</t>
        </is>
      </c>
      <c r="F525" s="12" t="inlineStr">
        <is>
          <t>We ran into each other twice today; it's a sign!</t>
        </is>
      </c>
      <c r="G525" s="12" t="inlineStr">
        <is>
          <t>우리 오늘 두 번이나 마주쳤잖아, 이건 분명 계시야!</t>
        </is>
      </c>
      <c r="H525" s="9">
        <f>HYPERLINK("https://www.youtube.com/watch?v=HTed60y_wXc", "영상 보기 ▶")</f>
        <v/>
      </c>
    </row>
    <row r="526" ht="26" customHeight="1">
      <c r="A526" s="2" t="n">
        <v>525</v>
      </c>
      <c r="B526" s="3" t="inlineStr">
        <is>
          <t>총정리 11탄</t>
        </is>
      </c>
      <c r="C526" s="3" t="inlineStr">
        <is>
          <t>핵심 수고</t>
        </is>
      </c>
      <c r="D526" s="4" t="inlineStr">
        <is>
          <t>heavy lifting</t>
        </is>
      </c>
      <c r="E526" s="11" t="inlineStr">
        <is>
          <t>가장 힘들고 고된 핵심 작업</t>
        </is>
      </c>
      <c r="F526" s="11" t="inlineStr">
        <is>
          <t>Thanks for doing all the heavy lifting on this report.</t>
        </is>
      </c>
      <c r="G526" s="11" t="inlineStr">
        <is>
          <t>이 보고서에서 가장 힘든 부분들을 다 도맡아 해줘서 고마워.</t>
        </is>
      </c>
      <c r="H526" s="5">
        <f>HYPERLINK("https://www.youtube.com/watch?v=HTed60y_wXc", "영상 보기 ▶")</f>
        <v/>
      </c>
    </row>
    <row r="527" ht="26" customHeight="1">
      <c r="A527" s="6" t="n">
        <v>526</v>
      </c>
      <c r="B527" s="7" t="inlineStr">
        <is>
          <t>총정리 11탄</t>
        </is>
      </c>
      <c r="C527" s="7" t="inlineStr">
        <is>
          <t>가능성 탐색</t>
        </is>
      </c>
      <c r="D527" s="8" t="inlineStr">
        <is>
          <t>explore</t>
        </is>
      </c>
      <c r="E527" s="12" t="inlineStr">
        <is>
          <t>(가능성, 대안을) 알아보다, 모색하다</t>
        </is>
      </c>
      <c r="F527" s="12" t="inlineStr">
        <is>
          <t>We should explore alternative solutions before deciding.</t>
        </is>
      </c>
      <c r="G527" s="12" t="inlineStr">
        <is>
          <t>결정하기 전에 다른 대안들도 모색해봐야 합니다.</t>
        </is>
      </c>
      <c r="H527" s="9">
        <f>HYPERLINK("https://www.youtube.com/watch?v=HTed60y_wXc", "영상 보기 ▶")</f>
        <v/>
      </c>
    </row>
    <row r="528" ht="26" customHeight="1">
      <c r="A528" s="2" t="n">
        <v>527</v>
      </c>
      <c r="B528" s="3" t="inlineStr">
        <is>
          <t>총정리 11탄</t>
        </is>
      </c>
      <c r="C528" s="3" t="inlineStr">
        <is>
          <t>주도성</t>
        </is>
      </c>
      <c r="D528" s="4" t="inlineStr">
        <is>
          <t>take the initiative</t>
        </is>
      </c>
      <c r="E528" s="11" t="inlineStr">
        <is>
          <t>주도권을 잡다, 솔선수범하다</t>
        </is>
      </c>
      <c r="F528" s="11" t="inlineStr">
        <is>
          <t>She took the initiative to organize the workshop.</t>
        </is>
      </c>
      <c r="G528" s="11" t="inlineStr">
        <is>
          <t>그녀가 솔선수범하여 워크숍 준비를 주도했어.</t>
        </is>
      </c>
      <c r="H528" s="5">
        <f>HYPERLINK("https://www.youtube.com/watch?v=HTed60y_wXc", "영상 보기 ▶")</f>
        <v/>
      </c>
    </row>
    <row r="529" ht="26" customHeight="1">
      <c r="A529" s="6" t="n">
        <v>528</v>
      </c>
      <c r="B529" s="7" t="inlineStr">
        <is>
          <t>총정리 11탄</t>
        </is>
      </c>
      <c r="C529" s="7" t="inlineStr">
        <is>
          <t>능동적 태도</t>
        </is>
      </c>
      <c r="D529" s="8" t="inlineStr">
        <is>
          <t>show initiative</t>
        </is>
      </c>
      <c r="E529" s="12" t="inlineStr">
        <is>
          <t>스스로 솔선수범하는 적극적인 태도를 보이다</t>
        </is>
      </c>
      <c r="F529" s="12" t="inlineStr">
        <is>
          <t>Management loves employees who show initiative.</t>
        </is>
      </c>
      <c r="G529" s="12" t="inlineStr">
        <is>
          <t>경영진은 능동적으로 솔선수범하는 직원을 높이 평가해요.</t>
        </is>
      </c>
      <c r="H529" s="9">
        <f>HYPERLINK("https://www.youtube.com/watch?v=HTed60y_wXc", "영상 보기 ▶")</f>
        <v/>
      </c>
    </row>
    <row r="530" ht="26" customHeight="1">
      <c r="A530" s="2" t="n">
        <v>529</v>
      </c>
      <c r="B530" s="3" t="inlineStr">
        <is>
          <t>총정리 11탄</t>
        </is>
      </c>
      <c r="C530" s="3" t="inlineStr">
        <is>
          <t>회복력</t>
        </is>
      </c>
      <c r="D530" s="4" t="inlineStr">
        <is>
          <t>resilient</t>
        </is>
      </c>
      <c r="E530" s="11" t="inlineStr">
        <is>
          <t>(시련에도 굴하지 않고) 회복력 있는, 꿋꿋한</t>
        </is>
      </c>
      <c r="F530" s="11" t="inlineStr">
        <is>
          <t>She is remarkably resilient, even during tough times.</t>
        </is>
      </c>
      <c r="G530" s="11" t="inlineStr">
        <is>
          <t>그녀는 힘든 시기에도 놀라울 정도로 꿋꿋하게 잘 이겨내요.</t>
        </is>
      </c>
      <c r="H530" s="5">
        <f>HYPERLINK("https://www.youtube.com/watch?v=HTed60y_wXc", "영상 보기 ▶")</f>
        <v/>
      </c>
    </row>
    <row r="531" ht="26" customHeight="1">
      <c r="A531" s="6" t="n">
        <v>530</v>
      </c>
      <c r="B531" s="7" t="inlineStr">
        <is>
          <t>총정리 11탄</t>
        </is>
      </c>
      <c r="C531" s="7" t="inlineStr">
        <is>
          <t>칭찬/격려</t>
        </is>
      </c>
      <c r="D531" s="8" t="inlineStr">
        <is>
          <t>Loving the can-do spirit!</t>
        </is>
      </c>
      <c r="E531" s="12" t="inlineStr">
        <is>
          <t>하면 된다는 긍정적인 적극성 너무 마음에 든다!</t>
        </is>
      </c>
      <c r="F531" s="12" t="inlineStr">
        <is>
          <t>That's the attitude! Loving the can-do spirit!</t>
        </is>
      </c>
      <c r="G531" s="12" t="inlineStr">
        <is>
          <t>바로 그 자세야! 하면 된다는 그 긍정 마인드 너무 좋아!</t>
        </is>
      </c>
      <c r="H531" s="9">
        <f>HYPERLINK("https://www.youtube.com/watch?v=HTed60y_wXc", "영상 보기 ▶")</f>
        <v/>
      </c>
    </row>
    <row r="532" ht="26" customHeight="1">
      <c r="A532" s="2" t="n">
        <v>531</v>
      </c>
      <c r="B532" s="3" t="inlineStr">
        <is>
          <t>총정리 11탄</t>
        </is>
      </c>
      <c r="C532" s="3" t="inlineStr">
        <is>
          <t>시간문제</t>
        </is>
      </c>
      <c r="D532" s="4" t="inlineStr">
        <is>
          <t>It's only/just a matter of time</t>
        </is>
      </c>
      <c r="E532" s="11" t="inlineStr">
        <is>
          <t>단지 시간문제일 뿐이야 (언젠가는 일어남)</t>
        </is>
      </c>
      <c r="F532" s="11" t="inlineStr">
        <is>
          <t>It's only a matter of time before electric cars dominate.</t>
        </is>
      </c>
      <c r="G532" s="11" t="inlineStr">
        <is>
          <t>전기차가 대세가 되는 것은 단지 시간문제일 뿐이야.</t>
        </is>
      </c>
      <c r="H532" s="5">
        <f>HYPERLINK("https://www.youtube.com/watch?v=HTed60y_wXc", "영상 보기 ▶")</f>
        <v/>
      </c>
    </row>
    <row r="533" ht="26" customHeight="1">
      <c r="A533" s="6" t="n">
        <v>532</v>
      </c>
      <c r="B533" s="7" t="inlineStr">
        <is>
          <t>총정리 11탄</t>
        </is>
      </c>
      <c r="C533" s="7" t="inlineStr">
        <is>
          <t>사업 중단</t>
        </is>
      </c>
      <c r="D533" s="8" t="inlineStr">
        <is>
          <t>pull the plug</t>
        </is>
      </c>
      <c r="E533" s="12" t="inlineStr">
        <is>
          <t>(프로젝트 등의) 지원을 끊다, 중단하다</t>
        </is>
      </c>
      <c r="F533" s="12" t="inlineStr">
        <is>
          <t>The board decided to pull the plug on the new project.</t>
        </is>
      </c>
      <c r="G533" s="12" t="inlineStr">
        <is>
          <t>이사회는 신규 프로젝트를 전면 중단하기로 결정했습니다.</t>
        </is>
      </c>
      <c r="H533" s="9">
        <f>HYPERLINK("https://www.youtube.com/watch?v=HTed60y_wXc", "영상 보기 ▶")</f>
        <v/>
      </c>
    </row>
    <row r="534" ht="26" customHeight="1">
      <c r="A534" s="2" t="n">
        <v>533</v>
      </c>
      <c r="B534" s="3" t="inlineStr">
        <is>
          <t>총정리 11탄</t>
        </is>
      </c>
      <c r="C534" s="3" t="inlineStr">
        <is>
          <t>예측</t>
        </is>
      </c>
      <c r="D534" s="4" t="inlineStr">
        <is>
          <t>I saw that coming a mile away</t>
        </is>
      </c>
      <c r="E534" s="11" t="inlineStr">
        <is>
          <t>난 그렇게 될 줄 진작부터 뻔히 알았어</t>
        </is>
      </c>
      <c r="F534" s="11" t="inlineStr">
        <is>
          <t>His resignation didn't surprise me; I saw that coming a mile away.</t>
        </is>
      </c>
      <c r="G534" s="11" t="inlineStr">
        <is>
          <t>그의 사직은 놀랍지도 않아, 진작부터 그렇게 될 줄 뻔히 보였거든.</t>
        </is>
      </c>
      <c r="H534" s="5">
        <f>HYPERLINK("https://www.youtube.com/watch?v=HTed60y_wXc", "영상 보기 ▶")</f>
        <v/>
      </c>
    </row>
    <row r="535" ht="26" customHeight="1">
      <c r="A535" s="6" t="n">
        <v>534</v>
      </c>
      <c r="B535" s="7" t="inlineStr">
        <is>
          <t>총정리 11탄</t>
        </is>
      </c>
      <c r="C535" s="7" t="inlineStr">
        <is>
          <t>권한 밖</t>
        </is>
      </c>
      <c r="D535" s="8" t="inlineStr">
        <is>
          <t>It's above my pay grade</t>
        </is>
      </c>
      <c r="E535" s="12" t="inlineStr">
        <is>
          <t>내 권한/역할 밖의 일이야 (윗선에서 결정할 일)</t>
        </is>
      </c>
      <c r="F535" s="12" t="inlineStr">
        <is>
          <t>Whether we acquire that firm is way above my pay grade.</t>
        </is>
      </c>
      <c r="G535" s="12" t="inlineStr">
        <is>
          <t>그 기업을 인수할지 여부는 제 권한 밖의 일입니다.</t>
        </is>
      </c>
      <c r="H535" s="9">
        <f>HYPERLINK("https://www.youtube.com/watch?v=HTed60y_wXc", "영상 보기 ▶")</f>
        <v/>
      </c>
    </row>
    <row r="536" ht="26" customHeight="1">
      <c r="A536" s="2" t="n">
        <v>535</v>
      </c>
      <c r="B536" s="3" t="inlineStr">
        <is>
          <t>총정리 11탄</t>
        </is>
      </c>
      <c r="C536" s="3" t="inlineStr">
        <is>
          <t>기습/당황</t>
        </is>
      </c>
      <c r="D536" s="4" t="inlineStr">
        <is>
          <t>It caught me off guard</t>
        </is>
      </c>
      <c r="E536" s="11" t="inlineStr">
        <is>
          <t>허를 찔렸다, 전혀 예상치 못해 허둥댔다</t>
        </is>
      </c>
      <c r="F536" s="11" t="inlineStr">
        <is>
          <t>His unexpected question caught everyone off guard.</t>
        </is>
      </c>
      <c r="G536" s="11" t="inlineStr">
        <is>
          <t>그의 뜻밖의 질문에 모두가 허를 찔려 당황했습니다.</t>
        </is>
      </c>
      <c r="H536" s="5">
        <f>HYPERLINK("https://www.youtube.com/watch?v=HTed60y_wXc", "영상 보기 ▶")</f>
        <v/>
      </c>
    </row>
    <row r="537" ht="26" customHeight="1">
      <c r="A537" s="6" t="n">
        <v>536</v>
      </c>
      <c r="B537" s="7" t="inlineStr">
        <is>
          <t>총정리 11탄</t>
        </is>
      </c>
      <c r="C537" s="7" t="inlineStr">
        <is>
          <t>명확화</t>
        </is>
      </c>
      <c r="D537" s="8" t="inlineStr">
        <is>
          <t>clarify</t>
        </is>
      </c>
      <c r="E537" s="12" t="inlineStr">
        <is>
          <t>명확하게 설명하다, 분명히 밝히다</t>
        </is>
      </c>
      <c r="F537" s="12" t="inlineStr">
        <is>
          <t>Could you clarify the delivery timeline for us?</t>
        </is>
      </c>
      <c r="G537" s="12" t="inlineStr">
        <is>
          <t>배송 일정에 대해 좀 더 명확히 설명해 주시겠어요?</t>
        </is>
      </c>
      <c r="H537" s="9">
        <f>HYPERLINK("https://www.youtube.com/watch?v=HTed60y_wXc", "영상 보기 ▶")</f>
        <v/>
      </c>
    </row>
    <row r="538" ht="26" customHeight="1">
      <c r="A538" s="2" t="n">
        <v>537</v>
      </c>
      <c r="B538" s="3" t="inlineStr">
        <is>
          <t>총정리 11탄</t>
        </is>
      </c>
      <c r="C538" s="3" t="inlineStr">
        <is>
          <t>적응/정착</t>
        </is>
      </c>
      <c r="D538" s="4" t="inlineStr">
        <is>
          <t>settle in</t>
        </is>
      </c>
      <c r="E538" s="11" t="inlineStr">
        <is>
          <t>(새로운 집/직장에) 자리를 잡다, 적응하다</t>
        </is>
      </c>
      <c r="F538" s="11" t="inlineStr">
        <is>
          <t>Take a few days to settle into your new office.</t>
        </is>
      </c>
      <c r="G538" s="11" t="inlineStr">
        <is>
          <t>새 사무실에 며칠 동안 편안하게 자리 잡으세요.</t>
        </is>
      </c>
      <c r="H538" s="5">
        <f>HYPERLINK("https://www.youtube.com/watch?v=HTed60y_wXc", "영상 보기 ▶")</f>
        <v/>
      </c>
    </row>
    <row r="539" ht="26" customHeight="1">
      <c r="A539" s="6" t="n">
        <v>538</v>
      </c>
      <c r="B539" s="7" t="inlineStr">
        <is>
          <t>총정리 11탄</t>
        </is>
      </c>
      <c r="C539" s="7" t="inlineStr">
        <is>
          <t>약속 이행</t>
        </is>
      </c>
      <c r="D539" s="8" t="inlineStr">
        <is>
          <t>honor</t>
        </is>
      </c>
      <c r="E539" s="12" t="inlineStr">
        <is>
          <t>(약속, 계약, 가격을) 이행하다, 존중해 지키다</t>
        </is>
      </c>
      <c r="F539" s="12" t="inlineStr">
        <is>
          <t>We always honor our warranty commitments.</t>
        </is>
      </c>
      <c r="G539" s="12" t="inlineStr">
        <is>
          <t>저희는 보증 약속을 반드시 성실히 이행합니다.</t>
        </is>
      </c>
      <c r="H539" s="9">
        <f>HYPERLINK("https://www.youtube.com/watch?v=HTed60y_wXc", "영상 보기 ▶")</f>
        <v/>
      </c>
    </row>
    <row r="540" ht="26" customHeight="1">
      <c r="A540" s="2" t="n">
        <v>539</v>
      </c>
      <c r="B540" s="3" t="inlineStr">
        <is>
          <t>총정리 11탄</t>
        </is>
      </c>
      <c r="C540" s="3" t="inlineStr">
        <is>
          <t>비즈니스 우려</t>
        </is>
      </c>
      <c r="D540" s="4" t="inlineStr">
        <is>
          <t>concern (명사)</t>
        </is>
      </c>
      <c r="E540" s="11" t="inlineStr">
        <is>
          <t>걱정거리, 우려 사항</t>
        </is>
      </c>
      <c r="F540" s="11" t="inlineStr">
        <is>
          <t>Our primary concern is ensuring product quality.</t>
        </is>
      </c>
      <c r="G540" s="11" t="inlineStr">
        <is>
          <t>저희의 최우선 관심사이자 우려는 제품 품질 확보입니다.</t>
        </is>
      </c>
      <c r="H540" s="5">
        <f>HYPERLINK("https://www.youtube.com/watch?v=HTed60y_wXc", "영상 보기 ▶")</f>
        <v/>
      </c>
    </row>
    <row r="541" ht="26" customHeight="1">
      <c r="A541" s="6" t="n">
        <v>540</v>
      </c>
      <c r="B541" s="7" t="inlineStr">
        <is>
          <t>총정리 11탄</t>
        </is>
      </c>
      <c r="C541" s="7" t="inlineStr">
        <is>
          <t>비즈니스 우려</t>
        </is>
      </c>
      <c r="D541" s="8" t="inlineStr">
        <is>
          <t>concern (동사)</t>
        </is>
      </c>
      <c r="E541" s="12" t="inlineStr">
        <is>
          <t>~에게 영향을 미치다, 심려를 끼치다</t>
        </is>
      </c>
      <c r="F541" s="12" t="inlineStr">
        <is>
          <t>What concerns me is the rising shipping cost.</t>
        </is>
      </c>
      <c r="G541" s="12" t="inlineStr">
        <is>
          <t>저를 우려스럽게 만드는 점은 치솟는 운송 비용입니다.</t>
        </is>
      </c>
      <c r="H541" s="9">
        <f>HYPERLINK("https://www.youtube.com/watch?v=HTed60y_wXc", "영상 보기 ▶")</f>
        <v/>
      </c>
    </row>
    <row r="542" ht="26" customHeight="1">
      <c r="A542" s="2" t="n">
        <v>541</v>
      </c>
      <c r="B542" s="3" t="inlineStr">
        <is>
          <t>총정리 11탄</t>
        </is>
      </c>
      <c r="C542" s="3" t="inlineStr">
        <is>
          <t>현시점</t>
        </is>
      </c>
      <c r="D542" s="4" t="inlineStr">
        <is>
          <t>at this point</t>
        </is>
      </c>
      <c r="E542" s="11" t="inlineStr">
        <is>
          <t>지금 이 시점에서는, 현재로서는</t>
        </is>
      </c>
      <c r="F542" s="11" t="inlineStr">
        <is>
          <t>There's really not much we can change at this point.</t>
        </is>
      </c>
      <c r="G542" s="11" t="inlineStr">
        <is>
          <t>현재 이 시점에서는 우리가 바꿀 수 있는 게 별로 없습니다.</t>
        </is>
      </c>
      <c r="H542" s="5">
        <f>HYPERLINK("https://www.youtube.com/watch?v=HTed60y_wXc", "영상 보기 ▶")</f>
        <v/>
      </c>
    </row>
    <row r="543" ht="26" customHeight="1">
      <c r="A543" s="6" t="n">
        <v>542</v>
      </c>
      <c r="B543" s="7" t="inlineStr">
        <is>
          <t>총정리 11탄</t>
        </is>
      </c>
      <c r="C543" s="7" t="inlineStr">
        <is>
          <t>주관적 견해</t>
        </is>
      </c>
      <c r="D543" s="8" t="inlineStr">
        <is>
          <t>as far as I'm concerned</t>
        </is>
      </c>
      <c r="E543" s="12" t="inlineStr">
        <is>
          <t>내 생각으로는, 내 입장에서는</t>
        </is>
      </c>
      <c r="F543" s="12" t="inlineStr">
        <is>
          <t>As far as I'm concerned, you did the right thing.</t>
        </is>
      </c>
      <c r="G543" s="12" t="inlineStr">
        <is>
          <t>내 입장에서는 네가 올바른 행동을 했다고 생각해.</t>
        </is>
      </c>
      <c r="H543" s="9">
        <f>HYPERLINK("https://www.youtube.com/watch?v=HTed60y_wXc", "영상 보기 ▶")</f>
        <v/>
      </c>
    </row>
    <row r="544" ht="26" customHeight="1">
      <c r="A544" s="2" t="n">
        <v>543</v>
      </c>
      <c r="B544" s="3" t="inlineStr">
        <is>
          <t>총정리 11탄</t>
        </is>
      </c>
      <c r="C544" s="3" t="inlineStr">
        <is>
          <t>정보 확인</t>
        </is>
      </c>
      <c r="D544" s="4" t="inlineStr">
        <is>
          <t>as far as I know</t>
        </is>
      </c>
      <c r="E544" s="11" t="inlineStr">
        <is>
          <t>내가 아는 바로는</t>
        </is>
      </c>
      <c r="F544" s="11" t="inlineStr">
        <is>
          <t>As far as I know, the client approved the draft.</t>
        </is>
      </c>
      <c r="G544" s="11" t="inlineStr">
        <is>
          <t>내가 아는 바로는 고객사에서 초안을 승인했어.</t>
        </is>
      </c>
      <c r="H544" s="5">
        <f>HYPERLINK("https://www.youtube.com/watch?v=HTed60y_wXc", "영상 보기 ▶")</f>
        <v/>
      </c>
    </row>
    <row r="545" ht="26" customHeight="1">
      <c r="A545" s="6" t="n">
        <v>544</v>
      </c>
      <c r="B545" s="7" t="inlineStr">
        <is>
          <t>총정리 11탄</t>
        </is>
      </c>
      <c r="C545" s="7" t="inlineStr">
        <is>
          <t>조건 부사</t>
        </is>
      </c>
      <c r="D545" s="8" t="inlineStr">
        <is>
          <t>as long as</t>
        </is>
      </c>
      <c r="E545" s="12" t="inlineStr">
        <is>
          <t>~하는 한, ~하기만 하면</t>
        </is>
      </c>
      <c r="F545" s="12" t="inlineStr">
        <is>
          <t>I don't mind staying late as long as we finish the task.</t>
        </is>
      </c>
      <c r="G545" s="12" t="inlineStr">
        <is>
          <t>일만 끝낼 수 있다면 야근하는 것도 상관없어요.</t>
        </is>
      </c>
      <c r="H545" s="9">
        <f>HYPERLINK("https://www.youtube.com/watch?v=HTed60y_wXc", "영상 보기 ▶")</f>
        <v/>
      </c>
    </row>
    <row r="546" ht="26" customHeight="1">
      <c r="A546" s="2" t="n">
        <v>545</v>
      </c>
      <c r="B546" s="3" t="inlineStr">
        <is>
          <t>총정리 11탄</t>
        </is>
      </c>
      <c r="C546" s="3" t="inlineStr">
        <is>
          <t>만족 표현</t>
        </is>
      </c>
      <c r="D546" s="4" t="inlineStr">
        <is>
          <t>That's all I can ask for</t>
        </is>
      </c>
      <c r="E546" s="11" t="inlineStr">
        <is>
          <t>그 이상 더 바랄 게 없죠, 그것만으로 충분해요</t>
        </is>
      </c>
      <c r="F546" s="11" t="inlineStr">
        <is>
          <t>You did your best, and that's all I can ask for.</t>
        </is>
      </c>
      <c r="G546" s="11" t="inlineStr">
        <is>
          <t>최선을 다해줬으니, 저로선 그 이상 바랄 게 없습니다.</t>
        </is>
      </c>
      <c r="H546" s="5">
        <f>HYPERLINK("https://www.youtube.com/watch?v=HTed60y_wXc", "영상 보기 ▶")</f>
        <v/>
      </c>
    </row>
    <row r="547" ht="26" customHeight="1">
      <c r="A547" s="6" t="n">
        <v>546</v>
      </c>
      <c r="B547" s="7" t="inlineStr">
        <is>
          <t>총정리 11탄</t>
        </is>
      </c>
      <c r="C547" s="7" t="inlineStr">
        <is>
          <t>간곡한 바람</t>
        </is>
      </c>
      <c r="D547" s="8" t="inlineStr">
        <is>
          <t>All I ask is that ~</t>
        </is>
      </c>
      <c r="E547" s="12" t="inlineStr">
        <is>
          <t>내가 바라는 것은 오직 ~뿐이다</t>
        </is>
      </c>
      <c r="F547" s="12" t="inlineStr">
        <is>
          <t>All I ask is that you give it a fair chance.</t>
        </is>
      </c>
      <c r="G547" s="12" t="inlineStr">
        <is>
          <t>내가 바라는 건 네가 공평하게 기회를 한 번 줘보는 것뿐이야.</t>
        </is>
      </c>
      <c r="H547" s="9">
        <f>HYPERLINK("https://www.youtube.com/watch?v=HTed60y_wXc", "영상 보기 ▶")</f>
        <v/>
      </c>
    </row>
    <row r="548" ht="26" customHeight="1">
      <c r="A548" s="2" t="n">
        <v>547</v>
      </c>
      <c r="B548" s="3" t="inlineStr">
        <is>
          <t>총정리 11탄</t>
        </is>
      </c>
      <c r="C548" s="3" t="inlineStr">
        <is>
          <t>안도/기쁨</t>
        </is>
      </c>
      <c r="D548" s="4" t="inlineStr">
        <is>
          <t>Glad to hear that</t>
        </is>
      </c>
      <c r="E548" s="11" t="inlineStr">
        <is>
          <t>그 말을 들으니 정말 다행이고 기쁘네요</t>
        </is>
      </c>
      <c r="F548" s="11" t="inlineStr">
        <is>
          <t>You passed the exam? I'm so glad to hear that!</t>
        </is>
      </c>
      <c r="G548" s="11" t="inlineStr">
        <is>
          <t>시험에 합격했어? 그 소식 들으니 정말 기쁘다!</t>
        </is>
      </c>
      <c r="H548" s="5">
        <f>HYPERLINK("https://www.youtube.com/watch?v=HTed60y_wXc", "영상 보기 ▶")</f>
        <v/>
      </c>
    </row>
    <row r="549" ht="26" customHeight="1">
      <c r="A549" s="6" t="n">
        <v>548</v>
      </c>
      <c r="B549" s="7" t="inlineStr">
        <is>
          <t>총정리 11탄</t>
        </is>
      </c>
      <c r="C549" s="7" t="inlineStr">
        <is>
          <t>의문/눈총</t>
        </is>
      </c>
      <c r="D549" s="8" t="inlineStr">
        <is>
          <t>raise an eyebrow / eyebrows</t>
        </is>
      </c>
      <c r="E549" s="12" t="inlineStr">
        <is>
          <t>눈살을 찌푸리게 하다, 의아해하게 만들다</t>
        </is>
      </c>
      <c r="F549" s="12" t="inlineStr">
        <is>
          <t>His sudden change of tone raised a few eyebrows in the room.</t>
        </is>
      </c>
      <c r="G549" s="12" t="inlineStr">
        <is>
          <t>그의 갑작스러운 어조 변화에 회의실 안의 몇몇 사람들이 의아해했어.</t>
        </is>
      </c>
      <c r="H549" s="9">
        <f>HYPERLINK("https://www.youtube.com/watch?v=HTed60y_wXc", "영상 보기 ▶")</f>
        <v/>
      </c>
    </row>
    <row r="550" ht="26" customHeight="1">
      <c r="A550" s="2" t="n">
        <v>549</v>
      </c>
      <c r="B550" s="3" t="inlineStr">
        <is>
          <t>총정리 11탄</t>
        </is>
      </c>
      <c r="C550" s="3" t="inlineStr">
        <is>
          <t>완벽한 일치</t>
        </is>
      </c>
      <c r="D550" s="4" t="inlineStr">
        <is>
          <t>You read my mind</t>
        </is>
      </c>
      <c r="E550" s="11" t="inlineStr">
        <is>
          <t>내 마음을 그대로 읽었네! (딱 그 생각 중이었어)</t>
        </is>
      </c>
      <c r="F550" s="11" t="inlineStr">
        <is>
          <t>Let's grab some iced coffee. - You read my mind!</t>
        </is>
      </c>
      <c r="G550" s="11" t="inlineStr">
        <is>
          <t>아이스 커피 한잔할까? - 내 마음을 그대로 읽었네!</t>
        </is>
      </c>
      <c r="H550" s="5">
        <f>HYPERLINK("https://www.youtube.com/watch?v=HTed60y_wXc", "영상 보기 ▶")</f>
        <v/>
      </c>
    </row>
    <row r="551" ht="26" customHeight="1">
      <c r="A551" s="6" t="n">
        <v>550</v>
      </c>
      <c r="B551" s="7" t="inlineStr">
        <is>
          <t>총정리 11탄</t>
        </is>
      </c>
      <c r="C551" s="7" t="inlineStr">
        <is>
          <t>경고/자제</t>
        </is>
      </c>
      <c r="D551" s="8" t="inlineStr">
        <is>
          <t>Don't push it</t>
        </is>
      </c>
      <c r="E551" s="12" t="inlineStr">
        <is>
          <t>너무 무리하지 마, 선 넘지 마 (욕심부리지 마)</t>
        </is>
      </c>
      <c r="F551" s="12" t="inlineStr">
        <is>
          <t>I agreed to help you today, but don't push it.</t>
        </is>
      </c>
      <c r="G551" s="12" t="inlineStr">
        <is>
          <t>오늘 도와주겠다고는 했지만, 너무 무리한 부탁으로 선 넘지는 마.</t>
        </is>
      </c>
      <c r="H551" s="9">
        <f>HYPERLINK("https://www.youtube.com/watch?v=HTed60y_wXc", "영상 보기 ▶")</f>
        <v/>
      </c>
    </row>
    <row r="552" ht="26" customHeight="1">
      <c r="A552" s="2" t="n">
        <v>551</v>
      </c>
      <c r="B552" s="3" t="inlineStr">
        <is>
          <t>총정리 12탄</t>
        </is>
      </c>
      <c r="C552" s="3" t="inlineStr">
        <is>
          <t>다재다능</t>
        </is>
      </c>
      <c r="D552" s="4" t="inlineStr">
        <is>
          <t>versatile</t>
        </is>
      </c>
      <c r="E552" s="11" t="inlineStr">
        <is>
          <t>다재다능한, 다목적의, 다용도의</t>
        </is>
      </c>
      <c r="F552" s="11" t="inlineStr">
        <is>
          <t>This software is incredibly versatile and user-friendly.</t>
        </is>
      </c>
      <c r="G552" s="11" t="inlineStr">
        <is>
          <t>이 소프트웨어는 믿을 수 없을 정도로 다목적이고 쓰기 편해요.</t>
        </is>
      </c>
      <c r="H552" s="5">
        <f>HYPERLINK("https://www.youtube.com/watch?v=Vy0dWpnMYR8", "영상 보기 ▶")</f>
        <v/>
      </c>
    </row>
    <row r="553" ht="26" customHeight="1">
      <c r="A553" s="6" t="n">
        <v>552</v>
      </c>
      <c r="B553" s="7" t="inlineStr">
        <is>
          <t>총정리 12탄</t>
        </is>
      </c>
      <c r="C553" s="7" t="inlineStr">
        <is>
          <t>논란</t>
        </is>
      </c>
      <c r="D553" s="8" t="inlineStr">
        <is>
          <t>controversial</t>
        </is>
      </c>
      <c r="E553" s="12" t="inlineStr">
        <is>
          <t>논란의 여지가 있는, 이견이 많은</t>
        </is>
      </c>
      <c r="F553" s="12" t="inlineStr">
        <is>
          <t>Nuclear energy remains a highly controversial topic.</t>
        </is>
      </c>
      <c r="G553" s="12" t="inlineStr">
        <is>
          <t>원자력 에너지는 여전히 매우 논쟁의 여지가 많은 주제입니다.</t>
        </is>
      </c>
      <c r="H553" s="9">
        <f>HYPERLINK("https://www.youtube.com/watch?v=Vy0dWpnMYR8", "영상 보기 ▶")</f>
        <v/>
      </c>
    </row>
    <row r="554" ht="26" customHeight="1">
      <c r="A554" s="2" t="n">
        <v>553</v>
      </c>
      <c r="B554" s="3" t="inlineStr">
        <is>
          <t>총정리 12탄</t>
        </is>
      </c>
      <c r="C554" s="3" t="inlineStr">
        <is>
          <t>민감성</t>
        </is>
      </c>
      <c r="D554" s="4" t="inlineStr">
        <is>
          <t>touchy</t>
        </is>
      </c>
      <c r="E554" s="11" t="inlineStr">
        <is>
          <t>민감한, 조심해서 다뤄야 하는, 예민한</t>
        </is>
      </c>
      <c r="F554" s="11" t="inlineStr">
        <is>
          <t>Salary is always a touchy subject during interviews.</t>
        </is>
      </c>
      <c r="G554" s="11" t="inlineStr">
        <is>
          <t>연봉은 면접 시 항상 조심스럽게 다뤄야 할 민감한 주제입니다.</t>
        </is>
      </c>
      <c r="H554" s="5">
        <f>HYPERLINK("https://www.youtube.com/watch?v=Vy0dWpnMYR8", "영상 보기 ▶")</f>
        <v/>
      </c>
    </row>
    <row r="555" ht="26" customHeight="1">
      <c r="A555" s="6" t="n">
        <v>554</v>
      </c>
      <c r="B555" s="7" t="inlineStr">
        <is>
          <t>총정리 12탄</t>
        </is>
      </c>
      <c r="C555" s="7" t="inlineStr">
        <is>
          <t>충격/분노</t>
        </is>
      </c>
      <c r="D555" s="8" t="inlineStr">
        <is>
          <t>outrageous</t>
        </is>
      </c>
      <c r="E555" s="12" t="inlineStr">
        <is>
          <t>너무나 충격적인, 터무니없는 (가격/행동)</t>
        </is>
      </c>
      <c r="F555" s="12" t="inlineStr">
        <is>
          <t>Charging that much for parking is completely outrageous.</t>
        </is>
      </c>
      <c r="G555" s="12" t="inlineStr">
        <is>
          <t>주차비로 그렇게 많이 청구하는 건 완전 터무니없어.</t>
        </is>
      </c>
      <c r="H555" s="9">
        <f>HYPERLINK("https://www.youtube.com/watch?v=Vy0dWpnMYR8", "영상 보기 ▶")</f>
        <v/>
      </c>
    </row>
    <row r="556" ht="26" customHeight="1">
      <c r="A556" s="2" t="n">
        <v>555</v>
      </c>
      <c r="B556" s="3" t="inlineStr">
        <is>
          <t>총정리 12탄</t>
        </is>
      </c>
      <c r="C556" s="3" t="inlineStr">
        <is>
          <t>치명적 충격</t>
        </is>
      </c>
      <c r="D556" s="4" t="inlineStr">
        <is>
          <t>devastating</t>
        </is>
      </c>
      <c r="E556" s="11" t="inlineStr">
        <is>
          <t>엄청나게 파괴적인, 대단히 충격적인</t>
        </is>
      </c>
      <c r="F556" s="11" t="inlineStr">
        <is>
          <t>Losing our main client was a devastating blow.</t>
        </is>
      </c>
      <c r="G556" s="11" t="inlineStr">
        <is>
          <t>주요 고객사를 잃은 것은 엄청난 타격이었습니다.</t>
        </is>
      </c>
      <c r="H556" s="5">
        <f>HYPERLINK("https://www.youtube.com/watch?v=Vy0dWpnMYR8", "영상 보기 ▶")</f>
        <v/>
      </c>
    </row>
    <row r="557" ht="26" customHeight="1">
      <c r="A557" s="6" t="n">
        <v>556</v>
      </c>
      <c r="B557" s="7" t="inlineStr">
        <is>
          <t>총정리 12탄</t>
        </is>
      </c>
      <c r="C557" s="7" t="inlineStr">
        <is>
          <t>요령 터득</t>
        </is>
      </c>
      <c r="D557" s="8" t="inlineStr">
        <is>
          <t>get the hang of</t>
        </is>
      </c>
      <c r="E557" s="12" t="inlineStr">
        <is>
          <t>~의 요령을 터득하다, 감을 잡다</t>
        </is>
      </c>
      <c r="F557" s="12" t="inlineStr">
        <is>
          <t>It seems tricky at first, but you'll get the hang of it soon.</t>
        </is>
      </c>
      <c r="G557" s="12" t="inlineStr">
        <is>
          <t>처음엔 까다로워 보이지만 곧 감을 잡게 될 거야.</t>
        </is>
      </c>
      <c r="H557" s="9">
        <f>HYPERLINK("https://www.youtube.com/watch?v=Vy0dWpnMYR8", "영상 보기 ▶")</f>
        <v/>
      </c>
    </row>
    <row r="558" ht="26" customHeight="1">
      <c r="A558" s="2" t="n">
        <v>557</v>
      </c>
      <c r="B558" s="3" t="inlineStr">
        <is>
          <t>총정리 12탄</t>
        </is>
      </c>
      <c r="C558" s="3" t="inlineStr">
        <is>
          <t>적응</t>
        </is>
      </c>
      <c r="D558" s="4" t="inlineStr">
        <is>
          <t>get used to</t>
        </is>
      </c>
      <c r="E558" s="11" t="inlineStr">
        <is>
          <t>~에 익숙해지다</t>
        </is>
      </c>
      <c r="F558" s="11" t="inlineStr">
        <is>
          <t>I'm still getting used to waking up early for work.</t>
        </is>
      </c>
      <c r="G558" s="11" t="inlineStr">
        <is>
          <t>출근하려고 일찍 일어나는 것에 아직 적응 중이에요.</t>
        </is>
      </c>
      <c r="H558" s="5">
        <f>HYPERLINK("https://www.youtube.com/watch?v=Vy0dWpnMYR8", "영상 보기 ▶")</f>
        <v/>
      </c>
    </row>
    <row r="559" ht="26" customHeight="1">
      <c r="A559" s="6" t="n">
        <v>558</v>
      </c>
      <c r="B559" s="7" t="inlineStr">
        <is>
          <t>총정리 12탄</t>
        </is>
      </c>
      <c r="C559" s="7" t="inlineStr">
        <is>
          <t>비즈니스 약어</t>
        </is>
      </c>
      <c r="D559" s="8" t="inlineStr">
        <is>
          <t>TBD (= To Be Determined)</t>
        </is>
      </c>
      <c r="E559" s="12" t="inlineStr">
        <is>
          <t>추후 결정/확정 예정</t>
        </is>
      </c>
      <c r="F559" s="12" t="inlineStr">
        <is>
          <t>The exact meeting location is still TBD.</t>
        </is>
      </c>
      <c r="G559" s="12" t="inlineStr">
        <is>
          <t>정확한 회의 장소는 아직 추후 결정 예정입니다.</t>
        </is>
      </c>
      <c r="H559" s="9">
        <f>HYPERLINK("https://www.youtube.com/watch?v=Vy0dWpnMYR8", "영상 보기 ▶")</f>
        <v/>
      </c>
    </row>
    <row r="560" ht="26" customHeight="1">
      <c r="A560" s="2" t="n">
        <v>559</v>
      </c>
      <c r="B560" s="3" t="inlineStr">
        <is>
          <t>총정리 12탄</t>
        </is>
      </c>
      <c r="C560" s="3" t="inlineStr">
        <is>
          <t>비즈니스 약어</t>
        </is>
      </c>
      <c r="D560" s="4" t="inlineStr">
        <is>
          <t>ETA (= Estimated Time of Arrival)</t>
        </is>
      </c>
      <c r="E560" s="11" t="inlineStr">
        <is>
          <t>도착 예정 시간</t>
        </is>
      </c>
      <c r="F560" s="11" t="inlineStr">
        <is>
          <t>What's your ETA? We're waiting in the lobby.</t>
        </is>
      </c>
      <c r="G560" s="11" t="inlineStr">
        <is>
          <t>도착 예정 시간이 언제야? 우리 로비에서 기다리고 있어.</t>
        </is>
      </c>
      <c r="H560" s="5">
        <f>HYPERLINK("https://www.youtube.com/watch?v=Vy0dWpnMYR8", "영상 보기 ▶")</f>
        <v/>
      </c>
    </row>
    <row r="561" ht="26" customHeight="1">
      <c r="A561" s="6" t="n">
        <v>560</v>
      </c>
      <c r="B561" s="7" t="inlineStr">
        <is>
          <t>총정리 12탄</t>
        </is>
      </c>
      <c r="C561" s="7" t="inlineStr">
        <is>
          <t>유연한 대처</t>
        </is>
      </c>
      <c r="D561" s="8" t="inlineStr">
        <is>
          <t>play it by ear</t>
        </is>
      </c>
      <c r="E561" s="12" t="inlineStr">
        <is>
          <t>상황을 봐가며 그때그때 대처하다</t>
        </is>
      </c>
      <c r="F561" s="12" t="inlineStr">
        <is>
          <t>We don't have a fixed plan; let's just play it by ear.</t>
        </is>
      </c>
      <c r="G561" s="12" t="inlineStr">
        <is>
          <t>정해진 계획은 없으니 그냥 상황 봐가며 유연하게 하자.</t>
        </is>
      </c>
      <c r="H561" s="9">
        <f>HYPERLINK("https://www.youtube.com/watch?v=Vy0dWpnMYR8", "영상 보기 ▶")</f>
        <v/>
      </c>
    </row>
    <row r="562" ht="26" customHeight="1">
      <c r="A562" s="2" t="n">
        <v>561</v>
      </c>
      <c r="B562" s="3" t="inlineStr">
        <is>
          <t>총정리 12탄</t>
        </is>
      </c>
      <c r="C562" s="3" t="inlineStr">
        <is>
          <t>천부적 재능</t>
        </is>
      </c>
      <c r="D562" s="4" t="inlineStr">
        <is>
          <t>born</t>
        </is>
      </c>
      <c r="E562" s="11" t="inlineStr">
        <is>
          <t>타고난, 천성의 (a born leader/communicator)</t>
        </is>
      </c>
      <c r="F562" s="11" t="inlineStr">
        <is>
          <t>She doesn't even have to try; she's a born storyteller.</t>
        </is>
      </c>
      <c r="G562" s="11" t="inlineStr">
        <is>
          <t>그녀는 노력할 필요도 없어, 타고난 이야기꾼이야.</t>
        </is>
      </c>
      <c r="H562" s="5">
        <f>HYPERLINK("https://www.youtube.com/watch?v=Vy0dWpnMYR8", "영상 보기 ▶")</f>
        <v/>
      </c>
    </row>
    <row r="563" ht="26" customHeight="1">
      <c r="A563" s="6" t="n">
        <v>562</v>
      </c>
      <c r="B563" s="7" t="inlineStr">
        <is>
          <t>총정리 12탄</t>
        </is>
      </c>
      <c r="C563" s="7" t="inlineStr">
        <is>
          <t>출신/성장</t>
        </is>
      </c>
      <c r="D563" s="8" t="inlineStr">
        <is>
          <t>born and raised</t>
        </is>
      </c>
      <c r="E563" s="12" t="inlineStr">
        <is>
          <t>~에서 태어나고 자란, 토박이의</t>
        </is>
      </c>
      <c r="F563" s="12" t="inlineStr">
        <is>
          <t>I was born and raised right here in Seoul.</t>
        </is>
      </c>
      <c r="G563" s="12" t="inlineStr">
        <is>
          <t>저는 바로 이곳 서울에서 나고 자란 토박이입니다.</t>
        </is>
      </c>
      <c r="H563" s="9">
        <f>HYPERLINK("https://www.youtube.com/watch?v=Vy0dWpnMYR8", "영상 보기 ▶")</f>
        <v/>
      </c>
    </row>
    <row r="564" ht="26" customHeight="1">
      <c r="A564" s="2" t="n">
        <v>563</v>
      </c>
      <c r="B564" s="3" t="inlineStr">
        <is>
          <t>총정리 12탄</t>
        </is>
      </c>
      <c r="C564" s="3" t="inlineStr">
        <is>
          <t>애정/약함</t>
        </is>
      </c>
      <c r="D564" s="4" t="inlineStr">
        <is>
          <t>have a soft spot for</t>
        </is>
      </c>
      <c r="E564" s="11" t="inlineStr">
        <is>
          <t>~를 유독 좋아하다, ~에게 마음이 약하다</t>
        </is>
      </c>
      <c r="F564" s="11" t="inlineStr">
        <is>
          <t>My grandfather always has a soft spot for his grandkids.</t>
        </is>
      </c>
      <c r="G564" s="11" t="inlineStr">
        <is>
          <t>우리 할아버지는 손주들에게 유독 마음이 약하고 다정하셔.</t>
        </is>
      </c>
      <c r="H564" s="5">
        <f>HYPERLINK("https://www.youtube.com/watch?v=Vy0dWpnMYR8", "영상 보기 ▶")</f>
        <v/>
      </c>
    </row>
    <row r="565" ht="26" customHeight="1">
      <c r="A565" s="6" t="n">
        <v>564</v>
      </c>
      <c r="B565" s="7" t="inlineStr">
        <is>
          <t>총정리 12탄</t>
        </is>
      </c>
      <c r="C565" s="7" t="inlineStr">
        <is>
          <t>전례 없음</t>
        </is>
      </c>
      <c r="D565" s="8" t="inlineStr">
        <is>
          <t>unprecedented</t>
        </is>
      </c>
      <c r="E565" s="12" t="inlineStr">
        <is>
          <t>전례 없는, 유례없는</t>
        </is>
      </c>
      <c r="F565" s="12" t="inlineStr">
        <is>
          <t>The company achieved unprecedented growth this quarter.</t>
        </is>
      </c>
      <c r="G565" s="12" t="inlineStr">
        <is>
          <t>회사는 이번 분기에 유례없는 성장을 달성했습니다.</t>
        </is>
      </c>
      <c r="H565" s="9">
        <f>HYPERLINK("https://www.youtube.com/watch?v=Vy0dWpnMYR8", "영상 보기 ▶")</f>
        <v/>
      </c>
    </row>
    <row r="566" ht="26" customHeight="1">
      <c r="A566" s="2" t="n">
        <v>565</v>
      </c>
      <c r="B566" s="3" t="inlineStr">
        <is>
          <t>총정리 12탄</t>
        </is>
      </c>
      <c r="C566" s="3" t="inlineStr">
        <is>
          <t>기원/원인</t>
        </is>
      </c>
      <c r="D566" s="4" t="inlineStr">
        <is>
          <t>stem from</t>
        </is>
      </c>
      <c r="E566" s="11" t="inlineStr">
        <is>
          <t>~에서 비롯되다, 유래하다</t>
        </is>
      </c>
      <c r="F566" s="11" t="inlineStr">
        <is>
          <t>Most workplace conflicts stem from poor communication.</t>
        </is>
      </c>
      <c r="G566" s="11" t="inlineStr">
        <is>
          <t>대부분의 직장 내 갈등은 소통 부재에서 비롯됩니다.</t>
        </is>
      </c>
      <c r="H566" s="5">
        <f>HYPERLINK("https://www.youtube.com/watch?v=Vy0dWpnMYR8", "영상 보기 ▶")</f>
        <v/>
      </c>
    </row>
    <row r="567" ht="26" customHeight="1">
      <c r="A567" s="6" t="n">
        <v>566</v>
      </c>
      <c r="B567" s="7" t="inlineStr">
        <is>
          <t>총정리 12탄</t>
        </is>
      </c>
      <c r="C567" s="7" t="inlineStr">
        <is>
          <t>인조/모조</t>
        </is>
      </c>
      <c r="D567" s="8" t="inlineStr">
        <is>
          <t>faux</t>
        </is>
      </c>
      <c r="E567" s="12" t="inlineStr">
        <is>
          <t>가짜의, 인조의 (faux leather / faux fur, 발음: 포)</t>
        </is>
      </c>
      <c r="F567" s="12" t="inlineStr">
        <is>
          <t>This stylish jacket is made of high-quality faux leather.</t>
        </is>
      </c>
      <c r="G567" s="12" t="inlineStr">
        <is>
          <t>이 멋진 재킷은 고급 인조 가죽으로 만들어졌어.</t>
        </is>
      </c>
      <c r="H567" s="9">
        <f>HYPERLINK("https://www.youtube.com/watch?v=Vy0dWpnMYR8", "영상 보기 ▶")</f>
        <v/>
      </c>
    </row>
    <row r="568" ht="26" customHeight="1">
      <c r="A568" s="2" t="n">
        <v>567</v>
      </c>
      <c r="B568" s="3" t="inlineStr">
        <is>
          <t>총정리 12탄</t>
        </is>
      </c>
      <c r="C568" s="3" t="inlineStr">
        <is>
          <t>순식간</t>
        </is>
      </c>
      <c r="D568" s="4" t="inlineStr">
        <is>
          <t>before you know it</t>
        </is>
      </c>
      <c r="E568" s="11" t="inlineStr">
        <is>
          <t>순식간에, 눈 깜짝할 사이에</t>
        </is>
      </c>
      <c r="F568" s="11" t="inlineStr">
        <is>
          <t>Hang in there; the weekend will be here before you know it.</t>
        </is>
      </c>
      <c r="G568" s="11" t="inlineStr">
        <is>
          <t>조금만 힘내, 눈 깜짝할 사이에 주말이 올 거야.</t>
        </is>
      </c>
      <c r="H568" s="5">
        <f>HYPERLINK("https://www.youtube.com/watch?v=Vy0dWpnMYR8", "영상 보기 ▶")</f>
        <v/>
      </c>
    </row>
    <row r="569" ht="26" customHeight="1">
      <c r="A569" s="6" t="n">
        <v>568</v>
      </c>
      <c r="B569" s="7" t="inlineStr">
        <is>
          <t>총정리 12탄</t>
        </is>
      </c>
      <c r="C569" s="7" t="inlineStr">
        <is>
          <t>표현 어감</t>
        </is>
      </c>
      <c r="D569" s="8" t="inlineStr">
        <is>
          <t>strong word</t>
        </is>
      </c>
      <c r="E569" s="12" t="inlineStr">
        <is>
          <t>어감이 센 단어, 조심히 써야 할 표현</t>
        </is>
      </c>
      <c r="F569" s="12" t="inlineStr">
        <is>
          <t>Hate is a strong word; I just prefer something else.</t>
        </is>
      </c>
      <c r="G569" s="12" t="inlineStr">
        <is>
          <t>혐오라는 건 너무 센 표현이고, 난 그냥 다른 게 더 좋을 뿐이야.</t>
        </is>
      </c>
      <c r="H569" s="9">
        <f>HYPERLINK("https://www.youtube.com/watch?v=Vy0dWpnMYR8", "영상 보기 ▶")</f>
        <v/>
      </c>
    </row>
    <row r="570" ht="26" customHeight="1">
      <c r="A570" s="2" t="n">
        <v>569</v>
      </c>
      <c r="B570" s="3" t="inlineStr">
        <is>
          <t>총정리 12탄</t>
        </is>
      </c>
      <c r="C570" s="3" t="inlineStr">
        <is>
          <t>표현 완화</t>
        </is>
      </c>
      <c r="D570" s="4" t="inlineStr">
        <is>
          <t>for lack of a better word</t>
        </is>
      </c>
      <c r="E570" s="11" t="inlineStr">
        <is>
          <t>더 적절한 표현이 떠오르지 않는데,</t>
        </is>
      </c>
      <c r="F570" s="11" t="inlineStr">
        <is>
          <t>He is, for lack of a better word, a genius.</t>
        </is>
      </c>
      <c r="G570" s="11" t="inlineStr">
        <is>
          <t>그는 더 적절한 말이 안 떠오르는데, 한마디로 천재야.</t>
        </is>
      </c>
      <c r="H570" s="5">
        <f>HYPERLINK("https://www.youtube.com/watch?v=Vy0dWpnMYR8", "영상 보기 ▶")</f>
        <v/>
      </c>
    </row>
    <row r="571" ht="26" customHeight="1">
      <c r="A571" s="6" t="n">
        <v>570</v>
      </c>
      <c r="B571" s="7" t="inlineStr">
        <is>
          <t>총정리 12탄</t>
        </is>
      </c>
      <c r="C571" s="7" t="inlineStr">
        <is>
          <t>표현 완화</t>
        </is>
      </c>
      <c r="D571" s="8" t="inlineStr">
        <is>
          <t>for lack of a better term</t>
        </is>
      </c>
      <c r="E571" s="12" t="inlineStr">
        <is>
          <t>딱 맞는 용어가 생각나지 않지만,</t>
        </is>
      </c>
      <c r="F571" s="12" t="inlineStr">
        <is>
          <t>It was, for lack of a better term, a massive breakdown.</t>
        </is>
      </c>
      <c r="G571" s="12" t="inlineStr">
        <is>
          <t>더 알맞은 용어가 없지만, 한마디로 거대한 결딴이었어.</t>
        </is>
      </c>
      <c r="H571" s="9">
        <f>HYPERLINK("https://www.youtube.com/watch?v=Vy0dWpnMYR8", "영상 보기 ▶")</f>
        <v/>
      </c>
    </row>
    <row r="572" ht="26" customHeight="1">
      <c r="A572" s="2" t="n">
        <v>571</v>
      </c>
      <c r="B572" s="3" t="inlineStr">
        <is>
          <t>총정리 12탄</t>
        </is>
      </c>
      <c r="C572" s="3" t="inlineStr">
        <is>
          <t>효율/결실</t>
        </is>
      </c>
      <c r="D572" s="4" t="inlineStr">
        <is>
          <t>productive</t>
        </is>
      </c>
      <c r="E572" s="11" t="inlineStr">
        <is>
          <t>생산적인, 결실 있는, 알찬</t>
        </is>
      </c>
      <c r="F572" s="11" t="inlineStr">
        <is>
          <t>We had a really productive discussion this afternoon.</t>
        </is>
      </c>
      <c r="G572" s="11" t="inlineStr">
        <is>
          <t>오늘 오후에 정말 생산적이고 알찬 논의를 나눴습니다.</t>
        </is>
      </c>
      <c r="H572" s="5">
        <f>HYPERLINK("https://www.youtube.com/watch?v=Vy0dWpnMYR8", "영상 보기 ▶")</f>
        <v/>
      </c>
    </row>
    <row r="573" ht="26" customHeight="1">
      <c r="A573" s="6" t="n">
        <v>572</v>
      </c>
      <c r="B573" s="7" t="inlineStr">
        <is>
          <t>총정리 12탄</t>
        </is>
      </c>
      <c r="C573" s="7" t="inlineStr">
        <is>
          <t>소소한 일탈</t>
        </is>
      </c>
      <c r="D573" s="8" t="inlineStr">
        <is>
          <t>guilty pleasure</t>
        </is>
      </c>
      <c r="E573" s="12" t="inlineStr">
        <is>
          <t>죄책감은 들지만 끊을 수 없는 즐거움/취향</t>
        </is>
      </c>
      <c r="F573" s="12" t="inlineStr">
        <is>
          <t>Binge-watching reality TV shows is my ultimate guilty pleasure.</t>
        </is>
      </c>
      <c r="G573" s="12" t="inlineStr">
        <is>
          <t>리얼리티 쇼를 몰아보는 게 나의 절대적인 길티 플레저야.</t>
        </is>
      </c>
      <c r="H573" s="9">
        <f>HYPERLINK("https://www.youtube.com/watch?v=Vy0dWpnMYR8", "영상 보기 ▶")</f>
        <v/>
      </c>
    </row>
    <row r="574" ht="26" customHeight="1">
      <c r="A574" s="2" t="n">
        <v>573</v>
      </c>
      <c r="B574" s="3" t="inlineStr">
        <is>
          <t>총정리 12탄</t>
        </is>
      </c>
      <c r="C574" s="3" t="inlineStr">
        <is>
          <t>불명확한 이유</t>
        </is>
      </c>
      <c r="D574" s="4" t="inlineStr">
        <is>
          <t>for some reason</t>
        </is>
      </c>
      <c r="E574" s="11" t="inlineStr">
        <is>
          <t>왜 그런지 모르겠지만, 왠지 모르게</t>
        </is>
      </c>
      <c r="F574" s="11" t="inlineStr">
        <is>
          <t>For some reason, the file won't open on my computer.</t>
        </is>
      </c>
      <c r="G574" s="11" t="inlineStr">
        <is>
          <t>왠지 모르겠지만 내 컴퓨터에서 그 파일이 안 열려.</t>
        </is>
      </c>
      <c r="H574" s="5">
        <f>HYPERLINK("https://www.youtube.com/watch?v=Vy0dWpnMYR8", "영상 보기 ▶")</f>
        <v/>
      </c>
    </row>
    <row r="575" ht="26" customHeight="1">
      <c r="A575" s="6" t="n">
        <v>574</v>
      </c>
      <c r="B575" s="7" t="inlineStr">
        <is>
          <t>총정리 12탄</t>
        </is>
      </c>
      <c r="C575" s="7" t="inlineStr">
        <is>
          <t>촉박한 요청</t>
        </is>
      </c>
      <c r="D575" s="8" t="inlineStr">
        <is>
          <t>on such short notice</t>
        </is>
      </c>
      <c r="E575" s="12" t="inlineStr">
        <is>
          <t>그렇게 급작스러운 연락/요청에도 불구하고</t>
        </is>
      </c>
      <c r="F575" s="12" t="inlineStr">
        <is>
          <t>Thank you so much for meeting with us on such short notice.</t>
        </is>
      </c>
      <c r="G575" s="12" t="inlineStr">
        <is>
          <t>이렇게 급작스러운 요청에도 시간 내어 만나주셔서 감사합니다.</t>
        </is>
      </c>
      <c r="H575" s="9">
        <f>HYPERLINK("https://www.youtube.com/watch?v=Vy0dWpnMYR8", "영상 보기 ▶")</f>
        <v/>
      </c>
    </row>
    <row r="576" ht="26" customHeight="1">
      <c r="A576" s="2" t="n">
        <v>575</v>
      </c>
      <c r="B576" s="3" t="inlineStr">
        <is>
          <t>총정리 12탄</t>
        </is>
      </c>
      <c r="C576" s="3" t="inlineStr">
        <is>
          <t>진척/동행</t>
        </is>
      </c>
      <c r="D576" s="4" t="inlineStr">
        <is>
          <t>come along</t>
        </is>
      </c>
      <c r="E576" s="11" t="inlineStr">
        <is>
          <t>① 동행하다 ② 순조롭게 진척되다</t>
        </is>
      </c>
      <c r="F576" s="11" t="inlineStr">
        <is>
          <t>How is your new book coming along?</t>
        </is>
      </c>
      <c r="G576" s="11" t="inlineStr">
        <is>
          <t>새로 쓰시는 책 집필은 어떻게 잘 되어가나요?</t>
        </is>
      </c>
      <c r="H576" s="5">
        <f>HYPERLINK("https://www.youtube.com/watch?v=Vy0dWpnMYR8", "영상 보기 ▶")</f>
        <v/>
      </c>
    </row>
    <row r="577" ht="26" customHeight="1">
      <c r="A577" s="6" t="n">
        <v>576</v>
      </c>
      <c r="B577" s="7" t="inlineStr">
        <is>
          <t>총정리 12탄</t>
        </is>
      </c>
      <c r="C577" s="7" t="inlineStr">
        <is>
          <t>우연 발견</t>
        </is>
      </c>
      <c r="D577" s="8" t="inlineStr">
        <is>
          <t>come across (발견)</t>
        </is>
      </c>
      <c r="E577" s="12" t="inlineStr">
        <is>
          <t>우연히 발견하다, 마주치다</t>
        </is>
      </c>
      <c r="F577" s="12" t="inlineStr">
        <is>
          <t>I came across an interesting article on remote work.</t>
        </is>
      </c>
      <c r="G577" s="12" t="inlineStr">
        <is>
          <t>재택근무에 관한 흥미로운 기사를 우연히 발견했어요.</t>
        </is>
      </c>
      <c r="H577" s="9">
        <f>HYPERLINK("https://www.youtube.com/watch?v=Vy0dWpnMYR8", "영상 보기 ▶")</f>
        <v/>
      </c>
    </row>
    <row r="578" ht="26" customHeight="1">
      <c r="A578" s="2" t="n">
        <v>577</v>
      </c>
      <c r="B578" s="3" t="inlineStr">
        <is>
          <t>총정리 12탄</t>
        </is>
      </c>
      <c r="C578" s="3" t="inlineStr">
        <is>
          <t>인상 전달</t>
        </is>
      </c>
      <c r="D578" s="4" t="inlineStr">
        <is>
          <t>come across (인상)</t>
        </is>
      </c>
      <c r="E578" s="11" t="inlineStr">
        <is>
          <t>(특정한) 인상을 주다</t>
        </is>
      </c>
      <c r="F578" s="11" t="inlineStr">
        <is>
          <t>She comes across as very confident and knowledgeable.</t>
        </is>
      </c>
      <c r="G578" s="11" t="inlineStr">
        <is>
          <t>그녀는 대단히 자신감 있고 박식하다는 인상을 줘요.</t>
        </is>
      </c>
      <c r="H578" s="5">
        <f>HYPERLINK("https://www.youtube.com/watch?v=Vy0dWpnMYR8", "영상 보기 ▶")</f>
        <v/>
      </c>
    </row>
    <row r="579" ht="26" customHeight="1">
      <c r="A579" s="6" t="n">
        <v>578</v>
      </c>
      <c r="B579" s="7" t="inlineStr">
        <is>
          <t>총정리 12탄</t>
        </is>
      </c>
      <c r="C579" s="7" t="inlineStr">
        <is>
          <t>일 발생</t>
        </is>
      </c>
      <c r="D579" s="8" t="inlineStr">
        <is>
          <t>come up (발생)</t>
        </is>
      </c>
      <c r="E579" s="12" t="inlineStr">
        <is>
          <t>(예기치 않은 일이) 생기다, 발생하다</t>
        </is>
      </c>
      <c r="F579" s="12" t="inlineStr">
        <is>
          <t>Something urgent just came up at the office.</t>
        </is>
      </c>
      <c r="G579" s="12" t="inlineStr">
        <is>
          <t>사무실에 방금 급한 일이 하나 터졌어.</t>
        </is>
      </c>
      <c r="H579" s="9">
        <f>HYPERLINK("https://www.youtube.com/watch?v=Vy0dWpnMYR8", "영상 보기 ▶")</f>
        <v/>
      </c>
    </row>
    <row r="580" ht="26" customHeight="1">
      <c r="A580" s="2" t="n">
        <v>579</v>
      </c>
      <c r="B580" s="3" t="inlineStr">
        <is>
          <t>총정리 12탄</t>
        </is>
      </c>
      <c r="C580" s="3" t="inlineStr">
        <is>
          <t>논의 언급</t>
        </is>
      </c>
      <c r="D580" s="4" t="inlineStr">
        <is>
          <t>come up (언급)</t>
        </is>
      </c>
      <c r="E580" s="11" t="inlineStr">
        <is>
          <t>(회의에서 안건이) 논의되다, 언급되다</t>
        </is>
      </c>
      <c r="F580" s="11" t="inlineStr">
        <is>
          <t>Did our budget proposal come up in the meeting?</t>
        </is>
      </c>
      <c r="G580" s="11" t="inlineStr">
        <is>
          <t>회의에서 우리 예산 제안서 이야기가 나왔나요?</t>
        </is>
      </c>
      <c r="H580" s="5">
        <f>HYPERLINK("https://www.youtube.com/watch?v=Vy0dWpnMYR8", "영상 보기 ▶")</f>
        <v/>
      </c>
    </row>
    <row r="581" ht="26" customHeight="1">
      <c r="A581" s="6" t="n">
        <v>580</v>
      </c>
      <c r="B581" s="7" t="inlineStr">
        <is>
          <t>총정리 12탄</t>
        </is>
      </c>
      <c r="C581" s="7" t="inlineStr">
        <is>
          <t>마련/아이디어</t>
        </is>
      </c>
      <c r="D581" s="8" t="inlineStr">
        <is>
          <t>come up with</t>
        </is>
      </c>
      <c r="E581" s="12" t="inlineStr">
        <is>
          <t>(돈/해결책/아이디어를) 생각해내다, 마련하다</t>
        </is>
      </c>
      <c r="F581" s="12" t="inlineStr">
        <is>
          <t>Can you come up with a creative campaign idea?</t>
        </is>
      </c>
      <c r="G581" s="12" t="inlineStr">
        <is>
          <t>창의적인 캠페인 아이디어 좀 생각해낼 수 있어?</t>
        </is>
      </c>
      <c r="H581" s="9">
        <f>HYPERLINK("https://www.youtube.com/watch?v=Vy0dWpnMYR8", "영상 보기 ▶")</f>
        <v/>
      </c>
    </row>
    <row r="582" ht="26" customHeight="1">
      <c r="A582" s="2" t="n">
        <v>581</v>
      </c>
      <c r="B582" s="3" t="inlineStr">
        <is>
          <t>총정리 12탄</t>
        </is>
      </c>
      <c r="C582" s="3" t="inlineStr">
        <is>
          <t>출신/원천</t>
        </is>
      </c>
      <c r="D582" s="4" t="inlineStr">
        <is>
          <t>come from</t>
        </is>
      </c>
      <c r="E582" s="11" t="inlineStr">
        <is>
          <t>~에서 비롯되다, 출신이다</t>
        </is>
      </c>
      <c r="F582" s="11" t="inlineStr">
        <is>
          <t>True confidence comes from preparation.</t>
        </is>
      </c>
      <c r="G582" s="11" t="inlineStr">
        <is>
          <t>진정한 자신감은 철저한 준비에서 비롯됩니다.</t>
        </is>
      </c>
      <c r="H582" s="5">
        <f>HYPERLINK("https://www.youtube.com/watch?v=Vy0dWpnMYR8", "영상 보기 ▶")</f>
        <v/>
      </c>
    </row>
    <row r="583" ht="26" customHeight="1">
      <c r="A583" s="6" t="n">
        <v>582</v>
      </c>
      <c r="B583" s="7" t="inlineStr">
        <is>
          <t>총정리 12탄</t>
        </is>
      </c>
      <c r="C583" s="7" t="inlineStr">
        <is>
          <t>격한 감사</t>
        </is>
      </c>
      <c r="D583" s="8" t="inlineStr">
        <is>
          <t>coming from you</t>
        </is>
      </c>
      <c r="E583" s="12" t="inlineStr">
        <is>
          <t>(다른 사람도 아니고) 당신이 그렇게 말씀해 주시니</t>
        </is>
      </c>
      <c r="F583" s="12" t="inlineStr">
        <is>
          <t>That compliment means the world to me, coming from you.</t>
        </is>
      </c>
      <c r="G583" s="12" t="inlineStr">
        <is>
          <t>다른 분도 아닌 당신께서 그렇게 칭찬해 주시니 정말 큰 힘이 돼요.</t>
        </is>
      </c>
      <c r="H583" s="9">
        <f>HYPERLINK("https://www.youtube.com/watch?v=Vy0dWpnMYR8", "영상 보기 ▶")</f>
        <v/>
      </c>
    </row>
    <row r="584" ht="26" customHeight="1">
      <c r="A584" s="2" t="n">
        <v>583</v>
      </c>
      <c r="B584" s="3" t="inlineStr">
        <is>
          <t>총정리 12탄</t>
        </is>
      </c>
      <c r="C584" s="3" t="inlineStr">
        <is>
          <t>질병 감염</t>
        </is>
      </c>
      <c r="D584" s="4" t="inlineStr">
        <is>
          <t>come down with</t>
        </is>
      </c>
      <c r="E584" s="11" t="inlineStr">
        <is>
          <t>(가벼운 감기/질병에) 걸리다</t>
        </is>
      </c>
      <c r="F584" s="11" t="inlineStr">
        <is>
          <t>I think I'm coming down with the flu.</t>
        </is>
      </c>
      <c r="G584" s="11" t="inlineStr">
        <is>
          <t>나 독감에 걸리려는지 으슬으슬해.</t>
        </is>
      </c>
      <c r="H584" s="5">
        <f>HYPERLINK("https://www.youtube.com/watch?v=Vy0dWpnMYR8", "영상 보기 ▶")</f>
        <v/>
      </c>
    </row>
    <row r="585" ht="26" customHeight="1">
      <c r="A585" s="6" t="n">
        <v>584</v>
      </c>
      <c r="B585" s="7" t="inlineStr">
        <is>
          <t>총정리 12탄</t>
        </is>
      </c>
      <c r="C585" s="7" t="inlineStr">
        <is>
          <t>잠깐 방문</t>
        </is>
      </c>
      <c r="D585" s="8" t="inlineStr">
        <is>
          <t>come by</t>
        </is>
      </c>
      <c r="E585" s="12" t="inlineStr">
        <is>
          <t>(장소나 사무실에) 잠깐 들르다</t>
        </is>
      </c>
      <c r="F585" s="12" t="inlineStr">
        <is>
          <t>Feel free to come by my desk if you have questions.</t>
        </is>
      </c>
      <c r="G585" s="12" t="inlineStr">
        <is>
          <t>질문 있으시면 언제든 제 자리로 편하게 들르세요.</t>
        </is>
      </c>
      <c r="H585" s="9">
        <f>HYPERLINK("https://www.youtube.com/watch?v=Vy0dWpnMYR8", "영상 보기 ▶")</f>
        <v/>
      </c>
    </row>
    <row r="586" ht="26" customHeight="1">
      <c r="A586" s="2" t="n">
        <v>585</v>
      </c>
      <c r="B586" s="3" t="inlineStr">
        <is>
          <t>총정리 12탄</t>
        </is>
      </c>
      <c r="C586" s="3" t="inlineStr">
        <is>
          <t>집 방문</t>
        </is>
      </c>
      <c r="D586" s="4" t="inlineStr">
        <is>
          <t>come over</t>
        </is>
      </c>
      <c r="E586" s="11" t="inlineStr">
        <is>
          <t>(특히 상대의 집에) 놀러 오다</t>
        </is>
      </c>
      <c r="F586" s="11" t="inlineStr">
        <is>
          <t>Why don't you come over for dinner tonight?</t>
        </is>
      </c>
      <c r="G586" s="11" t="inlineStr">
        <is>
          <t>오늘 저녁에 우리 집에 놀러 와서 밥 먹을래?</t>
        </is>
      </c>
      <c r="H586" s="5">
        <f>HYPERLINK("https://www.youtube.com/watch?v=Vy0dWpnMYR8", "영상 보기 ▶")</f>
        <v/>
      </c>
    </row>
    <row r="587" ht="26" customHeight="1">
      <c r="A587" s="6" t="n">
        <v>586</v>
      </c>
      <c r="B587" s="7" t="inlineStr">
        <is>
          <t>총정리 12탄</t>
        </is>
      </c>
      <c r="C587" s="7" t="inlineStr">
        <is>
          <t>부속/동반</t>
        </is>
      </c>
      <c r="D587" s="8" t="inlineStr">
        <is>
          <t>come with</t>
        </is>
      </c>
      <c r="E587" s="12" t="inlineStr">
        <is>
          <t>~가 딸려 나오다, 기본 포함되다</t>
        </is>
      </c>
      <c r="F587" s="12" t="inlineStr">
        <is>
          <t>Does this coffee come with free refills?</t>
        </is>
      </c>
      <c r="G587" s="12" t="inlineStr">
        <is>
          <t>이 커피 무료 리필이 같이 제공되나요?</t>
        </is>
      </c>
      <c r="H587" s="9">
        <f>HYPERLINK("https://www.youtube.com/watch?v=Vy0dWpnMYR8", "영상 보기 ▶")</f>
        <v/>
      </c>
    </row>
    <row r="588" ht="26" customHeight="1">
      <c r="A588" s="2" t="n">
        <v>587</v>
      </c>
      <c r="B588" s="3" t="inlineStr">
        <is>
          <t>총정리 12탄</t>
        </is>
      </c>
      <c r="C588" s="3" t="inlineStr">
        <is>
          <t>참여/순위</t>
        </is>
      </c>
      <c r="D588" s="4" t="inlineStr">
        <is>
          <t>come in</t>
        </is>
      </c>
      <c r="E588" s="11" t="inlineStr">
        <is>
          <t>들어오다, 순위권에 들다, 유용하다</t>
        </is>
      </c>
      <c r="F588" s="11" t="inlineStr">
        <is>
          <t>This portable charger will definitely come in handy.</t>
        </is>
      </c>
      <c r="G588" s="11" t="inlineStr">
        <is>
          <t>이 보조 배터리는 분명 아주 요긴하게 쓰일 거야.</t>
        </is>
      </c>
      <c r="H588" s="5">
        <f>HYPERLINK("https://www.youtube.com/watch?v=Vy0dWpnMYR8", "영상 보기 ▶")</f>
        <v/>
      </c>
    </row>
    <row r="589" ht="26" customHeight="1">
      <c r="A589" s="6" t="n">
        <v>588</v>
      </c>
      <c r="B589" s="7" t="inlineStr">
        <is>
          <t>총정리 12탄</t>
        </is>
      </c>
      <c r="C589" s="7" t="inlineStr">
        <is>
          <t>마음 돌림</t>
        </is>
      </c>
      <c r="D589" s="8" t="inlineStr">
        <is>
          <t>come around</t>
        </is>
      </c>
      <c r="E589" s="12" t="inlineStr">
        <is>
          <t>(생각이나 입장을) 바꾸다, 마음을 돌리다</t>
        </is>
      </c>
      <c r="F589" s="12" t="inlineStr">
        <is>
          <t>He was skeptical at first, but he'll come around.</t>
        </is>
      </c>
      <c r="G589" s="12" t="inlineStr">
        <is>
          <t>처음엔 회의적이었지만 결국엔 그 사람도 납득하고 돌아설 거야.</t>
        </is>
      </c>
      <c r="H589" s="9">
        <f>HYPERLINK("https://www.youtube.com/watch?v=Vy0dWpnMYR8", "영상 보기 ▶")</f>
        <v/>
      </c>
    </row>
    <row r="590" ht="26" customHeight="1">
      <c r="A590" s="2" t="n">
        <v>589</v>
      </c>
      <c r="B590" s="3" t="inlineStr">
        <is>
          <t>총정리 12탄</t>
        </is>
      </c>
      <c r="C590" s="3" t="inlineStr">
        <is>
          <t>현실 수용</t>
        </is>
      </c>
      <c r="D590" s="4" t="inlineStr">
        <is>
          <t>It is what it is</t>
        </is>
      </c>
      <c r="E590" s="11" t="inlineStr">
        <is>
          <t>어쩌겠어, 있는 그대로 받아들여야지</t>
        </is>
      </c>
      <c r="F590" s="11" t="inlineStr">
        <is>
          <t>We can't change the outcome now; it is what it is.</t>
        </is>
      </c>
      <c r="G590" s="11" t="inlineStr">
        <is>
          <t>결과를 이제 와서 바꿀 순 없어, 담담히 받아들여야지.</t>
        </is>
      </c>
      <c r="H590" s="5">
        <f>HYPERLINK("https://www.youtube.com/watch?v=Vy0dWpnMYR8", "영상 보기 ▶")</f>
        <v/>
      </c>
    </row>
    <row r="591" ht="26" customHeight="1">
      <c r="A591" s="6" t="n">
        <v>590</v>
      </c>
      <c r="B591" s="7" t="inlineStr">
        <is>
          <t>총정리 12탄</t>
        </is>
      </c>
      <c r="C591" s="7" t="inlineStr">
        <is>
          <t>즉시/단번에</t>
        </is>
      </c>
      <c r="D591" s="8" t="inlineStr">
        <is>
          <t>Right off the bat</t>
        </is>
      </c>
      <c r="E591" s="12" t="inlineStr">
        <is>
          <t>곧바로, 시작하자마자 지체 없이</t>
        </is>
      </c>
      <c r="F591" s="12" t="inlineStr">
        <is>
          <t>Right off the bat, she made a stellar impression.</t>
        </is>
      </c>
      <c r="G591" s="12" t="inlineStr">
        <is>
          <t>시작하자마자 단번에 그녀는 아주 훌륭한 인상을 남겼어.</t>
        </is>
      </c>
      <c r="H591" s="9">
        <f>HYPERLINK("https://www.youtube.com/watch?v=Vy0dWpnMYR8", "영상 보기 ▶")</f>
        <v/>
      </c>
    </row>
    <row r="592" ht="26" customHeight="1">
      <c r="A592" s="2" t="n">
        <v>591</v>
      </c>
      <c r="B592" s="3" t="inlineStr">
        <is>
          <t>총정리 12탄</t>
        </is>
      </c>
      <c r="C592" s="3" t="inlineStr">
        <is>
          <t>케미/친화</t>
        </is>
      </c>
      <c r="D592" s="4" t="inlineStr">
        <is>
          <t>hit it off</t>
        </is>
      </c>
      <c r="E592" s="11" t="inlineStr">
        <is>
          <t>(첫 만남부터) 죽이 척척 잘 맞다, 통하다</t>
        </is>
      </c>
      <c r="F592" s="11" t="inlineStr">
        <is>
          <t>They hit it off right away and talked for hours.</t>
        </is>
      </c>
      <c r="G592" s="11" t="inlineStr">
        <is>
          <t>둘은 첫 만남부터 죽이 너무 잘 맞아서 몇 시간 동안 대화했어.</t>
        </is>
      </c>
      <c r="H592" s="5">
        <f>HYPERLINK("https://www.youtube.com/watch?v=Vy0dWpnMYR8", "영상 보기 ▶")</f>
        <v/>
      </c>
    </row>
    <row r="593" ht="26" customHeight="1">
      <c r="A593" s="6" t="n">
        <v>592</v>
      </c>
      <c r="B593" s="7" t="inlineStr">
        <is>
          <t>총정리 12탄</t>
        </is>
      </c>
      <c r="C593" s="7" t="inlineStr">
        <is>
          <t>처음부터</t>
        </is>
      </c>
      <c r="D593" s="8" t="inlineStr">
        <is>
          <t>from day one</t>
        </is>
      </c>
      <c r="E593" s="12" t="inlineStr">
        <is>
          <t>처음부터, 첫날부터 쭉</t>
        </is>
      </c>
      <c r="F593" s="12" t="inlineStr">
        <is>
          <t>He has been a dedicated team player from day one.</t>
        </is>
      </c>
      <c r="G593" s="12" t="inlineStr">
        <is>
          <t>그는 첫날부터 한결같이 헌신적인 팀원이었습니다.</t>
        </is>
      </c>
      <c r="H593" s="9">
        <f>HYPERLINK("https://www.youtube.com/watch?v=Vy0dWpnMYR8", "영상 보기 ▶")</f>
        <v/>
      </c>
    </row>
    <row r="594" ht="26" customHeight="1">
      <c r="A594" s="2" t="n">
        <v>593</v>
      </c>
      <c r="B594" s="3" t="inlineStr">
        <is>
          <t>총정리 12탄</t>
        </is>
      </c>
      <c r="C594" s="3" t="inlineStr">
        <is>
          <t>예방 격언</t>
        </is>
      </c>
      <c r="D594" s="4" t="inlineStr">
        <is>
          <t>Better safe than sorry</t>
        </is>
      </c>
      <c r="E594" s="11" t="inlineStr">
        <is>
          <t>나중에 후회하는 것보다 미리 조심하는 게 낫지</t>
        </is>
      </c>
      <c r="F594" s="11" t="inlineStr">
        <is>
          <t>Take an umbrella just in case; better safe than sorry.</t>
        </is>
      </c>
      <c r="G594" s="11" t="inlineStr">
        <is>
          <t>혹시 모르니 우산 챙겨가, 나중에 후회하는 것보다 조심하는 게 낫잖아.</t>
        </is>
      </c>
      <c r="H594" s="5">
        <f>HYPERLINK("https://www.youtube.com/watch?v=Vy0dWpnMYR8", "영상 보기 ▶")</f>
        <v/>
      </c>
    </row>
    <row r="595" ht="26" customHeight="1">
      <c r="A595" s="6" t="n">
        <v>594</v>
      </c>
      <c r="B595" s="7" t="inlineStr">
        <is>
          <t>총정리 12탄</t>
        </is>
      </c>
      <c r="C595" s="7" t="inlineStr">
        <is>
          <t>취향 저격</t>
        </is>
      </c>
      <c r="D595" s="8" t="inlineStr">
        <is>
          <t>right up my alley</t>
        </is>
      </c>
      <c r="E595" s="12" t="inlineStr">
        <is>
          <t>완전 내 취향이다, 내 전문/특기 분야다</t>
        </is>
      </c>
      <c r="F595" s="12" t="inlineStr">
        <is>
          <t>That indie movie sounds right up my alley.</t>
        </is>
      </c>
      <c r="G595" s="12" t="inlineStr">
        <is>
          <t>그 독립영화 완전 내 취향에 딱 맞을 것 같은데!</t>
        </is>
      </c>
      <c r="H595" s="9">
        <f>HYPERLINK("https://www.youtube.com/watch?v=Vy0dWpnMYR8", "영상 보기 ▶")</f>
        <v/>
      </c>
    </row>
    <row r="596" ht="26" customHeight="1">
      <c r="A596" s="2" t="n">
        <v>595</v>
      </c>
      <c r="B596" s="3" t="inlineStr">
        <is>
          <t>총정리 12탄</t>
        </is>
      </c>
      <c r="C596" s="3" t="inlineStr">
        <is>
          <t>대화 참여</t>
        </is>
      </c>
      <c r="D596" s="4" t="inlineStr">
        <is>
          <t>chime in</t>
        </is>
      </c>
      <c r="E596" s="11" t="inlineStr">
        <is>
          <t>(대화나 회의 도중) 한마디 거들다, 끼어들다</t>
        </is>
      </c>
      <c r="F596" s="11" t="inlineStr">
        <is>
          <t>Feel free to chime in whenever you have an idea.</t>
        </is>
      </c>
      <c r="G596" s="11" t="inlineStr">
        <is>
          <t>의견 있으시면 언제든 편하게 한마디 거들어 주세요.</t>
        </is>
      </c>
      <c r="H596" s="5">
        <f>HYPERLINK("https://www.youtube.com/watch?v=Vy0dWpnMYR8", "영상 보기 ▶")</f>
        <v/>
      </c>
    </row>
    <row r="597" ht="26" customHeight="1">
      <c r="A597" s="6" t="n">
        <v>596</v>
      </c>
      <c r="B597" s="7" t="inlineStr">
        <is>
          <t>총정리 12탄</t>
        </is>
      </c>
      <c r="C597" s="7" t="inlineStr">
        <is>
          <t>일 해치움</t>
        </is>
      </c>
      <c r="D597" s="8" t="inlineStr">
        <is>
          <t>get (대상) out of the way</t>
        </is>
      </c>
      <c r="E597" s="12" t="inlineStr">
        <is>
          <t>(신경 안 쓰이게) 미리 해치우다/끝내다</t>
        </is>
      </c>
      <c r="F597" s="12" t="inlineStr">
        <is>
          <t>Let's get this urgent paperwork out of the way first.</t>
        </is>
      </c>
      <c r="G597" s="12" t="inlineStr">
        <is>
          <t>이 급한 서류 작업부터 먼저 후딱 해치웁시다.</t>
        </is>
      </c>
      <c r="H597" s="9">
        <f>HYPERLINK("https://www.youtube.com/watch?v=Vy0dWpnMYR8", "영상 보기 ▶")</f>
        <v/>
      </c>
    </row>
    <row r="598" ht="26" customHeight="1">
      <c r="A598" s="2" t="n">
        <v>597</v>
      </c>
      <c r="B598" s="3" t="inlineStr">
        <is>
          <t>총정리 12탄</t>
        </is>
      </c>
      <c r="C598" s="3" t="inlineStr">
        <is>
          <t>객관화</t>
        </is>
      </c>
      <c r="D598" s="4" t="inlineStr">
        <is>
          <t>take a step back</t>
        </is>
      </c>
      <c r="E598" s="11" t="inlineStr">
        <is>
          <t>한 걸음 물러서서 냉정히 바라보다</t>
        </is>
      </c>
      <c r="F598" s="11" t="inlineStr">
        <is>
          <t>Let's take a step back and look at the big picture.</t>
        </is>
      </c>
      <c r="G598" s="11" t="inlineStr">
        <is>
          <t>잠시 한 걸음 물러서서 큰 그림을 객관적으로 살펴봅시다.</t>
        </is>
      </c>
      <c r="H598" s="5">
        <f>HYPERLINK("https://www.youtube.com/watch?v=Vy0dWpnMYR8", "영상 보기 ▶")</f>
        <v/>
      </c>
    </row>
    <row r="599" ht="26" customHeight="1">
      <c r="A599" s="6" t="n">
        <v>598</v>
      </c>
      <c r="B599" s="7" t="inlineStr">
        <is>
          <t>총정리 12탄</t>
        </is>
      </c>
      <c r="C599" s="7" t="inlineStr">
        <is>
          <t>목표 지향</t>
        </is>
      </c>
      <c r="D599" s="8" t="inlineStr">
        <is>
          <t>aim for</t>
        </is>
      </c>
      <c r="E599" s="12" t="inlineStr">
        <is>
          <t>~를 목표로 삼고 나아가다</t>
        </is>
      </c>
      <c r="F599" s="12" t="inlineStr">
        <is>
          <t>We should aim for a launch date in early October.</t>
        </is>
      </c>
      <c r="G599" s="12" t="inlineStr">
        <is>
          <t>10월 초 출시를 목표로 잡고 나아가야 합니다.</t>
        </is>
      </c>
      <c r="H599" s="9">
        <f>HYPERLINK("https://www.youtube.com/watch?v=Vy0dWpnMYR8", "영상 보기 ▶")</f>
        <v/>
      </c>
    </row>
    <row r="600" ht="26" customHeight="1">
      <c r="A600" s="2" t="n">
        <v>599</v>
      </c>
      <c r="B600" s="3" t="inlineStr">
        <is>
          <t>총정리 12탄</t>
        </is>
      </c>
      <c r="C600" s="3" t="inlineStr">
        <is>
          <t>신속 공유</t>
        </is>
      </c>
      <c r="D600" s="4" t="inlineStr">
        <is>
          <t>You'll be the first to know</t>
        </is>
      </c>
      <c r="E600" s="11" t="inlineStr">
        <is>
          <t>(소식/결과가 나오면) 너한테 가장 먼저 알려줄게</t>
        </is>
      </c>
      <c r="F600" s="11" t="inlineStr">
        <is>
          <t>As soon as the results are out, you'll be the first to know.</t>
        </is>
      </c>
      <c r="G600" s="11" t="inlineStr">
        <is>
          <t>결과 나오는 즉시 너한테 제일 먼저 알려줄게.</t>
        </is>
      </c>
      <c r="H600" s="5">
        <f>HYPERLINK("https://www.youtube.com/watch?v=Vy0dWpnMYR8", "영상 보기 ▶")</f>
        <v/>
      </c>
    </row>
    <row r="601" ht="26" customHeight="1">
      <c r="A601" s="6" t="n">
        <v>600</v>
      </c>
      <c r="B601" s="7" t="inlineStr">
        <is>
          <t>총정리 12탄</t>
        </is>
      </c>
      <c r="C601" s="7" t="inlineStr">
        <is>
          <t>자연스런 끌림</t>
        </is>
      </c>
      <c r="D601" s="8" t="inlineStr">
        <is>
          <t>gravitate towards</t>
        </is>
      </c>
      <c r="E601" s="12" t="inlineStr">
        <is>
          <t>(자연스레) 관심이 쏠리다, 마음이 끌리다</t>
        </is>
      </c>
      <c r="F601" s="12" t="inlineStr">
        <is>
          <t>People naturally gravitate towards positive colleagues.</t>
        </is>
      </c>
      <c r="G601" s="12" t="inlineStr">
        <is>
          <t>사람들은 자연스럽게 긍정적인 동료에게 끌리기 마련입니다.</t>
        </is>
      </c>
      <c r="H601" s="9">
        <f>HYPERLINK("https://www.youtube.com/watch?v=Vy0dWpnMYR8", "영상 보기 ▶")</f>
        <v/>
      </c>
    </row>
    <row r="602" ht="26" customHeight="1">
      <c r="A602" s="2" t="n">
        <v>601</v>
      </c>
      <c r="B602" s="3" t="inlineStr">
        <is>
          <t>총정리 13탄</t>
        </is>
      </c>
      <c r="C602" s="3" t="inlineStr">
        <is>
          <t>겸손</t>
        </is>
      </c>
      <c r="D602" s="4" t="inlineStr">
        <is>
          <t>humble</t>
        </is>
      </c>
      <c r="E602" s="11" t="inlineStr">
        <is>
          <t>소박한, 변변치 않은 (자신을 낮출 때)</t>
        </is>
      </c>
      <c r="F602" s="11" t="inlineStr">
        <is>
          <t>Welcome to my humble abode.</t>
        </is>
      </c>
      <c r="G602" s="11" t="inlineStr">
        <is>
          <t>누추하지만 저희 집에 오신 걸 환영합니다.</t>
        </is>
      </c>
      <c r="H602" s="5">
        <f>HYPERLINK("https://www.youtube.com/watch?v=xJ7n9e3p5Mc", "영상 보기 ▶")</f>
        <v/>
      </c>
    </row>
    <row r="603" ht="26" customHeight="1">
      <c r="A603" s="6" t="n">
        <v>602</v>
      </c>
      <c r="B603" s="7" t="inlineStr">
        <is>
          <t>총정리 13탄</t>
        </is>
      </c>
      <c r="C603" s="7" t="inlineStr">
        <is>
          <t>조심스런 의견</t>
        </is>
      </c>
      <c r="D603" s="8" t="inlineStr">
        <is>
          <t>in my humble opinion</t>
        </is>
      </c>
      <c r="E603" s="12" t="inlineStr">
        <is>
          <t>제 짧은 소견으로는, 제 생각일 뿐이지만 (IMHO)</t>
        </is>
      </c>
      <c r="F603" s="12" t="inlineStr">
        <is>
          <t>In my humble opinion, Sarah is the best fit for the role.</t>
        </is>
      </c>
      <c r="G603" s="12" t="inlineStr">
        <is>
          <t>제 짧은 소견으로는 세라가 그 역할에 가장 적임자라고 생각합니다.</t>
        </is>
      </c>
      <c r="H603" s="9">
        <f>HYPERLINK("https://www.youtube.com/watch?v=xJ7n9e3p5Mc", "영상 보기 ▶")</f>
        <v/>
      </c>
    </row>
    <row r="604" ht="26" customHeight="1">
      <c r="A604" s="2" t="n">
        <v>603</v>
      </c>
      <c r="B604" s="3" t="inlineStr">
        <is>
          <t>총정리 13탄</t>
        </is>
      </c>
      <c r="C604" s="3" t="inlineStr">
        <is>
          <t>겸허한 경험</t>
        </is>
      </c>
      <c r="D604" s="4" t="inlineStr">
        <is>
          <t>humbling experience</t>
        </is>
      </c>
      <c r="E604" s="11" t="inlineStr">
        <is>
          <t>자신을 되돌아보게 하고 겸손하게 만드는 경험</t>
        </is>
      </c>
      <c r="F604" s="11" t="inlineStr">
        <is>
          <t>It was a truly humbling experience for our entire team.</t>
        </is>
      </c>
      <c r="G604" s="11" t="inlineStr">
        <is>
          <t>그것은 우리 팀 전체에 있어 스스로를 겸허히 돌아보게 만든 경험이었어요.</t>
        </is>
      </c>
      <c r="H604" s="5">
        <f>HYPERLINK("https://www.youtube.com/watch?v=xJ7n9e3p5Mc", "영상 보기 ▶")</f>
        <v/>
      </c>
    </row>
    <row r="605" ht="26" customHeight="1">
      <c r="A605" s="6" t="n">
        <v>604</v>
      </c>
      <c r="B605" s="7" t="inlineStr">
        <is>
          <t>총정리 13탄</t>
        </is>
      </c>
      <c r="C605" s="7" t="inlineStr">
        <is>
          <t>강조 복습</t>
        </is>
      </c>
      <c r="D605" s="8" t="inlineStr">
        <is>
          <t>reiterate</t>
        </is>
      </c>
      <c r="E605" s="12" t="inlineStr">
        <is>
          <t>(강조하기 위해) 다시 한번 반복하다, 되풀이하다</t>
        </is>
      </c>
      <c r="F605" s="12" t="inlineStr">
        <is>
          <t>I want to reiterate how grateful I am for your help.</t>
        </is>
      </c>
      <c r="G605" s="12" t="inlineStr">
        <is>
          <t>도와주신 데 대해 얼마나 감사한지 다시 한번 강조해 말씀드리고 싶습니다.</t>
        </is>
      </c>
      <c r="H605" s="9">
        <f>HYPERLINK("https://www.youtube.com/watch?v=xJ7n9e3p5Mc", "영상 보기 ▶")</f>
        <v/>
      </c>
    </row>
    <row r="606" ht="26" customHeight="1">
      <c r="A606" s="2" t="n">
        <v>605</v>
      </c>
      <c r="B606" s="3" t="inlineStr">
        <is>
          <t>총정리 13탄</t>
        </is>
      </c>
      <c r="C606" s="3" t="inlineStr">
        <is>
          <t>강조 복습</t>
        </is>
      </c>
      <c r="D606" s="4" t="inlineStr">
        <is>
          <t>Just to reiterate,</t>
        </is>
      </c>
      <c r="E606" s="11" t="inlineStr">
        <is>
          <t>강조 차원에서 다시 한번 말씀드리자면,</t>
        </is>
      </c>
      <c r="F606" s="11" t="inlineStr">
        <is>
          <t>Just to reiterate, the strict deadline is 5 PM tomorrow.</t>
        </is>
      </c>
      <c r="G606" s="11" t="inlineStr">
        <is>
          <t>다시 한번 강조해 말씀드리자면, 마감은 내일 오후 5시 엄수입니다.</t>
        </is>
      </c>
      <c r="H606" s="5">
        <f>HYPERLINK("https://www.youtube.com/watch?v=xJ7n9e3p5Mc", "영상 보기 ▶")</f>
        <v/>
      </c>
    </row>
    <row r="607" ht="26" customHeight="1">
      <c r="A607" s="6" t="n">
        <v>606</v>
      </c>
      <c r="B607" s="7" t="inlineStr">
        <is>
          <t>총정리 13탄</t>
        </is>
      </c>
      <c r="C607" s="7" t="inlineStr">
        <is>
          <t>고수/유지</t>
        </is>
      </c>
      <c r="D607" s="8" t="inlineStr">
        <is>
          <t>stick to</t>
        </is>
      </c>
      <c r="E607" s="12" t="inlineStr">
        <is>
          <t>(주제/원칙/일정을) 벗어나지 않고 고수하다, 지키다</t>
        </is>
      </c>
      <c r="F607" s="12" t="inlineStr">
        <is>
          <t>Let's stick to the agenda today.</t>
        </is>
      </c>
      <c r="G607" s="12" t="inlineStr">
        <is>
          <t>오늘은 회의 안건에 집중해서 벗어나지 맙시다.</t>
        </is>
      </c>
      <c r="H607" s="9">
        <f>HYPERLINK("https://www.youtube.com/watch?v=xJ7n9e3p5Mc", "영상 보기 ▶")</f>
        <v/>
      </c>
    </row>
    <row r="608" ht="26" customHeight="1">
      <c r="A608" s="2" t="n">
        <v>607</v>
      </c>
      <c r="B608" s="3" t="inlineStr">
        <is>
          <t>총정리 13탄</t>
        </is>
      </c>
      <c r="C608" s="3" t="inlineStr">
        <is>
          <t>마무리 정리</t>
        </is>
      </c>
      <c r="D608" s="4" t="inlineStr">
        <is>
          <t>square away</t>
        </is>
      </c>
      <c r="E608" s="11" t="inlineStr">
        <is>
          <t>더 이상 신경 쓸 일 없도록 확실히 정리/처리 완료하다</t>
        </is>
      </c>
      <c r="F608" s="11" t="inlineStr">
        <is>
          <t>Is everything squared away for tomorrow's presentation?</t>
        </is>
      </c>
      <c r="G608" s="11" t="inlineStr">
        <is>
          <t>내일 발표 준비는 다 확실하게 정리가 끝났나요?</t>
        </is>
      </c>
      <c r="H608" s="5">
        <f>HYPERLINK("https://www.youtube.com/watch?v=xJ7n9e3p5Mc", "영상 보기 ▶")</f>
        <v/>
      </c>
    </row>
    <row r="609" ht="26" customHeight="1">
      <c r="A609" s="6" t="n">
        <v>608</v>
      </c>
      <c r="B609" s="7" t="inlineStr">
        <is>
          <t>총정리 13탄</t>
        </is>
      </c>
      <c r="C609" s="7" t="inlineStr">
        <is>
          <t>본격 착수</t>
        </is>
      </c>
      <c r="D609" s="8" t="inlineStr">
        <is>
          <t>dive in</t>
        </is>
      </c>
      <c r="E609" s="12" t="inlineStr">
        <is>
          <t>열심히 착수하다, 본격적으로 뛰어들다</t>
        </is>
      </c>
      <c r="F609" s="12" t="inlineStr">
        <is>
          <t>We have a lot to cover, so let's dive right in.</t>
        </is>
      </c>
      <c r="G609" s="12" t="inlineStr">
        <is>
          <t>다룰 내용이 많으니 곧바로 본격적으로 시작합시다.</t>
        </is>
      </c>
      <c r="H609" s="9">
        <f>HYPERLINK("https://www.youtube.com/watch?v=xJ7n9e3p5Mc", "영상 보기 ▶")</f>
        <v/>
      </c>
    </row>
    <row r="610" ht="26" customHeight="1">
      <c r="A610" s="2" t="n">
        <v>609</v>
      </c>
      <c r="B610" s="3" t="inlineStr">
        <is>
          <t>총정리 13탄</t>
        </is>
      </c>
      <c r="C610" s="3" t="inlineStr">
        <is>
          <t>정확한 지적</t>
        </is>
      </c>
      <c r="D610" s="4" t="inlineStr">
        <is>
          <t>pinpoint</t>
        </is>
      </c>
      <c r="E610" s="11" t="inlineStr">
        <is>
          <t>한치의 오차도 없이 정확히 짚어내다/찾아내다</t>
        </is>
      </c>
      <c r="F610" s="11" t="inlineStr">
        <is>
          <t>It's hard to pinpoint the exact cause of the glitch.</t>
        </is>
      </c>
      <c r="G610" s="11" t="inlineStr">
        <is>
          <t>시스템 오류의 정확한 원인을 콕 집어내기가 어렵네요.</t>
        </is>
      </c>
      <c r="H610" s="5">
        <f>HYPERLINK("https://www.youtube.com/watch?v=xJ7n9e3p5Mc", "영상 보기 ▶")</f>
        <v/>
      </c>
    </row>
    <row r="611" ht="26" customHeight="1">
      <c r="A611" s="6" t="n">
        <v>610</v>
      </c>
      <c r="B611" s="7" t="inlineStr">
        <is>
          <t>총정리 13탄</t>
        </is>
      </c>
      <c r="C611" s="7" t="inlineStr">
        <is>
          <t>목표 설정</t>
        </is>
      </c>
      <c r="D611" s="8" t="inlineStr">
        <is>
          <t>aim for</t>
        </is>
      </c>
      <c r="E611" s="12" t="inlineStr">
        <is>
          <t>~를 목표로 겨냥하다, 추진하다</t>
        </is>
      </c>
      <c r="F611" s="12" t="inlineStr">
        <is>
          <t>Let's aim for a 20% increase in productivity.</t>
        </is>
      </c>
      <c r="G611" s="12" t="inlineStr">
        <is>
          <t>생산성 20% 향상을 목표로 삼읍시다.</t>
        </is>
      </c>
      <c r="H611" s="9">
        <f>HYPERLINK("https://www.youtube.com/watch?v=xJ7n9e3p5Mc", "영상 보기 ▶")</f>
        <v/>
      </c>
    </row>
    <row r="612" ht="26" customHeight="1">
      <c r="A612" s="2" t="n">
        <v>611</v>
      </c>
      <c r="B612" s="3" t="inlineStr">
        <is>
          <t>총정리 13탄</t>
        </is>
      </c>
      <c r="C612" s="3" t="inlineStr">
        <is>
          <t>심각성</t>
        </is>
      </c>
      <c r="D612" s="4" t="inlineStr">
        <is>
          <t>gravity</t>
        </is>
      </c>
      <c r="E612" s="11" t="inlineStr">
        <is>
          <t>중대성, 심각성 (the gravity of the situation)</t>
        </is>
      </c>
      <c r="F612" s="11" t="inlineStr">
        <is>
          <t>I don't think he grasps the gravity of the situation.</t>
        </is>
      </c>
      <c r="G612" s="11" t="inlineStr">
        <is>
          <t>그는 이 상황의 심각성을 제대로 깨닫지 못하고 있는 것 같아요.</t>
        </is>
      </c>
      <c r="H612" s="5">
        <f>HYPERLINK("https://www.youtube.com/watch?v=xJ7n9e3p5Mc", "영상 보기 ▶")</f>
        <v/>
      </c>
    </row>
    <row r="613" ht="26" customHeight="1">
      <c r="A613" s="6" t="n">
        <v>612</v>
      </c>
      <c r="B613" s="7" t="inlineStr">
        <is>
          <t>총정리 13탄</t>
        </is>
      </c>
      <c r="C613" s="7" t="inlineStr">
        <is>
          <t>상황 인지</t>
        </is>
      </c>
      <c r="D613" s="8" t="inlineStr">
        <is>
          <t>appreciate</t>
        </is>
      </c>
      <c r="E613" s="12" t="inlineStr">
        <is>
          <t>(상황의 심각성/의미를) 온전히 인지하다, 이해하다</t>
        </is>
      </c>
      <c r="F613" s="12" t="inlineStr">
        <is>
          <t>I'm not sure you appreciate how serious this is.</t>
        </is>
      </c>
      <c r="G613" s="12" t="inlineStr">
        <is>
          <t>당신이 이것이 얼마나 심각한 문제인지 제대로 인지하고 있는지 모르겠네요.</t>
        </is>
      </c>
      <c r="H613" s="9">
        <f>HYPERLINK("https://www.youtube.com/watch?v=xJ7n9e3p5Mc", "영상 보기 ▶")</f>
        <v/>
      </c>
    </row>
    <row r="614" ht="26" customHeight="1">
      <c r="A614" s="2" t="n">
        <v>613</v>
      </c>
      <c r="B614" s="3" t="inlineStr">
        <is>
          <t>총정리 13탄</t>
        </is>
      </c>
      <c r="C614" s="3" t="inlineStr">
        <is>
          <t>초집중</t>
        </is>
      </c>
      <c r="D614" s="4" t="inlineStr">
        <is>
          <t>laser-focus / laser-focused</t>
        </is>
      </c>
      <c r="E614" s="11" t="inlineStr">
        <is>
          <t>레이저를 쏘듯 초집중하다, 몰입하다</t>
        </is>
      </c>
      <c r="F614" s="11" t="inlineStr">
        <is>
          <t>We need to stay laser-focused on our core objectives.</t>
        </is>
      </c>
      <c r="G614" s="11" t="inlineStr">
        <is>
          <t>우리는 핵심 목표에 빈틈없이 초집중해야 합니다.</t>
        </is>
      </c>
      <c r="H614" s="5">
        <f>HYPERLINK("https://www.youtube.com/watch?v=xJ7n9e3p5Mc", "영상 보기 ▶")</f>
        <v/>
      </c>
    </row>
    <row r="615" ht="26" customHeight="1">
      <c r="A615" s="6" t="n">
        <v>614</v>
      </c>
      <c r="B615" s="7" t="inlineStr">
        <is>
          <t>총정리 13탄</t>
        </is>
      </c>
      <c r="C615" s="7" t="inlineStr">
        <is>
          <t>화풀이 금지</t>
        </is>
      </c>
      <c r="D615" s="8" t="inlineStr">
        <is>
          <t>take it out on (사람)</t>
        </is>
      </c>
      <c r="E615" s="12" t="inlineStr">
        <is>
          <t>~에게 화풀이하다, 분풀이하다</t>
        </is>
      </c>
      <c r="F615" s="12" t="inlineStr">
        <is>
          <t>Don't take your bad mood out on me.</t>
        </is>
      </c>
      <c r="G615" s="12" t="inlineStr">
        <is>
          <t>네 기분 안 좋은 걸 왜 나한테 화풀이해.</t>
        </is>
      </c>
      <c r="H615" s="9">
        <f>HYPERLINK("https://www.youtube.com/watch?v=xJ7n9e3p5Mc", "영상 보기 ▶")</f>
        <v/>
      </c>
    </row>
    <row r="616" ht="26" customHeight="1">
      <c r="A616" s="2" t="n">
        <v>615</v>
      </c>
      <c r="B616" s="3" t="inlineStr">
        <is>
          <t>총정리 13탄</t>
        </is>
      </c>
      <c r="C616" s="3" t="inlineStr">
        <is>
          <t>소중함 망각</t>
        </is>
      </c>
      <c r="D616" s="4" t="inlineStr">
        <is>
          <t>take (대상) for granted</t>
        </is>
      </c>
      <c r="E616" s="11" t="inlineStr">
        <is>
          <t>~를 당연한 것으로 여기다, 대수롭지 않게 보다</t>
        </is>
      </c>
      <c r="F616" s="11" t="inlineStr">
        <is>
          <t>Never take good health and family for granted.</t>
        </is>
      </c>
      <c r="G616" s="11" t="inlineStr">
        <is>
          <t>건강과 가족의 소중함을 결코 당연시해서는 안 돼.</t>
        </is>
      </c>
      <c r="H616" s="5">
        <f>HYPERLINK("https://www.youtube.com/watch?v=xJ7n9e3p5Mc", "영상 보기 ▶")</f>
        <v/>
      </c>
    </row>
    <row r="617" ht="26" customHeight="1">
      <c r="A617" s="6" t="n">
        <v>616</v>
      </c>
      <c r="B617" s="7" t="inlineStr">
        <is>
          <t>총정리 13탄</t>
        </is>
      </c>
      <c r="C617" s="7" t="inlineStr">
        <is>
          <t>기회 활용</t>
        </is>
      </c>
      <c r="D617" s="8" t="inlineStr">
        <is>
          <t>take advantage of</t>
        </is>
      </c>
      <c r="E617" s="12" t="inlineStr">
        <is>
          <t>(이득이 되도록) 기회를 십분 활용하다</t>
        </is>
      </c>
      <c r="F617" s="12" t="inlineStr">
        <is>
          <t>Make sure to take advantage of this networking session.</t>
        </is>
      </c>
      <c r="G617" s="12" t="inlineStr">
        <is>
          <t>이번 네트워킹 세션 기회를 최대한 잘 활용하도록 해.</t>
        </is>
      </c>
      <c r="H617" s="9">
        <f>HYPERLINK("https://www.youtube.com/watch?v=xJ7n9e3p5Mc", "영상 보기 ▶")</f>
        <v/>
      </c>
    </row>
    <row r="618" ht="26" customHeight="1">
      <c r="A618" s="2" t="n">
        <v>617</v>
      </c>
      <c r="B618" s="3" t="inlineStr">
        <is>
          <t>총정리 13탄</t>
        </is>
      </c>
      <c r="C618" s="3" t="inlineStr">
        <is>
          <t>불만 표출</t>
        </is>
      </c>
      <c r="D618" s="4" t="inlineStr">
        <is>
          <t>I don't appreciate ~</t>
        </is>
      </c>
      <c r="E618" s="11" t="inlineStr">
        <is>
          <t>~한 태도/행동은 정말 달갑지 않습니다 (불쾌함)</t>
        </is>
      </c>
      <c r="F618" s="11" t="inlineStr">
        <is>
          <t>I don't appreciate being spoken to in that tone.</t>
        </is>
      </c>
      <c r="G618" s="11" t="inlineStr">
        <is>
          <t>그런 무례한 어조로 제게 말씀하시는 것은 대단히 불쾌합니다.</t>
        </is>
      </c>
      <c r="H618" s="5">
        <f>HYPERLINK("https://www.youtube.com/watch?v=xJ7n9e3p5Mc", "영상 보기 ▶")</f>
        <v/>
      </c>
    </row>
    <row r="619" ht="26" customHeight="1">
      <c r="A619" s="6" t="n">
        <v>618</v>
      </c>
      <c r="B619" s="7" t="inlineStr">
        <is>
          <t>총정리 13탄</t>
        </is>
      </c>
      <c r="C619" s="7" t="inlineStr">
        <is>
          <t>선 넘음</t>
        </is>
      </c>
      <c r="D619" s="8" t="inlineStr">
        <is>
          <t>cross the line</t>
        </is>
      </c>
      <c r="E619" s="12" t="inlineStr">
        <is>
          <t>선을 넘다, 도를 지나치다</t>
        </is>
      </c>
      <c r="F619" s="12" t="inlineStr">
        <is>
          <t>His personal remarks really crossed the line.</t>
        </is>
      </c>
      <c r="G619" s="12" t="inlineStr">
        <is>
          <t>그의 사적인 발언은 확실히 선을 넘었어.</t>
        </is>
      </c>
      <c r="H619" s="9">
        <f>HYPERLINK("https://www.youtube.com/watch?v=xJ7n9e3p5Mc", "영상 보기 ▶")</f>
        <v/>
      </c>
    </row>
    <row r="620" ht="26" customHeight="1">
      <c r="A620" s="2" t="n">
        <v>619</v>
      </c>
      <c r="B620" s="3" t="inlineStr">
        <is>
          <t>총정리 13탄</t>
        </is>
      </c>
      <c r="C620" s="3" t="inlineStr">
        <is>
          <t>안부/경청</t>
        </is>
      </c>
      <c r="D620" s="4" t="inlineStr">
        <is>
          <t>What's on your mind?</t>
        </is>
      </c>
      <c r="E620" s="11" t="inlineStr">
        <is>
          <t>무슨 생각 해? / 무슨 일 있어? / 할 말 있어?</t>
        </is>
      </c>
      <c r="F620" s="11" t="inlineStr">
        <is>
          <t>You look troubled. What's on your mind?</t>
        </is>
      </c>
      <c r="G620" s="11" t="inlineStr">
        <is>
          <t>표정이 안 좋아 보이네. 무슨 고민 있어?</t>
        </is>
      </c>
      <c r="H620" s="5">
        <f>HYPERLINK("https://www.youtube.com/watch?v=xJ7n9e3p5Mc", "영상 보기 ▶")</f>
        <v/>
      </c>
    </row>
    <row r="621" ht="26" customHeight="1">
      <c r="A621" s="6" t="n">
        <v>620</v>
      </c>
      <c r="B621" s="7" t="inlineStr">
        <is>
          <t>총정리 13탄</t>
        </is>
      </c>
      <c r="C621" s="7" t="inlineStr">
        <is>
          <t>통화 매너</t>
        </is>
      </c>
      <c r="D621" s="8" t="inlineStr">
        <is>
          <t>Did I catch you at a bad time?</t>
        </is>
      </c>
      <c r="E621" s="12" t="inlineStr">
        <is>
          <t>혹시 지금 통화하기 곤란한 때인가요?</t>
        </is>
      </c>
      <c r="F621" s="12" t="inlineStr">
        <is>
          <t>Hi Mark, did I catch you at a bad time? I can call later.</t>
        </is>
      </c>
      <c r="G621" s="12" t="inlineStr">
        <is>
          <t>마크 씨, 혹시 지금 통화 곤란하신가요? 나중에 다시 걸게요.</t>
        </is>
      </c>
      <c r="H621" s="9">
        <f>HYPERLINK("https://www.youtube.com/watch?v=xJ7n9e3p5Mc", "영상 보기 ▶")</f>
        <v/>
      </c>
    </row>
    <row r="622" ht="26" customHeight="1">
      <c r="A622" s="2" t="n">
        <v>621</v>
      </c>
      <c r="B622" s="3" t="inlineStr">
        <is>
          <t>총정리 13탄</t>
        </is>
      </c>
      <c r="C622" s="3" t="inlineStr">
        <is>
          <t>생각 번복</t>
        </is>
      </c>
      <c r="D622" s="4" t="inlineStr">
        <is>
          <t>on second thought</t>
        </is>
      </c>
      <c r="E622" s="11" t="inlineStr">
        <is>
          <t>다시 생각해 보니까</t>
        </is>
      </c>
      <c r="F622" s="11" t="inlineStr">
        <is>
          <t>On second thought, let's reschedule for next Monday.</t>
        </is>
      </c>
      <c r="G622" s="11" t="inlineStr">
        <is>
          <t>다시 생각해 보니, 다음 주 월요일로 일정을 다시 잡읍시다.</t>
        </is>
      </c>
      <c r="H622" s="5">
        <f>HYPERLINK("https://www.youtube.com/watch?v=xJ7n9e3p5Mc", "영상 보기 ▶")</f>
        <v/>
      </c>
    </row>
    <row r="623" ht="26" customHeight="1">
      <c r="A623" s="6" t="n">
        <v>622</v>
      </c>
      <c r="B623" s="7" t="inlineStr">
        <is>
          <t>총정리 13탄</t>
        </is>
      </c>
      <c r="C623" s="7" t="inlineStr">
        <is>
          <t>망설임</t>
        </is>
      </c>
      <c r="D623" s="8" t="inlineStr">
        <is>
          <t>have second thoughts</t>
        </is>
      </c>
      <c r="E623" s="12" t="inlineStr">
        <is>
          <t>결정 후 다시 생각하다, 의구심/망설임이 들다</t>
        </is>
      </c>
      <c r="F623" s="12" t="inlineStr">
        <is>
          <t>Are you having second thoughts about taking the job?</t>
        </is>
      </c>
      <c r="G623" s="12" t="inlineStr">
        <is>
          <t>그 일자리 수락한 거에 대해 마음이 다시 흔들리고 있어?</t>
        </is>
      </c>
      <c r="H623" s="9">
        <f>HYPERLINK("https://www.youtube.com/watch?v=xJ7n9e3p5Mc", "영상 보기 ▶")</f>
        <v/>
      </c>
    </row>
    <row r="624" ht="26" customHeight="1">
      <c r="A624" s="2" t="n">
        <v>623</v>
      </c>
      <c r="B624" s="3" t="inlineStr">
        <is>
          <t>총정리 13탄</t>
        </is>
      </c>
      <c r="C624" s="3" t="inlineStr">
        <is>
          <t>우려 뉘앙스</t>
        </is>
      </c>
      <c r="D624" s="4" t="inlineStr">
        <is>
          <t>concern vs worry</t>
        </is>
      </c>
      <c r="E624" s="11" t="inlineStr">
        <is>
          <t>통제 불능의 개인적 걱정(worry) vs 비즈니스적 우려(concern)</t>
        </is>
      </c>
      <c r="F624" s="11" t="inlineStr">
        <is>
          <t>My main concern is meeting our client's delivery deadline.</t>
        </is>
      </c>
      <c r="G624" s="11" t="inlineStr">
        <is>
          <t>저의 주된 비즈니스적 우려는 고객사의 납기일을 맞추는 것입니다.</t>
        </is>
      </c>
      <c r="H624" s="5">
        <f>HYPERLINK("https://www.youtube.com/watch?v=xJ7n9e3p5Mc", "영상 보기 ▶")</f>
        <v/>
      </c>
    </row>
    <row r="625" ht="26" customHeight="1">
      <c r="A625" s="6" t="n">
        <v>624</v>
      </c>
      <c r="B625" s="7" t="inlineStr">
        <is>
          <t>총정리 13탄</t>
        </is>
      </c>
      <c r="C625" s="7" t="inlineStr">
        <is>
          <t>지각 질문</t>
        </is>
      </c>
      <c r="D625" s="8" t="inlineStr">
        <is>
          <t>What took you so long?</t>
        </is>
      </c>
      <c r="E625" s="12" t="inlineStr">
        <is>
          <t>왜 이렇게 오래 걸렸어? / 왜 이리 늦게 왔어?</t>
        </is>
      </c>
      <c r="F625" s="12" t="inlineStr">
        <is>
          <t>What took you so long? We almost started without you.</t>
        </is>
      </c>
      <c r="G625" s="12" t="inlineStr">
        <is>
          <t>왜 이렇게 늦었어? 너 없이 그냥 시작할 뻔했잖아.</t>
        </is>
      </c>
      <c r="H625" s="9">
        <f>HYPERLINK("https://www.youtube.com/watch?v=xJ7n9e3p5Mc", "영상 보기 ▶")</f>
        <v/>
      </c>
    </row>
    <row r="626" ht="26" customHeight="1">
      <c r="A626" s="2" t="n">
        <v>625</v>
      </c>
      <c r="B626" s="3" t="inlineStr">
        <is>
          <t>총정리 13탄</t>
        </is>
      </c>
      <c r="C626" s="3" t="inlineStr">
        <is>
          <t>방문 질문</t>
        </is>
      </c>
      <c r="D626" s="4" t="inlineStr">
        <is>
          <t>What brings you here?</t>
        </is>
      </c>
      <c r="E626" s="11" t="inlineStr">
        <is>
          <t>여기 어쩐 일로 오셨어요?</t>
        </is>
      </c>
      <c r="F626" s="11" t="inlineStr">
        <is>
          <t>Hey Sarah, what brings you to our floor today?</t>
        </is>
      </c>
      <c r="G626" s="11" t="inlineStr">
        <is>
          <t>세라 씨, 오늘 저희 층엔 어쩐 일로 오셨어요?</t>
        </is>
      </c>
      <c r="H626" s="5">
        <f>HYPERLINK("https://www.youtube.com/watch?v=xJ7n9e3p5Mc", "영상 보기 ▶")</f>
        <v/>
      </c>
    </row>
    <row r="627" ht="26" customHeight="1">
      <c r="A627" s="6" t="n">
        <v>626</v>
      </c>
      <c r="B627" s="7" t="inlineStr">
        <is>
          <t>총정리 13탄</t>
        </is>
      </c>
      <c r="C627" s="7" t="inlineStr">
        <is>
          <t>배려/협조</t>
        </is>
      </c>
      <c r="D627" s="8" t="inlineStr">
        <is>
          <t>accommodating</t>
        </is>
      </c>
      <c r="E627" s="12" t="inlineStr">
        <is>
          <t>(상대편에 맞춰주고 선뜻 도와주는) 협조적인, 배려 깊은</t>
        </is>
      </c>
      <c r="F627" s="12" t="inlineStr">
        <is>
          <t>Thank you for being so accommodating with our crazy schedule.</t>
        </is>
      </c>
      <c r="G627" s="12" t="inlineStr">
        <is>
          <t>저희의 촉박한 일정에 너그럽게 맞춰주시고 협조해 주셔서 감사합니다.</t>
        </is>
      </c>
      <c r="H627" s="9">
        <f>HYPERLINK("https://www.youtube.com/watch?v=xJ7n9e3p5Mc", "영상 보기 ▶")</f>
        <v/>
      </c>
    </row>
    <row r="628" ht="26" customHeight="1">
      <c r="A628" s="2" t="n">
        <v>627</v>
      </c>
      <c r="B628" s="3" t="inlineStr">
        <is>
          <t>총정리 13탄</t>
        </is>
      </c>
      <c r="C628" s="3" t="inlineStr">
        <is>
          <t>협조 감사</t>
        </is>
      </c>
      <c r="D628" s="4" t="inlineStr">
        <is>
          <t>cooperation</t>
        </is>
      </c>
      <c r="E628" s="11" t="inlineStr">
        <is>
          <t>협조, 협력 (Thank you for your cooperation)</t>
        </is>
      </c>
      <c r="F628" s="11" t="inlineStr">
        <is>
          <t>Thank you for your cooperation during the system upgrade.</t>
        </is>
      </c>
      <c r="G628" s="11" t="inlineStr">
        <is>
          <t>시스템 업그레이드 기간 동안 협조해 주셔서 감사드립니다.</t>
        </is>
      </c>
      <c r="H628" s="5">
        <f>HYPERLINK("https://www.youtube.com/watch?v=xJ7n9e3p5Mc", "영상 보기 ▶")</f>
        <v/>
      </c>
    </row>
    <row r="629" ht="26" customHeight="1">
      <c r="A629" s="6" t="n">
        <v>628</v>
      </c>
      <c r="B629" s="7" t="inlineStr">
        <is>
          <t>총정리 13탄</t>
        </is>
      </c>
      <c r="C629" s="7" t="inlineStr">
        <is>
          <t>바람/배려</t>
        </is>
      </c>
      <c r="D629" s="8" t="inlineStr">
        <is>
          <t>I hope you find this helpful</t>
        </is>
      </c>
      <c r="E629" s="12" t="inlineStr">
        <is>
          <t>이 자료/내용이 도움이 되었기를 바랍니다</t>
        </is>
      </c>
      <c r="F629" s="12" t="inlineStr">
        <is>
          <t>Here is the summary report; I hope you find this helpful.</t>
        </is>
      </c>
      <c r="G629" s="12" t="inlineStr">
        <is>
          <t>요약 보고서 첨부합니다. 업무에 도움이 되길 바랍니다.</t>
        </is>
      </c>
      <c r="H629" s="9">
        <f>HYPERLINK("https://www.youtube.com/watch?v=xJ7n9e3p5Mc", "영상 보기 ▶")</f>
        <v/>
      </c>
    </row>
    <row r="630" ht="26" customHeight="1">
      <c r="A630" s="2" t="n">
        <v>629</v>
      </c>
      <c r="B630" s="3" t="inlineStr">
        <is>
          <t>총정리 13탄</t>
        </is>
      </c>
      <c r="C630" s="3" t="inlineStr">
        <is>
          <t>감사 표시</t>
        </is>
      </c>
      <c r="D630" s="4" t="inlineStr">
        <is>
          <t>as a token of my appreciation</t>
        </is>
      </c>
      <c r="E630" s="11" t="inlineStr">
        <is>
          <t>약소하지만 제 감사의 표시로</t>
        </is>
      </c>
      <c r="F630" s="11" t="inlineStr">
        <is>
          <t>Please accept this gift as a token of my appreciation.</t>
        </is>
      </c>
      <c r="G630" s="11" t="inlineStr">
        <is>
          <t>제 감사의 작은 표시이니 부디 받아주세요.</t>
        </is>
      </c>
      <c r="H630" s="5">
        <f>HYPERLINK("https://www.youtube.com/watch?v=xJ7n9e3p5Mc", "영상 보기 ▶")</f>
        <v/>
      </c>
    </row>
    <row r="631" ht="26" customHeight="1">
      <c r="A631" s="6" t="n">
        <v>630</v>
      </c>
      <c r="B631" s="7" t="inlineStr">
        <is>
          <t>총정리 13탄</t>
        </is>
      </c>
      <c r="C631" s="7" t="inlineStr">
        <is>
          <t>솔직한 대화</t>
        </is>
      </c>
      <c r="D631" s="8" t="inlineStr">
        <is>
          <t>level with / shoot straight</t>
        </is>
      </c>
      <c r="E631" s="12" t="inlineStr">
        <is>
          <t>솔직하게 터놓고 사실대로 말하다</t>
        </is>
      </c>
      <c r="F631" s="12" t="inlineStr">
        <is>
          <t>Just level with me: do we have a chance to win the bid?</t>
        </is>
      </c>
      <c r="G631" s="12" t="inlineStr">
        <is>
          <t>솔직히 털어놓고 말해봐: 우리 수주 따낼 승산이 있어?</t>
        </is>
      </c>
      <c r="H631" s="9">
        <f>HYPERLINK("https://www.youtube.com/watch?v=xJ7n9e3p5Mc", "영상 보기 ▶")</f>
        <v/>
      </c>
    </row>
    <row r="632" ht="26" customHeight="1">
      <c r="A632" s="2" t="n">
        <v>631</v>
      </c>
      <c r="B632" s="3" t="inlineStr">
        <is>
          <t>총정리 13탄</t>
        </is>
      </c>
      <c r="C632" s="3" t="inlineStr">
        <is>
          <t>근본 설명</t>
        </is>
      </c>
      <c r="D632" s="4" t="inlineStr">
        <is>
          <t>basically</t>
        </is>
      </c>
      <c r="E632" s="11" t="inlineStr">
        <is>
          <t>기본적으로, 근본적으로</t>
        </is>
      </c>
      <c r="F632" s="11" t="inlineStr">
        <is>
          <t>Basically, we need to reduce overhead costs by 15%.</t>
        </is>
      </c>
      <c r="G632" s="11" t="inlineStr">
        <is>
          <t>기본적으로 우리는 간접비를 15% 감축해야 합니다.</t>
        </is>
      </c>
      <c r="H632" s="5">
        <f>HYPERLINK("https://www.youtube.com/watch?v=xJ7n9e3p5Mc", "영상 보기 ▶")</f>
        <v/>
      </c>
    </row>
    <row r="633" ht="26" customHeight="1">
      <c r="A633" s="6" t="n">
        <v>632</v>
      </c>
      <c r="B633" s="7" t="inlineStr">
        <is>
          <t>총정리 13탄</t>
        </is>
      </c>
      <c r="C633" s="7" t="inlineStr">
        <is>
          <t>본질 요약</t>
        </is>
      </c>
      <c r="D633" s="8" t="inlineStr">
        <is>
          <t>basically (핵심)</t>
        </is>
      </c>
      <c r="E633" s="12" t="inlineStr">
        <is>
          <t>(군더더기 빼고) ~와 다름없는, 결국</t>
        </is>
      </c>
      <c r="F633" s="12" t="inlineStr">
        <is>
          <t>It's basically a free upgrade with no extra charges.</t>
        </is>
      </c>
      <c r="G633" s="12" t="inlineStr">
        <is>
          <t>군더더기 빼고 보면 추가 비용 없는 무료 업그레이드나 다름없어.</t>
        </is>
      </c>
      <c r="H633" s="9">
        <f>HYPERLINK("https://www.youtube.com/watch?v=xJ7n9e3p5Mc", "영상 보기 ▶")</f>
        <v/>
      </c>
    </row>
    <row r="634" ht="26" customHeight="1">
      <c r="A634" s="2" t="n">
        <v>633</v>
      </c>
      <c r="B634" s="3" t="inlineStr">
        <is>
          <t>총정리 13탄</t>
        </is>
      </c>
      <c r="C634" s="3" t="inlineStr">
        <is>
          <t>차이 없음</t>
        </is>
      </c>
      <c r="D634" s="4" t="inlineStr">
        <is>
          <t>tomato, tomahto</t>
        </is>
      </c>
      <c r="E634" s="11" t="inlineStr">
        <is>
          <t>도긴개긴이야, 그게 그거지</t>
        </is>
      </c>
      <c r="F634" s="11" t="inlineStr">
        <is>
          <t>Whether you call it a merger or takeover, tomato, tomahto.</t>
        </is>
      </c>
      <c r="G634" s="11" t="inlineStr">
        <is>
          <t>합병이라 부르든 인수라 부르든 도긴개긴, 그게 그거야.</t>
        </is>
      </c>
      <c r="H634" s="5">
        <f>HYPERLINK("https://www.youtube.com/watch?v=xJ7n9e3p5Mc", "영상 보기 ▶")</f>
        <v/>
      </c>
    </row>
    <row r="635" ht="26" customHeight="1">
      <c r="A635" s="6" t="n">
        <v>634</v>
      </c>
      <c r="B635" s="7" t="inlineStr">
        <is>
          <t>총정리 13탄</t>
        </is>
      </c>
      <c r="C635" s="7" t="inlineStr">
        <is>
          <t>현황 파악</t>
        </is>
      </c>
      <c r="D635" s="8" t="inlineStr">
        <is>
          <t>up to speed</t>
        </is>
      </c>
      <c r="E635" s="12" t="inlineStr">
        <is>
          <t>최신 상황/정보를 잘 파악하고 있는</t>
        </is>
      </c>
      <c r="F635" s="12" t="inlineStr">
        <is>
          <t>I want to make sure everyone is up to speed before we start.</t>
        </is>
      </c>
      <c r="G635" s="12" t="inlineStr">
        <is>
          <t>시작하기 전에 전원이 최신 현황을 완벽히 숙지했는지 확인하고 싶습니다.</t>
        </is>
      </c>
      <c r="H635" s="9">
        <f>HYPERLINK("https://www.youtube.com/watch?v=xJ7n9e3p5Mc", "영상 보기 ▶")</f>
        <v/>
      </c>
    </row>
    <row r="636" ht="26" customHeight="1">
      <c r="A636" s="2" t="n">
        <v>635</v>
      </c>
      <c r="B636" s="3" t="inlineStr">
        <is>
          <t>총정리 13탄</t>
        </is>
      </c>
      <c r="C636" s="3" t="inlineStr">
        <is>
          <t>훑어보기</t>
        </is>
      </c>
      <c r="D636" s="4" t="inlineStr">
        <is>
          <t>skim through</t>
        </is>
      </c>
      <c r="E636" s="11" t="inlineStr">
        <is>
          <t>(요점만 빠르게) 쓱 훑어보다</t>
        </is>
      </c>
      <c r="F636" s="11" t="inlineStr">
        <is>
          <t>I skimmed through the proposal on my commute.</t>
        </is>
      </c>
      <c r="G636" s="11" t="inlineStr">
        <is>
          <t>출근길에 제안서를 대략 쓱 훑어봤어요.</t>
        </is>
      </c>
      <c r="H636" s="5">
        <f>HYPERLINK("https://www.youtube.com/watch?v=xJ7n9e3p5Mc", "영상 보기 ▶")</f>
        <v/>
      </c>
    </row>
    <row r="637" ht="26" customHeight="1">
      <c r="A637" s="6" t="n">
        <v>636</v>
      </c>
      <c r="B637" s="7" t="inlineStr">
        <is>
          <t>총정리 13탄</t>
        </is>
      </c>
      <c r="C637" s="7" t="inlineStr">
        <is>
          <t>상황 파악</t>
        </is>
      </c>
      <c r="D637" s="8" t="inlineStr">
        <is>
          <t>get up to speed</t>
        </is>
      </c>
      <c r="E637" s="12" t="inlineStr">
        <is>
          <t>상황을 파악하다, 진도를 따라잡다</t>
        </is>
      </c>
      <c r="F637" s="12" t="inlineStr">
        <is>
          <t>Give me a day to get up to speed on the project files.</t>
        </is>
      </c>
      <c r="G637" s="12" t="inlineStr">
        <is>
          <t>프로젝트 파일들 파악해서 진도 따라잡을 하루만 시간 주세요.</t>
        </is>
      </c>
      <c r="H637" s="9">
        <f>HYPERLINK("https://www.youtube.com/watch?v=xJ7n9e3p5Mc", "영상 보기 ▶")</f>
        <v/>
      </c>
    </row>
    <row r="638" ht="26" customHeight="1">
      <c r="A638" s="2" t="n">
        <v>637</v>
      </c>
      <c r="B638" s="3" t="inlineStr">
        <is>
          <t>총정리 13탄</t>
        </is>
      </c>
      <c r="C638" s="3" t="inlineStr">
        <is>
          <t>브리핑</t>
        </is>
      </c>
      <c r="D638" s="4" t="inlineStr">
        <is>
          <t>bring (사람) up to speed</t>
        </is>
      </c>
      <c r="E638" s="11" t="inlineStr">
        <is>
          <t>~에게 최신 진행 상황을 설명/이해시켜 주다</t>
        </is>
      </c>
      <c r="F638" s="11" t="inlineStr">
        <is>
          <t>Let me bring you up to speed on what we decided yesterday.</t>
        </is>
      </c>
      <c r="G638" s="11" t="inlineStr">
        <is>
          <t>어제 우리가 무엇을 결정했는지 최신 현황을 브리핑해 드릴게요.</t>
        </is>
      </c>
      <c r="H638" s="5">
        <f>HYPERLINK("https://www.youtube.com/watch?v=xJ7n9e3p5Mc", "영상 보기 ▶")</f>
        <v/>
      </c>
    </row>
    <row r="639" ht="26" customHeight="1">
      <c r="A639" s="6" t="n">
        <v>638</v>
      </c>
      <c r="B639" s="7" t="inlineStr">
        <is>
          <t>총정리 13탄</t>
        </is>
      </c>
      <c r="C639" s="7" t="inlineStr">
        <is>
          <t>유리한 출발</t>
        </is>
      </c>
      <c r="D639" s="8" t="inlineStr">
        <is>
          <t>get a head start</t>
        </is>
      </c>
      <c r="E639" s="12" t="inlineStr">
        <is>
          <t>남보다 일찍 시작하다, 유리한 고지를 선점하다</t>
        </is>
      </c>
      <c r="F639" s="12" t="inlineStr">
        <is>
          <t>I like to arrive early to get a head start on the day.</t>
        </is>
      </c>
      <c r="G639" s="12" t="inlineStr">
        <is>
          <t>나는 하루 업무를 남보다 한발 앞서 유리하게 시작하려 일찍 출근해.</t>
        </is>
      </c>
      <c r="H639" s="9">
        <f>HYPERLINK("https://www.youtube.com/watch?v=xJ7n9e3p5Mc", "영상 보기 ▶")</f>
        <v/>
      </c>
    </row>
    <row r="640" ht="26" customHeight="1">
      <c r="A640" s="2" t="n">
        <v>639</v>
      </c>
      <c r="B640" s="3" t="inlineStr">
        <is>
          <t>총정리 13탄</t>
        </is>
      </c>
      <c r="C640" s="3" t="inlineStr">
        <is>
          <t>시사점</t>
        </is>
      </c>
      <c r="D640" s="4" t="inlineStr">
        <is>
          <t>thought-provoking</t>
        </is>
      </c>
      <c r="E640" s="11" t="inlineStr">
        <is>
          <t>진지하게 생각하게 만드는, 시사하는 바가 큰</t>
        </is>
      </c>
      <c r="F640" s="11" t="inlineStr">
        <is>
          <t>His keynote speech was very thought-provoking.</t>
        </is>
      </c>
      <c r="G640" s="11" t="inlineStr">
        <is>
          <t>그의 기조연설은 많은 생각을 하게 만들 만큼 시사하는 바가 컸어.</t>
        </is>
      </c>
      <c r="H640" s="5">
        <f>HYPERLINK("https://www.youtube.com/watch?v=xJ7n9e3p5Mc", "영상 보기 ▶")</f>
        <v/>
      </c>
    </row>
    <row r="641" ht="26" customHeight="1">
      <c r="A641" s="6" t="n">
        <v>640</v>
      </c>
      <c r="B641" s="7" t="inlineStr">
        <is>
          <t>총정리 13탄</t>
        </is>
      </c>
      <c r="C641" s="7" t="inlineStr">
        <is>
          <t>완전한 집중</t>
        </is>
      </c>
      <c r="D641" s="8" t="inlineStr">
        <is>
          <t>undivided attention</t>
        </is>
      </c>
      <c r="E641" s="12" t="inlineStr">
        <is>
          <t>온전한/완전한 집중</t>
        </is>
      </c>
      <c r="F641" s="12" t="inlineStr">
        <is>
          <t>Put your phones away; this presentation deserves your undivided attention.</t>
        </is>
      </c>
      <c r="G641" s="12" t="inlineStr">
        <is>
          <t>스마트폰 집어넣으세요, 이번 발표는 온전한 집중을 기울일 가치가 있습니다.</t>
        </is>
      </c>
      <c r="H641" s="9">
        <f>HYPERLINK("https://www.youtube.com/watch?v=xJ7n9e3p5Mc", "영상 보기 ▶")</f>
        <v/>
      </c>
    </row>
    <row r="642" ht="26" customHeight="1">
      <c r="A642" s="2" t="n">
        <v>641</v>
      </c>
      <c r="B642" s="3" t="inlineStr">
        <is>
          <t>총정리 13탄</t>
        </is>
      </c>
      <c r="C642" s="3" t="inlineStr">
        <is>
          <t>머리 식히기</t>
        </is>
      </c>
      <c r="D642" s="4" t="inlineStr">
        <is>
          <t>distract / distraction</t>
        </is>
      </c>
      <c r="E642" s="11" t="inlineStr">
        <is>
          <t>주의를 딴 데로 돌려 머리를 식히다/기분 전환하다</t>
        </is>
      </c>
      <c r="F642" s="11" t="inlineStr">
        <is>
          <t>I needed a healthy distraction from all the work stress.</t>
        </is>
      </c>
      <c r="G642" s="11" t="inlineStr">
        <is>
          <t>업무 스트레스에서 벗어나 머리를 식힐 건강한 기분 전환이 필요했어.</t>
        </is>
      </c>
      <c r="H642" s="5">
        <f>HYPERLINK("https://www.youtube.com/watch?v=xJ7n9e3p5Mc", "영상 보기 ▶")</f>
        <v/>
      </c>
    </row>
    <row r="643" ht="26" customHeight="1">
      <c r="A643" s="6" t="n">
        <v>642</v>
      </c>
      <c r="B643" s="7" t="inlineStr">
        <is>
          <t>총정리 13탄</t>
        </is>
      </c>
      <c r="C643" s="7" t="inlineStr">
        <is>
          <t>의연함</t>
        </is>
      </c>
      <c r="D643" s="8" t="inlineStr">
        <is>
          <t>Don't let it get in your head</t>
        </is>
      </c>
      <c r="E643" s="12" t="inlineStr">
        <is>
          <t>그 말에 너무 휘둘리지 마, 마음에 담아두지 마</t>
        </is>
      </c>
      <c r="F643" s="12" t="inlineStr">
        <is>
          <t>Ignore his negative criticism; don't let it get in your head.</t>
        </is>
      </c>
      <c r="G643" s="12" t="inlineStr">
        <is>
          <t>그 사람의 비판 무시해, 너무 마음에 담아두고 휘둘리지 마.</t>
        </is>
      </c>
      <c r="H643" s="9">
        <f>HYPERLINK("https://www.youtube.com/watch?v=xJ7n9e3p5Mc", "영상 보기 ▶")</f>
        <v/>
      </c>
    </row>
    <row r="644" ht="26" customHeight="1">
      <c r="A644" s="2" t="n">
        <v>643</v>
      </c>
      <c r="B644" s="3" t="inlineStr">
        <is>
          <t>총정리 13탄</t>
        </is>
      </c>
      <c r="C644" s="3" t="inlineStr">
        <is>
          <t>퇴근 후</t>
        </is>
      </c>
      <c r="D644" s="4" t="inlineStr">
        <is>
          <t>off the clock</t>
        </is>
      </c>
      <c r="E644" s="11" t="inlineStr">
        <is>
          <t>근무 시간 외에, 일과 끝나고</t>
        </is>
      </c>
      <c r="F644" s="11" t="inlineStr">
        <is>
          <t>We are officially off the clock, so no more talking about work.</t>
        </is>
      </c>
      <c r="G644" s="11" t="inlineStr">
        <is>
          <t>우리 공식적으로 근무 시간 끝났으니까 이제 회사 일 얘기 금지야.</t>
        </is>
      </c>
      <c r="H644" s="5">
        <f>HYPERLINK("https://www.youtube.com/watch?v=xJ7n9e3p5Mc", "영상 보기 ▶")</f>
        <v/>
      </c>
    </row>
    <row r="645" ht="26" customHeight="1">
      <c r="A645" s="6" t="n">
        <v>644</v>
      </c>
      <c r="B645" s="7" t="inlineStr">
        <is>
          <t>총정리 13탄</t>
        </is>
      </c>
      <c r="C645" s="7" t="inlineStr">
        <is>
          <t>퇴근</t>
        </is>
      </c>
      <c r="D645" s="8" t="inlineStr">
        <is>
          <t>clock out / knock off</t>
        </is>
      </c>
      <c r="E645" s="12" t="inlineStr">
        <is>
          <t>퇴근하다, 일과를 마치다</t>
        </is>
      </c>
      <c r="F645" s="12" t="inlineStr">
        <is>
          <t>I usually clock out at 6 PM sharp.</t>
        </is>
      </c>
      <c r="G645" s="12" t="inlineStr">
        <is>
          <t>저는 보통 정확히 오후 6시에 칼퇴근합니다.</t>
        </is>
      </c>
      <c r="H645" s="9">
        <f>HYPERLINK("https://www.youtube.com/watch?v=xJ7n9e3p5Mc", "영상 보기 ▶")</f>
        <v/>
      </c>
    </row>
    <row r="646" ht="26" customHeight="1">
      <c r="A646" s="2" t="n">
        <v>645</v>
      </c>
      <c r="B646" s="3" t="inlineStr">
        <is>
          <t>총정리 13탄</t>
        </is>
      </c>
      <c r="C646" s="3" t="inlineStr">
        <is>
          <t>초조/예민</t>
        </is>
      </c>
      <c r="D646" s="4" t="inlineStr">
        <is>
          <t>on edge</t>
        </is>
      </c>
      <c r="E646" s="11" t="inlineStr">
        <is>
          <t>(신경이 날카롭게) 곤두서 있는, 초조한</t>
        </is>
      </c>
      <c r="F646" s="11" t="inlineStr">
        <is>
          <t>Everyone is on edge because of the upcoming audit.</t>
        </is>
      </c>
      <c r="G646" s="11" t="inlineStr">
        <is>
          <t>곧 있을 감사 때문에 다들 신경이 날카롭게 곤두서 있어.</t>
        </is>
      </c>
      <c r="H646" s="5">
        <f>HYPERLINK("https://www.youtube.com/watch?v=xJ7n9e3p5Mc", "영상 보기 ▶")</f>
        <v/>
      </c>
    </row>
    <row r="647" ht="26" customHeight="1">
      <c r="A647" s="6" t="n">
        <v>646</v>
      </c>
      <c r="B647" s="7" t="inlineStr">
        <is>
          <t>총정리 13탄</t>
        </is>
      </c>
      <c r="C647" s="7" t="inlineStr">
        <is>
          <t>성공/만점</t>
        </is>
      </c>
      <c r="D647" s="8" t="inlineStr">
        <is>
          <t>ace</t>
        </is>
      </c>
      <c r="E647" s="12" t="inlineStr">
        <is>
          <t>(시험/면접 등을) 완벽하게 잘 해내다</t>
        </is>
      </c>
      <c r="F647" s="12" t="inlineStr">
        <is>
          <t>You prepared thoroughly; you're going to ace that interview!</t>
        </is>
      </c>
      <c r="G647" s="12" t="inlineStr">
        <is>
          <t>너 준비 철저히 했잖아, 그 면접 무조건 찢고 완벽히 잘 볼 거야!</t>
        </is>
      </c>
      <c r="H647" s="9">
        <f>HYPERLINK("https://www.youtube.com/watch?v=xJ7n9e3p5Mc", "영상 보기 ▶")</f>
        <v/>
      </c>
    </row>
    <row r="648" ht="26" customHeight="1">
      <c r="A648" s="2" t="n">
        <v>647</v>
      </c>
      <c r="B648" s="3" t="inlineStr">
        <is>
          <t>총정리 13탄</t>
        </is>
      </c>
      <c r="C648" s="3" t="inlineStr">
        <is>
          <t>안도</t>
        </is>
      </c>
      <c r="D648" s="4" t="inlineStr">
        <is>
          <t>It's not as bad as it sounds</t>
        </is>
      </c>
      <c r="E648" s="11" t="inlineStr">
        <is>
          <t>듣는 것만큼 그렇게까지 나쁘거나 심각하진 않아</t>
        </is>
      </c>
      <c r="F648" s="11" t="inlineStr">
        <is>
          <t>Don't panic; the budget cut is not as bad as it sounds.</t>
        </is>
      </c>
      <c r="G648" s="11" t="inlineStr">
        <is>
          <t>당황하지 마, 예산 삭감이 들리는 것만큼 그렇게 심각한 수준은 아니야.</t>
        </is>
      </c>
      <c r="H648" s="5">
        <f>HYPERLINK("https://www.youtube.com/watch?v=xJ7n9e3p5Mc", "영상 보기 ▶")</f>
        <v/>
      </c>
    </row>
    <row r="649" ht="26" customHeight="1">
      <c r="A649" s="6" t="n">
        <v>648</v>
      </c>
      <c r="B649" s="7" t="inlineStr">
        <is>
          <t>총정리 13탄</t>
        </is>
      </c>
      <c r="C649" s="7" t="inlineStr">
        <is>
          <t>낙관</t>
        </is>
      </c>
      <c r="D649" s="8" t="inlineStr">
        <is>
          <t>It will all work itself out</t>
        </is>
      </c>
      <c r="E649" s="12" t="inlineStr">
        <is>
          <t>다 알아서 잘 풀리고 해결될 거야</t>
        </is>
      </c>
      <c r="F649" s="12" t="inlineStr">
        <is>
          <t>Take a deep breath; it will all work itself out in the end.</t>
        </is>
      </c>
      <c r="G649" s="12" t="inlineStr">
        <is>
          <t>심호흡 한번 해봐, 결국엔 다 알아서 순조롭게 잘 풀릴 테니까.</t>
        </is>
      </c>
      <c r="H649" s="9">
        <f>HYPERLINK("https://www.youtube.com/watch?v=xJ7n9e3p5Mc", "영상 보기 ▶")</f>
        <v/>
      </c>
    </row>
    <row r="650" ht="26" customHeight="1">
      <c r="A650" s="2" t="n">
        <v>649</v>
      </c>
      <c r="B650" s="3" t="inlineStr">
        <is>
          <t>총정리 13탄</t>
        </is>
      </c>
      <c r="C650" s="3" t="inlineStr">
        <is>
          <t>정석대로</t>
        </is>
      </c>
      <c r="D650" s="4" t="inlineStr">
        <is>
          <t>by the book</t>
        </is>
      </c>
      <c r="E650" s="11" t="inlineStr">
        <is>
          <t>원칙대로, 정석대로, 엄격히 규정대로</t>
        </is>
      </c>
      <c r="F650" s="11" t="inlineStr">
        <is>
          <t>Don't cut corners; make sure everything is done by the book.</t>
        </is>
      </c>
      <c r="G650" s="11" t="inlineStr">
        <is>
          <t>편법 쓰지 말고 모든 과정을 철저히 규정 정석대로 처리하도록 해.</t>
        </is>
      </c>
      <c r="H650" s="5">
        <f>HYPERLINK("https://www.youtube.com/watch?v=xJ7n9e3p5Mc", "영상 보기 ▶")</f>
        <v/>
      </c>
    </row>
    <row r="651" ht="26" customHeight="1">
      <c r="A651" s="6" t="n">
        <v>650</v>
      </c>
      <c r="B651" s="7" t="inlineStr">
        <is>
          <t>총정리 13탄</t>
        </is>
      </c>
      <c r="C651" s="7" t="inlineStr">
        <is>
          <t>수용</t>
        </is>
      </c>
      <c r="D651" s="8" t="inlineStr">
        <is>
          <t>It is what it is</t>
        </is>
      </c>
      <c r="E651" s="12" t="inlineStr">
        <is>
          <t>어쩔 수 없는 일이지, 이게 현실인걸 뭐</t>
        </is>
      </c>
      <c r="F651" s="12" t="inlineStr">
        <is>
          <t>We missed the deadline, but it is what it is; let's move forward.</t>
        </is>
      </c>
      <c r="G651" s="12" t="inlineStr">
        <is>
          <t>마감은 놓쳤지만 이미 엎질러진 물인걸, 훌훌 털고 앞으로 나아갑시다.</t>
        </is>
      </c>
      <c r="H651" s="9">
        <f>HYPERLINK("https://www.youtube.com/watch?v=xJ7n9e3p5Mc", "영상 보기 ▶")</f>
        <v/>
      </c>
    </row>
    <row r="652" ht="26" customHeight="1">
      <c r="A652" s="2" t="n">
        <v>651</v>
      </c>
      <c r="B652" s="3" t="inlineStr">
        <is>
          <t>총정리 14탄</t>
        </is>
      </c>
      <c r="C652" s="3" t="inlineStr">
        <is>
          <t>한계/제한</t>
        </is>
      </c>
      <c r="D652" s="4" t="inlineStr">
        <is>
          <t>only so many / much</t>
        </is>
      </c>
      <c r="E652" s="11" t="inlineStr">
        <is>
          <t>한계가 있는, 한정되어 있는 (시간/인력 등)</t>
        </is>
      </c>
      <c r="F652" s="11" t="inlineStr">
        <is>
          <t>There are only so many hours in a day, so prioritize wisely.</t>
        </is>
      </c>
      <c r="G652" s="11" t="inlineStr">
        <is>
          <t>하루 시간은 한정되어 있으니 우선순위를 현명하게 정하세요.</t>
        </is>
      </c>
      <c r="H652" s="5">
        <f>HYPERLINK("https://www.youtube.com/watch?v=hHZ1m3e0hdo", "영상 보기 ▶")</f>
        <v/>
      </c>
    </row>
    <row r="653" ht="26" customHeight="1">
      <c r="A653" s="6" t="n">
        <v>652</v>
      </c>
      <c r="B653" s="7" t="inlineStr">
        <is>
          <t>총정리 14탄</t>
        </is>
      </c>
      <c r="C653" s="7" t="inlineStr">
        <is>
          <t>조력 타진</t>
        </is>
      </c>
      <c r="D653" s="8" t="inlineStr">
        <is>
          <t>I'll see what I can do</t>
        </is>
      </c>
      <c r="E653" s="12" t="inlineStr">
        <is>
          <t>제가 힘닿는 데까지 한번 알아볼게요/해볼게요</t>
        </is>
      </c>
      <c r="F653" s="12" t="inlineStr">
        <is>
          <t>I can't guarantee anything, but I'll see what I can do.</t>
        </is>
      </c>
      <c r="G653" s="12" t="inlineStr">
        <is>
          <t>장담은 못 드리지만, 제가 도울 수 있는 방법이 있는지 알아볼게요.</t>
        </is>
      </c>
      <c r="H653" s="9">
        <f>HYPERLINK("https://www.youtube.com/watch?v=hHZ1m3e0hdo", "영상 보기 ▶")</f>
        <v/>
      </c>
    </row>
    <row r="654" ht="26" customHeight="1">
      <c r="A654" s="2" t="n">
        <v>653</v>
      </c>
      <c r="B654" s="3" t="inlineStr">
        <is>
          <t>총정리 14탄</t>
        </is>
      </c>
      <c r="C654" s="3" t="inlineStr">
        <is>
          <t>이해/납득</t>
        </is>
      </c>
      <c r="D654" s="4" t="inlineStr">
        <is>
          <t>wrap one's head around</t>
        </is>
      </c>
      <c r="E654" s="11" t="inlineStr">
        <is>
          <t>(복잡하거나 충격적인 사실을) 이해하다, 납득하다</t>
        </is>
      </c>
      <c r="F654" s="11" t="inlineStr">
        <is>
          <t>I'm still trying to wrap my head around these new tax rules.</t>
        </is>
      </c>
      <c r="G654" s="11" t="inlineStr">
        <is>
          <t>이 새로운 세금 규정을 이해하려고 아직 머리를 싸매고 있어요.</t>
        </is>
      </c>
      <c r="H654" s="5">
        <f>HYPERLINK("https://www.youtube.com/watch?v=hHZ1m3e0hdo", "영상 보기 ▶")</f>
        <v/>
      </c>
    </row>
    <row r="655" ht="26" customHeight="1">
      <c r="A655" s="6" t="n">
        <v>654</v>
      </c>
      <c r="B655" s="7" t="inlineStr">
        <is>
          <t>총정리 14탄</t>
        </is>
      </c>
      <c r="C655" s="7" t="inlineStr">
        <is>
          <t>마무리</t>
        </is>
      </c>
      <c r="D655" s="8" t="inlineStr">
        <is>
          <t>wrap up</t>
        </is>
      </c>
      <c r="E655" s="12" t="inlineStr">
        <is>
          <t>(일/회의/작업을) 매듭짓다, 마무리하다</t>
        </is>
      </c>
      <c r="F655" s="12" t="inlineStr">
        <is>
          <t>Let's wrap up this meeting so everyone can go home.</t>
        </is>
      </c>
      <c r="G655" s="12" t="inlineStr">
        <is>
          <t>다들 귀가할 수 있게 이번 회의는 여기서 마무리합시다.</t>
        </is>
      </c>
      <c r="H655" s="9">
        <f>HYPERLINK("https://www.youtube.com/watch?v=hHZ1m3e0hdo", "영상 보기 ▶")</f>
        <v/>
      </c>
    </row>
    <row r="656" ht="26" customHeight="1">
      <c r="A656" s="2" t="n">
        <v>655</v>
      </c>
      <c r="B656" s="3" t="inlineStr">
        <is>
          <t>총정리 14탄</t>
        </is>
      </c>
      <c r="C656" s="3" t="inlineStr">
        <is>
          <t>쉬움 강조</t>
        </is>
      </c>
      <c r="D656" s="4" t="inlineStr">
        <is>
          <t>It's not rocket science</t>
        </is>
      </c>
      <c r="E656" s="11" t="inlineStr">
        <is>
          <t>전혀 어렵지 않아, 누구나 할 수 있는 간단한 일이야</t>
        </is>
      </c>
      <c r="F656" s="11" t="inlineStr">
        <is>
          <t>Setting up this printer is easy; it's not rocket science.</t>
        </is>
      </c>
      <c r="G656" s="11" t="inlineStr">
        <is>
          <t>이 프린터 설정하는 건 간단해, 전혀 대단한 과학 기술이 아니야.</t>
        </is>
      </c>
      <c r="H656" s="5">
        <f>HYPERLINK("https://www.youtube.com/watch?v=hHZ1m3e0hdo", "영상 보기 ▶")</f>
        <v/>
      </c>
    </row>
    <row r="657" ht="26" customHeight="1">
      <c r="A657" s="6" t="n">
        <v>656</v>
      </c>
      <c r="B657" s="7" t="inlineStr">
        <is>
          <t>총정리 14탄</t>
        </is>
      </c>
      <c r="C657" s="7" t="inlineStr">
        <is>
          <t>해결/파악</t>
        </is>
      </c>
      <c r="D657" s="8" t="inlineStr">
        <is>
          <t>figure out</t>
        </is>
      </c>
      <c r="E657" s="12" t="inlineStr">
        <is>
          <t>(곰곰이 생각해) 알아내다, 해결책을 찾다</t>
        </is>
      </c>
      <c r="F657" s="12" t="inlineStr">
        <is>
          <t>Don't worry; we'll figure out a way forward.</t>
        </is>
      </c>
      <c r="G657" s="12" t="inlineStr">
        <is>
          <t>걱정 마세요, 우리가 앞으로 나아갈 길을 어떻게든 찾아낼 겁니다.</t>
        </is>
      </c>
      <c r="H657" s="9">
        <f>HYPERLINK("https://www.youtube.com/watch?v=hHZ1m3e0hdo", "영상 보기 ▶")</f>
        <v/>
      </c>
    </row>
    <row r="658" ht="26" customHeight="1">
      <c r="A658" s="2" t="n">
        <v>657</v>
      </c>
      <c r="B658" s="3" t="inlineStr">
        <is>
          <t>총정리 14탄</t>
        </is>
      </c>
      <c r="C658" s="3" t="inlineStr">
        <is>
          <t>심사숙고</t>
        </is>
      </c>
      <c r="D658" s="4" t="inlineStr">
        <is>
          <t>think through</t>
        </is>
      </c>
      <c r="E658" s="11" t="inlineStr">
        <is>
          <t>(결과나 여파를) 처음부터 끝까지 깊이 생각하다</t>
        </is>
      </c>
      <c r="F658" s="11" t="inlineStr">
        <is>
          <t>Take your time and think through all the implications.</t>
        </is>
      </c>
      <c r="G658" s="11" t="inlineStr">
        <is>
          <t>서두르지 말고 모든 파급 효과를 처음부터 끝까지 깊이 고민해 보세요.</t>
        </is>
      </c>
      <c r="H658" s="5">
        <f>HYPERLINK("https://www.youtube.com/watch?v=hHZ1m3e0hdo", "영상 보기 ▶")</f>
        <v/>
      </c>
    </row>
    <row r="659" ht="26" customHeight="1">
      <c r="A659" s="6" t="n">
        <v>658</v>
      </c>
      <c r="B659" s="7" t="inlineStr">
        <is>
          <t>총정리 14탄</t>
        </is>
      </c>
      <c r="C659" s="7" t="inlineStr">
        <is>
          <t>파급 효과</t>
        </is>
      </c>
      <c r="D659" s="8" t="inlineStr">
        <is>
          <t>ramification</t>
        </is>
      </c>
      <c r="E659" s="12" t="inlineStr">
        <is>
          <t>(어떤 결정에 따른 복잡한) 파급 영향, 여파</t>
        </is>
      </c>
      <c r="F659" s="12" t="inlineStr">
        <is>
          <t>We must consider the financial ramifications of this move.</t>
        </is>
      </c>
      <c r="G659" s="12" t="inlineStr">
        <is>
          <t>우리는 이 결정이 가져올 재정적 파급 효과를 반드시 고려해야 합니다.</t>
        </is>
      </c>
      <c r="H659" s="9">
        <f>HYPERLINK("https://www.youtube.com/watch?v=hHZ1m3e0hdo", "영상 보기 ▶")</f>
        <v/>
      </c>
    </row>
    <row r="660" ht="26" customHeight="1">
      <c r="A660" s="2" t="n">
        <v>659</v>
      </c>
      <c r="B660" s="3" t="inlineStr">
        <is>
          <t>총정리 14탄</t>
        </is>
      </c>
      <c r="C660" s="3" t="inlineStr">
        <is>
          <t>신중한 결정</t>
        </is>
      </c>
      <c r="D660" s="4" t="inlineStr">
        <is>
          <t>Let's sleep on it</t>
        </is>
      </c>
      <c r="E660" s="11" t="inlineStr">
        <is>
          <t>하룻밤 자면서 곰곰이 더 생각해 봅시다</t>
        </is>
      </c>
      <c r="F660" s="11" t="inlineStr">
        <is>
          <t>Don't sign today; let's sleep on it and talk tomorrow.</t>
        </is>
      </c>
      <c r="G660" s="11" t="inlineStr">
        <is>
          <t>오늘 당장 서명하지 말고, 하룻밤 곰곰이 생각한 뒤 내일 이야기해요.</t>
        </is>
      </c>
      <c r="H660" s="5">
        <f>HYPERLINK("https://www.youtube.com/watch?v=hHZ1m3e0hdo", "영상 보기 ▶")</f>
        <v/>
      </c>
    </row>
    <row r="661" ht="26" customHeight="1">
      <c r="A661" s="6" t="n">
        <v>660</v>
      </c>
      <c r="B661" s="7" t="inlineStr">
        <is>
          <t>총정리 14탄</t>
        </is>
      </c>
      <c r="C661" s="7" t="inlineStr">
        <is>
          <t>퇴근 안내</t>
        </is>
      </c>
      <c r="D661" s="8" t="inlineStr">
        <is>
          <t>He's gone for the day</t>
        </is>
      </c>
      <c r="E661" s="12" t="inlineStr">
        <is>
          <t>그분 오늘 일과를 마치고 이미 퇴근하셨습니다</t>
        </is>
      </c>
      <c r="F661" s="12" t="inlineStr">
        <is>
          <t>Mr. Kim has already gone for the day, but you can leave a note.</t>
        </is>
      </c>
      <c r="G661" s="12" t="inlineStr">
        <is>
          <t>김 부장님은 오늘 이미 퇴근하셨지만, 메모를 남겨주시면 전달할게요.</t>
        </is>
      </c>
      <c r="H661" s="9">
        <f>HYPERLINK("https://www.youtube.com/watch?v=hHZ1m3e0hdo", "영상 보기 ▶")</f>
        <v/>
      </c>
    </row>
    <row r="662" ht="26" customHeight="1">
      <c r="A662" s="2" t="n">
        <v>661</v>
      </c>
      <c r="B662" s="3" t="inlineStr">
        <is>
          <t>총정리 14탄</t>
        </is>
      </c>
      <c r="C662" s="3" t="inlineStr">
        <is>
          <t>위로/지지</t>
        </is>
      </c>
      <c r="D662" s="4" t="inlineStr">
        <is>
          <t>I'm here for you</t>
        </is>
      </c>
      <c r="E662" s="11" t="inlineStr">
        <is>
          <t>내가 곁에서 든든하게 힘이 되어 줄게</t>
        </is>
      </c>
      <c r="F662" s="11" t="inlineStr">
        <is>
          <t>If you ever need to talk, remember I'm always here for you.</t>
        </is>
      </c>
      <c r="G662" s="11" t="inlineStr">
        <is>
          <t>이야기 나눌 상대가 필요하면 내가 늘 곁에 있다는 걸 기억해.</t>
        </is>
      </c>
      <c r="H662" s="5">
        <f>HYPERLINK("https://www.youtube.com/watch?v=hHZ1m3e0hdo", "영상 보기 ▶")</f>
        <v/>
      </c>
    </row>
    <row r="663" ht="26" customHeight="1">
      <c r="A663" s="6" t="n">
        <v>662</v>
      </c>
      <c r="B663" s="7" t="inlineStr">
        <is>
          <t>총정리 14탄</t>
        </is>
      </c>
      <c r="C663" s="7" t="inlineStr">
        <is>
          <t>기대 이상</t>
        </is>
      </c>
      <c r="D663" s="8" t="inlineStr">
        <is>
          <t>go above and beyond</t>
        </is>
      </c>
      <c r="E663" s="12" t="inlineStr">
        <is>
          <t>(주어진 의무를 넘어) 기대 이상으로 온 정성을 쏟다</t>
        </is>
      </c>
      <c r="F663" s="12" t="inlineStr">
        <is>
          <t>Our customer service team went above and beyond to help.</t>
        </is>
      </c>
      <c r="G663" s="12" t="inlineStr">
        <is>
          <t>저희 고객 서비스 팀은 고객을 돕기 위해 기대 이상으로 온 정성을 쏟았습니다.</t>
        </is>
      </c>
      <c r="H663" s="9">
        <f>HYPERLINK("https://www.youtube.com/watch?v=hHZ1m3e0hdo", "영상 보기 ▶")</f>
        <v/>
      </c>
    </row>
    <row r="664" ht="26" customHeight="1">
      <c r="A664" s="2" t="n">
        <v>663</v>
      </c>
      <c r="B664" s="3" t="inlineStr">
        <is>
          <t>총정리 14탄</t>
        </is>
      </c>
      <c r="C664" s="3" t="inlineStr">
        <is>
          <t>전담/단골</t>
        </is>
      </c>
      <c r="D664" s="4" t="inlineStr">
        <is>
          <t>go-to</t>
        </is>
      </c>
      <c r="E664" s="11" t="inlineStr">
        <is>
          <t>(믿고 찾는) 전담의, 가장 애용하는</t>
        </is>
      </c>
      <c r="F664" s="11" t="inlineStr">
        <is>
          <t>She is our go-to expert for intellectual property matters.</t>
        </is>
      </c>
      <c r="G664" s="11" t="inlineStr">
        <is>
          <t>그녀는 지식재산권 문제에 있어 우리가 항상 믿고 찾는 최고 전문가예요.</t>
        </is>
      </c>
      <c r="H664" s="5">
        <f>HYPERLINK("https://www.youtube.com/watch?v=hHZ1m3e0hdo", "영상 보기 ▶")</f>
        <v/>
      </c>
    </row>
    <row r="665" ht="26" customHeight="1">
      <c r="A665" s="6" t="n">
        <v>664</v>
      </c>
      <c r="B665" s="7" t="inlineStr">
        <is>
          <t>총정리 14탄</t>
        </is>
      </c>
      <c r="C665" s="7" t="inlineStr">
        <is>
          <t>통념/인용</t>
        </is>
      </c>
      <c r="D665" s="8" t="inlineStr">
        <is>
          <t>They say ~</t>
        </is>
      </c>
      <c r="E665" s="12" t="inlineStr">
        <is>
          <t>사람들이 말하길 ~, 흔히들 ~라고 하잖아</t>
        </is>
      </c>
      <c r="F665" s="12" t="inlineStr">
        <is>
          <t>They say practice makes perfect, and it's so true.</t>
        </is>
      </c>
      <c r="G665" s="12" t="inlineStr">
        <is>
          <t>연습이 완벽을 만든다는 말이 있잖아, 그건 정말 맞는 말이야.</t>
        </is>
      </c>
      <c r="H665" s="9">
        <f>HYPERLINK("https://www.youtube.com/watch?v=hHZ1m3e0hdo", "영상 보기 ▶")</f>
        <v/>
      </c>
    </row>
    <row r="666" ht="26" customHeight="1">
      <c r="A666" s="2" t="n">
        <v>665</v>
      </c>
      <c r="B666" s="3" t="inlineStr">
        <is>
          <t>총정리 14탄</t>
        </is>
      </c>
      <c r="C666" s="3" t="inlineStr">
        <is>
          <t>사과/자책</t>
        </is>
      </c>
      <c r="D666" s="4" t="inlineStr">
        <is>
          <t>I'm sorry. I went too far</t>
        </is>
      </c>
      <c r="E666" s="11" t="inlineStr">
        <is>
          <t>미안해, 내가 말이 너무 심했어 / 선을 넘었어</t>
        </is>
      </c>
      <c r="F666" s="11" t="inlineStr">
        <is>
          <t>I apologize for that harsh comment; I went too far.</t>
        </is>
      </c>
      <c r="G666" s="11" t="inlineStr">
        <is>
          <t>그 심한 말에 대해 사과할게, 내가 너무 선을 넘었어.</t>
        </is>
      </c>
      <c r="H666" s="5">
        <f>HYPERLINK("https://www.youtube.com/watch?v=hHZ1m3e0hdo", "영상 보기 ▶")</f>
        <v/>
      </c>
    </row>
    <row r="667" ht="26" customHeight="1">
      <c r="A667" s="6" t="n">
        <v>666</v>
      </c>
      <c r="B667" s="7" t="inlineStr">
        <is>
          <t>총정리 14탄</t>
        </is>
      </c>
      <c r="C667" s="7" t="inlineStr">
        <is>
          <t>발전 필요</t>
        </is>
      </c>
      <c r="D667" s="8" t="inlineStr">
        <is>
          <t>I still have a long way to go</t>
        </is>
      </c>
      <c r="E667" s="12" t="inlineStr">
        <is>
          <t>아직 갈 길이 멀었어요 (더 노력해야 해요)</t>
        </is>
      </c>
      <c r="F667" s="12" t="inlineStr">
        <is>
          <t>I'm improving, but I still have a long way to go in French.</t>
        </is>
      </c>
      <c r="G667" s="12" t="inlineStr">
        <is>
          <t>실력이 늘고는 있지만 프랑스어는 아직 가야 할 길이 멀어요.</t>
        </is>
      </c>
      <c r="H667" s="9">
        <f>HYPERLINK("https://www.youtube.com/watch?v=hHZ1m3e0hdo", "영상 보기 ▶")</f>
        <v/>
      </c>
    </row>
    <row r="668" ht="26" customHeight="1">
      <c r="A668" s="2" t="n">
        <v>667</v>
      </c>
      <c r="B668" s="3" t="inlineStr">
        <is>
          <t>총정리 14탄</t>
        </is>
      </c>
      <c r="C668" s="3" t="inlineStr">
        <is>
          <t>행동 촉구</t>
        </is>
      </c>
      <c r="D668" s="4" t="inlineStr">
        <is>
          <t>go + 동사원형</t>
        </is>
      </c>
      <c r="E668" s="11" t="inlineStr">
        <is>
          <t>가서 ~하다 (and 생략 구어체)</t>
        </is>
      </c>
      <c r="F668" s="11" t="inlineStr">
        <is>
          <t>Go wash your hands before dinner.</t>
        </is>
      </c>
      <c r="G668" s="11" t="inlineStr">
        <is>
          <t>저녁 먹기 전에 가서 손 씻어.</t>
        </is>
      </c>
      <c r="H668" s="5">
        <f>HYPERLINK("https://www.youtube.com/watch?v=hHZ1m3e0hdo", "영상 보기 ▶")</f>
        <v/>
      </c>
    </row>
    <row r="669" ht="26" customHeight="1">
      <c r="A669" s="6" t="n">
        <v>668</v>
      </c>
      <c r="B669" s="7" t="inlineStr">
        <is>
          <t>총정리 14탄</t>
        </is>
      </c>
      <c r="C669" s="7" t="inlineStr">
        <is>
          <t>상황 진행</t>
        </is>
      </c>
      <c r="D669" s="8" t="inlineStr">
        <is>
          <t>go (진행되다)</t>
        </is>
      </c>
      <c r="E669" s="12" t="inlineStr">
        <is>
          <t>(일/행사가) 풀리다, 진행되다</t>
        </is>
      </c>
      <c r="F669" s="12" t="inlineStr">
        <is>
          <t>How did your presentation go this morning?</t>
        </is>
      </c>
      <c r="G669" s="12" t="inlineStr">
        <is>
          <t>오늘 아침 발표 어떻게 잘 진행됐어?</t>
        </is>
      </c>
      <c r="H669" s="9">
        <f>HYPERLINK("https://www.youtube.com/watch?v=hHZ1m3e0hdo", "영상 보기 ▶")</f>
        <v/>
      </c>
    </row>
    <row r="670" ht="26" customHeight="1">
      <c r="A670" s="2" t="n">
        <v>669</v>
      </c>
      <c r="B670" s="3" t="inlineStr">
        <is>
          <t>총정리 14탄</t>
        </is>
      </c>
      <c r="C670" s="3" t="inlineStr">
        <is>
          <t>꼼꼼한 검토</t>
        </is>
      </c>
      <c r="D670" s="4" t="inlineStr">
        <is>
          <t>go over</t>
        </is>
      </c>
      <c r="E670" s="11" t="inlineStr">
        <is>
          <t>(자료/내용을) 꼼꼼하게 검토하다, 짚어보다</t>
        </is>
      </c>
      <c r="F670" s="11" t="inlineStr">
        <is>
          <t>Let's go over the contract details one more time.</t>
        </is>
      </c>
      <c r="G670" s="11" t="inlineStr">
        <is>
          <t>계약서 세부 조항들을 한 번 더 꼼꼼히 짚어봅시다.</t>
        </is>
      </c>
      <c r="H670" s="5">
        <f>HYPERLINK("https://www.youtube.com/watch?v=hHZ1m3e0hdo", "영상 보기 ▶")</f>
        <v/>
      </c>
    </row>
    <row r="671" ht="26" customHeight="1">
      <c r="A671" s="6" t="n">
        <v>670</v>
      </c>
      <c r="B671" s="7" t="inlineStr">
        <is>
          <t>총정리 14탄</t>
        </is>
      </c>
      <c r="C671" s="7" t="inlineStr">
        <is>
          <t>방문 이동</t>
        </is>
      </c>
      <c r="D671" s="8" t="inlineStr">
        <is>
          <t>go over (방문)</t>
        </is>
      </c>
      <c r="E671" s="12" t="inlineStr">
        <is>
          <t>(근처 장소나 건너편으로) 건너가다</t>
        </is>
      </c>
      <c r="F671" s="12" t="inlineStr">
        <is>
          <t>I'll go over to their department and ask in person.</t>
        </is>
      </c>
      <c r="G671" s="12" t="inlineStr">
        <is>
          <t>제가 그쪽 부서로 직접 건너가서 물어보고 올게요.</t>
        </is>
      </c>
      <c r="H671" s="9">
        <f>HYPERLINK("https://www.youtube.com/watch?v=hHZ1m3e0hdo", "영상 보기 ▶")</f>
        <v/>
      </c>
    </row>
    <row r="672" ht="26" customHeight="1">
      <c r="A672" s="2" t="n">
        <v>671</v>
      </c>
      <c r="B672" s="3" t="inlineStr">
        <is>
          <t>총정리 14탄</t>
        </is>
      </c>
      <c r="C672" s="3" t="inlineStr">
        <is>
          <t>밀린 일 보충</t>
        </is>
      </c>
      <c r="D672" s="4" t="inlineStr">
        <is>
          <t>catch up on</t>
        </is>
      </c>
      <c r="E672" s="11" t="inlineStr">
        <is>
          <t>(밀린 잠/업무/공부를) 만회하다, 따라잡다</t>
        </is>
      </c>
      <c r="F672" s="11" t="inlineStr">
        <is>
          <t>This weekend, I really need to catch up on my sleep.</t>
        </is>
      </c>
      <c r="G672" s="11" t="inlineStr">
        <is>
          <t>이번 주말에는 밀린 잠을 꼭 푹 자둬야 해.</t>
        </is>
      </c>
      <c r="H672" s="5">
        <f>HYPERLINK("https://www.youtube.com/watch?v=hHZ1m3e0hdo", "영상 보기 ▶")</f>
        <v/>
      </c>
    </row>
    <row r="673" ht="26" customHeight="1">
      <c r="A673" s="6" t="n">
        <v>672</v>
      </c>
      <c r="B673" s="7" t="inlineStr">
        <is>
          <t>총정리 14탄</t>
        </is>
      </c>
      <c r="C673" s="7" t="inlineStr">
        <is>
          <t>반응 성공</t>
        </is>
      </c>
      <c r="D673" s="8" t="inlineStr">
        <is>
          <t>go over well</t>
        </is>
      </c>
      <c r="E673" s="12" t="inlineStr">
        <is>
          <t>(사람들에게) 반응이 좋다, 호평을 받다</t>
        </is>
      </c>
      <c r="F673" s="12" t="inlineStr">
        <is>
          <t>The new hybrid work policy went over very well.</t>
        </is>
      </c>
      <c r="G673" s="12" t="inlineStr">
        <is>
          <t>새로운 하이브리드 근무 정책은 직원들에게 아주 큰 호응을 얻었습니다.</t>
        </is>
      </c>
      <c r="H673" s="9">
        <f>HYPERLINK("https://www.youtube.com/watch?v=hHZ1m3e0hdo", "영상 보기 ▶")</f>
        <v/>
      </c>
    </row>
    <row r="674" ht="26" customHeight="1">
      <c r="A674" s="2" t="n">
        <v>673</v>
      </c>
      <c r="B674" s="3" t="inlineStr">
        <is>
          <t>총정리 14탄</t>
        </is>
      </c>
      <c r="C674" s="3" t="inlineStr">
        <is>
          <t>너그러운 양해</t>
        </is>
      </c>
      <c r="D674" s="4" t="inlineStr">
        <is>
          <t>cut (사람) some slack</t>
        </is>
      </c>
      <c r="E674" s="11" t="inlineStr">
        <is>
          <t>~를 너무 몰아세우지 않고 좀 봐주다/이해해 주다</t>
        </is>
      </c>
      <c r="F674" s="11" t="inlineStr">
        <is>
          <t>Cut him some slack; it's only his first week on the job.</t>
        </is>
      </c>
      <c r="G674" s="11" t="inlineStr">
        <is>
          <t>그 사람 좀 봐줘, 입사해서 이제 겨우 첫 주잖아.</t>
        </is>
      </c>
      <c r="H674" s="5">
        <f>HYPERLINK("https://www.youtube.com/watch?v=hHZ1m3e0hdo", "영상 보기 ▶")</f>
        <v/>
      </c>
    </row>
    <row r="675" ht="26" customHeight="1">
      <c r="A675" s="6" t="n">
        <v>674</v>
      </c>
      <c r="B675" s="7" t="inlineStr">
        <is>
          <t>총정리 14탄</t>
        </is>
      </c>
      <c r="C675" s="7" t="inlineStr">
        <is>
          <t>참기 힘듦</t>
        </is>
      </c>
      <c r="D675" s="8" t="inlineStr">
        <is>
          <t>I can't stand ~</t>
        </is>
      </c>
      <c r="E675" s="12" t="inlineStr">
        <is>
          <t>~를 도저히 견딜/참을 수가 없어</t>
        </is>
      </c>
      <c r="F675" s="12" t="inlineStr">
        <is>
          <t>I can't stand people who talk loudly in movie theaters.</t>
        </is>
      </c>
      <c r="G675" s="12" t="inlineStr">
        <is>
          <t>영화관에서 시끄럽게 떠드는 사람들은 정말 질색이야.</t>
        </is>
      </c>
      <c r="H675" s="9">
        <f>HYPERLINK("https://www.youtube.com/watch?v=hHZ1m3e0hdo", "영상 보기 ▶")</f>
        <v/>
      </c>
    </row>
    <row r="676" ht="26" customHeight="1">
      <c r="A676" s="2" t="n">
        <v>675</v>
      </c>
      <c r="B676" s="3" t="inlineStr">
        <is>
          <t>총정리 14탄</t>
        </is>
      </c>
      <c r="C676" s="3" t="inlineStr">
        <is>
          <t>어려운 시기</t>
        </is>
      </c>
      <c r="D676" s="4" t="inlineStr">
        <is>
          <t>rough patch</t>
        </is>
      </c>
      <c r="E676" s="11" t="inlineStr">
        <is>
          <t>(인생/사업/관계의) 힘든 고비, 슬럼프</t>
        </is>
      </c>
      <c r="F676" s="11" t="inlineStr">
        <is>
          <t>Every marriage goes through a rough patch occasionally.</t>
        </is>
      </c>
      <c r="G676" s="11" t="inlineStr">
        <is>
          <t>어떤 부부라도 살다 보면 가끔은 힘든 고비를 겪기 마련이야.</t>
        </is>
      </c>
      <c r="H676" s="5">
        <f>HYPERLINK("https://www.youtube.com/watch?v=hHZ1m3e0hdo", "영상 보기 ▶")</f>
        <v/>
      </c>
    </row>
    <row r="677" ht="26" customHeight="1">
      <c r="A677" s="6" t="n">
        <v>676</v>
      </c>
      <c r="B677" s="7" t="inlineStr">
        <is>
          <t>총정리 14탄</t>
        </is>
      </c>
      <c r="C677" s="7" t="inlineStr">
        <is>
          <t>감사 인사</t>
        </is>
      </c>
      <c r="D677" s="8" t="inlineStr">
        <is>
          <t>You didn't have to go through all this trouble</t>
        </is>
      </c>
      <c r="E677" s="12" t="inlineStr">
        <is>
          <t>이런 번거로운 수고까지 안 하셔도 됐는데 (감사합니다)</t>
        </is>
      </c>
      <c r="F677" s="12" t="inlineStr">
        <is>
          <t>Thank you for the feast! You didn't have to go through all this trouble.</t>
        </is>
      </c>
      <c r="G677" s="12" t="inlineStr">
        <is>
          <t>진수성찬 정말 감사해요! 이런 수고까지 안 하셔도 됐는데 말이에요.</t>
        </is>
      </c>
      <c r="H677" s="9">
        <f>HYPERLINK("https://www.youtube.com/watch?v=hHZ1m3e0hdo", "영상 보기 ▶")</f>
        <v/>
      </c>
    </row>
    <row r="678" ht="26" customHeight="1">
      <c r="A678" s="2" t="n">
        <v>677</v>
      </c>
      <c r="B678" s="3" t="inlineStr">
        <is>
          <t>총정리 14탄</t>
        </is>
      </c>
      <c r="C678" s="3" t="inlineStr">
        <is>
          <t>맨바닥 시작</t>
        </is>
      </c>
      <c r="D678" s="4" t="inlineStr">
        <is>
          <t>from scratch</t>
        </is>
      </c>
      <c r="E678" s="11" t="inlineStr">
        <is>
          <t>맨 처음부터, 아무런 밑천 없이 바닥부터</t>
        </is>
      </c>
      <c r="F678" s="11" t="inlineStr">
        <is>
          <t>We had to rebuild the whole code base from scratch.</t>
        </is>
      </c>
      <c r="G678" s="11" t="inlineStr">
        <is>
          <t>우리는 전체 코드 베이스를 맨 바닥부터 다시 구축해야 했습니다.</t>
        </is>
      </c>
      <c r="H678" s="5">
        <f>HYPERLINK("https://www.youtube.com/watch?v=hHZ1m3e0hdo", "영상 보기 ▶")</f>
        <v/>
      </c>
    </row>
    <row r="679" ht="26" customHeight="1">
      <c r="A679" s="6" t="n">
        <v>678</v>
      </c>
      <c r="B679" s="7" t="inlineStr">
        <is>
          <t>총정리 14탄</t>
        </is>
      </c>
      <c r="C679" s="7" t="inlineStr">
        <is>
          <t>절차 거침</t>
        </is>
      </c>
      <c r="D679" s="8" t="inlineStr">
        <is>
          <t>go through (통과/검토)</t>
        </is>
      </c>
      <c r="E679" s="12" t="inlineStr">
        <is>
          <t>(절차/심사를) 정식으로 거치다, 통과하다</t>
        </is>
      </c>
      <c r="F679" s="12" t="inlineStr">
        <is>
          <t>All budget requests must go through senior management.</t>
        </is>
      </c>
      <c r="G679" s="12" t="inlineStr">
        <is>
          <t>모든 예산 요청은 경영진의 정식 승인 절차를 거쳐야 합니다.</t>
        </is>
      </c>
      <c r="H679" s="9">
        <f>HYPERLINK("https://www.youtube.com/watch?v=hHZ1m3e0hdo", "영상 보기 ▶")</f>
        <v/>
      </c>
    </row>
    <row r="680" ht="26" customHeight="1">
      <c r="A680" s="2" t="n">
        <v>679</v>
      </c>
      <c r="B680" s="3" t="inlineStr">
        <is>
          <t>총정리 14탄</t>
        </is>
      </c>
      <c r="C680" s="3" t="inlineStr">
        <is>
          <t>시련 겪음</t>
        </is>
      </c>
      <c r="D680" s="4" t="inlineStr">
        <is>
          <t>go through (시련)</t>
        </is>
      </c>
      <c r="E680" s="11" t="inlineStr">
        <is>
          <t>(고통/어려움을) 직접 겪다, 견뎌내다</t>
        </is>
      </c>
      <c r="F680" s="11" t="inlineStr">
        <is>
          <t>Nobody knows what she went through last year.</t>
        </is>
      </c>
      <c r="G680" s="11" t="inlineStr">
        <is>
          <t>그녀가 작년에 어떤 힘든 일을 겪었는지 아무도 몰라.</t>
        </is>
      </c>
      <c r="H680" s="5">
        <f>HYPERLINK("https://www.youtube.com/watch?v=hHZ1m3e0hdo", "영상 보기 ▶")</f>
        <v/>
      </c>
    </row>
    <row r="681" ht="26" customHeight="1">
      <c r="A681" s="6" t="n">
        <v>680</v>
      </c>
      <c r="B681" s="7" t="inlineStr">
        <is>
          <t>총정리 14탄</t>
        </is>
      </c>
      <c r="C681" s="7" t="inlineStr">
        <is>
          <t>골고루 배분</t>
        </is>
      </c>
      <c r="D681" s="8" t="inlineStr">
        <is>
          <t>go around</t>
        </is>
      </c>
      <c r="E681" s="12" t="inlineStr">
        <is>
          <t>(모든 사람에게) 충분히 골고루 돌아가다</t>
        </is>
      </c>
      <c r="F681" s="12" t="inlineStr">
        <is>
          <t>There are plenty of snacks to go around for everyone.</t>
        </is>
      </c>
      <c r="G681" s="12" t="inlineStr">
        <is>
          <t>모든 사람에게 충분히 돌아갈 만큼 간식이 넉넉해.</t>
        </is>
      </c>
      <c r="H681" s="9">
        <f>HYPERLINK("https://www.youtube.com/watch?v=hHZ1m3e0hdo", "영상 보기 ▶")</f>
        <v/>
      </c>
    </row>
    <row r="682" ht="26" customHeight="1">
      <c r="A682" s="2" t="n">
        <v>681</v>
      </c>
      <c r="B682" s="3" t="inlineStr">
        <is>
          <t>총정리 14탄</t>
        </is>
      </c>
      <c r="C682" s="3" t="inlineStr">
        <is>
          <t>안타까운 동정</t>
        </is>
      </c>
      <c r="D682" s="4" t="inlineStr">
        <is>
          <t>My heart goes out to him</t>
        </is>
      </c>
      <c r="E682" s="11" t="inlineStr">
        <is>
          <t>그 사람에게 마음이 너무 아프고 안쓰러워</t>
        </is>
      </c>
      <c r="F682" s="11" t="inlineStr">
        <is>
          <t>He lost his father; my heart truly goes out to him.</t>
        </is>
      </c>
      <c r="G682" s="11" t="inlineStr">
        <is>
          <t>그가 부친상을 당했다니 마음이 너무 아프고 안쓰럽네.</t>
        </is>
      </c>
      <c r="H682" s="5">
        <f>HYPERLINK("https://www.youtube.com/watch?v=hHZ1m3e0hdo", "영상 보기 ▶")</f>
        <v/>
      </c>
    </row>
    <row r="683" ht="26" customHeight="1">
      <c r="A683" s="6" t="n">
        <v>682</v>
      </c>
      <c r="B683" s="7" t="inlineStr">
        <is>
          <t>총정리 14탄</t>
        </is>
      </c>
      <c r="C683" s="7" t="inlineStr">
        <is>
          <t>난해/월권</t>
        </is>
      </c>
      <c r="D683" s="8" t="inlineStr">
        <is>
          <t>go over one's head</t>
        </is>
      </c>
      <c r="E683" s="12" t="inlineStr">
        <is>
          <t>① 이해하기 너무 어렵다 ② 윗선으로 직행하다</t>
        </is>
      </c>
      <c r="F683" s="12" t="inlineStr">
        <is>
          <t>That technical jargon completely went over my head.</t>
        </is>
      </c>
      <c r="G683" s="12" t="inlineStr">
        <is>
          <t>그 전문적인 기술 용어들은 내겐 도통 무슨 말인지 너무 어려웠어.</t>
        </is>
      </c>
      <c r="H683" s="9">
        <f>HYPERLINK("https://www.youtube.com/watch?v=hHZ1m3e0hdo", "영상 보기 ▶")</f>
        <v/>
      </c>
    </row>
    <row r="684" ht="26" customHeight="1">
      <c r="A684" s="2" t="n">
        <v>683</v>
      </c>
      <c r="B684" s="3" t="inlineStr">
        <is>
          <t>총정리 14탄</t>
        </is>
      </c>
      <c r="C684" s="3" t="inlineStr">
        <is>
          <t>차선책</t>
        </is>
      </c>
      <c r="D684" s="4" t="inlineStr">
        <is>
          <t>might as well</t>
        </is>
      </c>
      <c r="E684" s="11" t="inlineStr">
        <is>
          <t>기왕 이렇게 된 거 ~하는 게 낫겠다</t>
        </is>
      </c>
      <c r="F684" s="11" t="inlineStr">
        <is>
          <t>Since it's raining, we might as well stay indoors.</t>
        </is>
      </c>
      <c r="G684" s="11" t="inlineStr">
        <is>
          <t>비도 오는데 기왕 이렇게 된 거 실내에 있는 게 낫겠어.</t>
        </is>
      </c>
      <c r="H684" s="5">
        <f>HYPERLINK("https://www.youtube.com/watch?v=hHZ1m3e0hdo", "영상 보기 ▶")</f>
        <v/>
      </c>
    </row>
    <row r="685" ht="26" customHeight="1">
      <c r="A685" s="6" t="n">
        <v>684</v>
      </c>
      <c r="B685" s="7" t="inlineStr">
        <is>
          <t>총정리 14탄</t>
        </is>
      </c>
      <c r="C685" s="7" t="inlineStr">
        <is>
          <t>늦잠</t>
        </is>
      </c>
      <c r="D685" s="8" t="inlineStr">
        <is>
          <t>sleep in</t>
        </is>
      </c>
      <c r="E685" s="12" t="inlineStr">
        <is>
          <t>(알람 안 맞추고) 늦잠을 푹 자다</t>
        </is>
      </c>
      <c r="F685" s="12" t="inlineStr">
        <is>
          <t>I love having nothing planned on Sundays so I can sleep in.</t>
        </is>
      </c>
      <c r="G685" s="12" t="inlineStr">
        <is>
          <t>일요일엔 늦잠을 푹 잘 수 있도록 아무 계획도 안 잡는 게 좋아.</t>
        </is>
      </c>
      <c r="H685" s="9">
        <f>HYPERLINK("https://www.youtube.com/watch?v=hHZ1m3e0hdo", "영상 보기 ▶")</f>
        <v/>
      </c>
    </row>
    <row r="686" ht="26" customHeight="1">
      <c r="A686" s="2" t="n">
        <v>685</v>
      </c>
      <c r="B686" s="3" t="inlineStr">
        <is>
          <t>총정리 14탄</t>
        </is>
      </c>
      <c r="C686" s="3" t="inlineStr">
        <is>
          <t>IT 능통</t>
        </is>
      </c>
      <c r="D686" s="4" t="inlineStr">
        <is>
          <t>tech-savvy</t>
        </is>
      </c>
      <c r="E686" s="11" t="inlineStr">
        <is>
          <t>기계/최신 IT 기술에 밝고 능통한</t>
        </is>
      </c>
      <c r="F686" s="11" t="inlineStr">
        <is>
          <t>Younger generations are naturally very tech-savvy.</t>
        </is>
      </c>
      <c r="G686" s="11" t="inlineStr">
        <is>
          <t>젊은 세대들은 자연스럽게 IT 기술에 대단히 능통해요.</t>
        </is>
      </c>
      <c r="H686" s="5">
        <f>HYPERLINK("https://www.youtube.com/watch?v=hHZ1m3e0hdo", "영상 보기 ▶")</f>
        <v/>
      </c>
    </row>
    <row r="687" ht="26" customHeight="1">
      <c r="A687" s="6" t="n">
        <v>686</v>
      </c>
      <c r="B687" s="7" t="inlineStr">
        <is>
          <t>총정리 14탄</t>
        </is>
      </c>
      <c r="C687" s="7" t="inlineStr">
        <is>
          <t>본전 뽑기</t>
        </is>
      </c>
      <c r="D687" s="8" t="inlineStr">
        <is>
          <t>get one's money's worth</t>
        </is>
      </c>
      <c r="E687" s="12" t="inlineStr">
        <is>
          <t>본전을 뽑다, 낸 돈값을 톡톡히 누리다</t>
        </is>
      </c>
      <c r="F687" s="12" t="inlineStr">
        <is>
          <t>We stayed until closing time to get our money's worth.</t>
        </is>
      </c>
      <c r="G687" s="12" t="inlineStr">
        <is>
          <t>우리는 본전을 톡톡히 뽑으려고 마감 시간까지 꽉 채워 머물렀어.</t>
        </is>
      </c>
      <c r="H687" s="9">
        <f>HYPERLINK("https://www.youtube.com/watch?v=hHZ1m3e0hdo", "영상 보기 ▶")</f>
        <v/>
      </c>
    </row>
    <row r="688" ht="26" customHeight="1">
      <c r="A688" s="2" t="n">
        <v>687</v>
      </c>
      <c r="B688" s="3" t="inlineStr">
        <is>
          <t>총정리 14탄</t>
        </is>
      </c>
      <c r="C688" s="3" t="inlineStr">
        <is>
          <t>경고/충고</t>
        </is>
      </c>
      <c r="D688" s="4" t="inlineStr">
        <is>
          <t>had better</t>
        </is>
      </c>
      <c r="E688" s="11" t="inlineStr">
        <is>
          <t>~하는 게 좋을 거야 (안 그러면 후회한다는 경고)</t>
        </is>
      </c>
      <c r="F688" s="11" t="inlineStr">
        <is>
          <t>You'd better double-check the flight time before leaving.</t>
        </is>
      </c>
      <c r="G688" s="11" t="inlineStr">
        <is>
          <t>출발하기 전에 비행기 시간 다시 확인하는 게 신상에 좋을 거야.</t>
        </is>
      </c>
      <c r="H688" s="5">
        <f>HYPERLINK("https://www.youtube.com/watch?v=hHZ1m3e0hdo", "영상 보기 ▶")</f>
        <v/>
      </c>
    </row>
    <row r="689" ht="26" customHeight="1">
      <c r="A689" s="6" t="n">
        <v>688</v>
      </c>
      <c r="B689" s="7" t="inlineStr">
        <is>
          <t>총정리 14탄</t>
        </is>
      </c>
      <c r="C689" s="7" t="inlineStr">
        <is>
          <t>경고</t>
        </is>
      </c>
      <c r="D689" s="8" t="inlineStr">
        <is>
          <t>or else</t>
        </is>
      </c>
      <c r="E689" s="12" t="inlineStr">
        <is>
          <t>그렇지 않으면, 안 그랬다간 (후환 경고)</t>
        </is>
      </c>
      <c r="F689" s="12" t="inlineStr">
        <is>
          <t>Submit the report by noon, or else the client will complain.</t>
        </is>
      </c>
      <c r="G689" s="12" t="inlineStr">
        <is>
          <t>정오까지 보고서 제출해, 안 그랬다간 고객사가 항의할 테니까.</t>
        </is>
      </c>
      <c r="H689" s="9">
        <f>HYPERLINK("https://www.youtube.com/watch?v=hHZ1m3e0hdo", "영상 보기 ▶")</f>
        <v/>
      </c>
    </row>
    <row r="690" ht="26" customHeight="1">
      <c r="A690" s="2" t="n">
        <v>689</v>
      </c>
      <c r="B690" s="3" t="inlineStr">
        <is>
          <t>총정리 14탄</t>
        </is>
      </c>
      <c r="C690" s="3" t="inlineStr">
        <is>
          <t>신속 처리</t>
        </is>
      </c>
      <c r="D690" s="4" t="inlineStr">
        <is>
          <t>sooner rather than later</t>
        </is>
      </c>
      <c r="E690" s="11" t="inlineStr">
        <is>
          <t>가급적 빨리, 늦기 전에 서둘러</t>
        </is>
      </c>
      <c r="F690" s="11" t="inlineStr">
        <is>
          <t>We need to address this customer complaint sooner rather than later.</t>
        </is>
      </c>
      <c r="G690" s="11" t="inlineStr">
        <is>
          <t>이 고객 불만 사항은 늦기 전에 가급적 신속히 해결해야 합니다.</t>
        </is>
      </c>
      <c r="H690" s="5">
        <f>HYPERLINK("https://www.youtube.com/watch?v=hHZ1m3e0hdo", "영상 보기 ▶")</f>
        <v/>
      </c>
    </row>
    <row r="691" ht="26" customHeight="1">
      <c r="A691" s="6" t="n">
        <v>690</v>
      </c>
      <c r="B691" s="7" t="inlineStr">
        <is>
          <t>총정리 14탄</t>
        </is>
      </c>
      <c r="C691" s="7" t="inlineStr">
        <is>
          <t>정신 차림</t>
        </is>
      </c>
      <c r="D691" s="8" t="inlineStr">
        <is>
          <t>Pull yourself together</t>
        </is>
      </c>
      <c r="E691" s="12" t="inlineStr">
        <is>
          <t>정신 차려, 마음을 다잡고 냉정해져</t>
        </is>
      </c>
      <c r="F691" s="12" t="inlineStr">
        <is>
          <t>Stop crying and pull yourself together; we need a plan.</t>
        </is>
      </c>
      <c r="G691" s="12" t="inlineStr">
        <is>
          <t>그만 울고 정신 바짝 차려, 지금은 대책을 세워야 해.</t>
        </is>
      </c>
      <c r="H691" s="9">
        <f>HYPERLINK("https://www.youtube.com/watch?v=hHZ1m3e0hdo", "영상 보기 ▶")</f>
        <v/>
      </c>
    </row>
    <row r="692" ht="26" customHeight="1">
      <c r="A692" s="2" t="n">
        <v>691</v>
      </c>
      <c r="B692" s="3" t="inlineStr">
        <is>
          <t>총정리 14탄</t>
        </is>
      </c>
      <c r="C692" s="3" t="inlineStr">
        <is>
          <t>정중한 사과</t>
        </is>
      </c>
      <c r="D692" s="4" t="inlineStr">
        <is>
          <t>I'm sorry if I offended you</t>
        </is>
      </c>
      <c r="E692" s="11" t="inlineStr">
        <is>
          <t>혹시 제 말 때문에 기분 상하셨다면 죄송합니다</t>
        </is>
      </c>
      <c r="F692" s="11" t="inlineStr">
        <is>
          <t>I didn't mean it that way; I'm truly sorry if I offended you.</t>
        </is>
      </c>
      <c r="G692" s="11" t="inlineStr">
        <is>
          <t>그런 뜻으로 한 말이 아니었어요. 혹시 기분 상하셨다면 정말 죄송합니다.</t>
        </is>
      </c>
      <c r="H692" s="5">
        <f>HYPERLINK("https://www.youtube.com/watch?v=hHZ1m3e0hdo", "영상 보기 ▶")</f>
        <v/>
      </c>
    </row>
    <row r="693" ht="26" customHeight="1">
      <c r="A693" s="6" t="n">
        <v>692</v>
      </c>
      <c r="B693" s="7" t="inlineStr">
        <is>
          <t>총정리 14탄</t>
        </is>
      </c>
      <c r="C693" s="7" t="inlineStr">
        <is>
          <t>확신/공감</t>
        </is>
      </c>
      <c r="D693" s="8" t="inlineStr">
        <is>
          <t>must (공감)</t>
        </is>
      </c>
      <c r="E693" s="12" t="inlineStr">
        <is>
          <t>틀림없이 ~이겠네요 (상대 감정 깊은 공감)</t>
        </is>
      </c>
      <c r="F693" s="12" t="inlineStr">
        <is>
          <t>Working twelve hours straight? You must be exhausted.</t>
        </is>
      </c>
      <c r="G693" s="12" t="inlineStr">
        <is>
          <t>12시간 내리 일하셨다고요? 틀림없이 녹초가 되셨겠어요.</t>
        </is>
      </c>
      <c r="H693" s="9">
        <f>HYPERLINK("https://www.youtube.com/watch?v=hHZ1m3e0hdo", "영상 보기 ▶")</f>
        <v/>
      </c>
    </row>
    <row r="694" ht="26" customHeight="1">
      <c r="A694" s="2" t="n">
        <v>693</v>
      </c>
      <c r="B694" s="3" t="inlineStr">
        <is>
          <t>총정리 14탄</t>
        </is>
      </c>
      <c r="C694" s="3" t="inlineStr">
        <is>
          <t>분위기 눈치</t>
        </is>
      </c>
      <c r="D694" s="4" t="inlineStr">
        <is>
          <t>Someone's in a (bad) mood</t>
        </is>
      </c>
      <c r="E694" s="11" t="inlineStr">
        <is>
          <t>누가 오늘 기분이 영 안 좋으시네 (눈치채기)</t>
        </is>
      </c>
      <c r="F694" s="11" t="inlineStr">
        <is>
          <t>Keep your distance today; someone's in a really bad mood.</t>
        </is>
      </c>
      <c r="G694" s="11" t="inlineStr">
        <is>
          <t>오늘은 좀 거리 둬, 누구 기분이 영 안 좋으신 것 같아.</t>
        </is>
      </c>
      <c r="H694" s="5">
        <f>HYPERLINK("https://www.youtube.com/watch?v=hHZ1m3e0hdo", "영상 보기 ▶")</f>
        <v/>
      </c>
    </row>
    <row r="695" ht="26" customHeight="1">
      <c r="A695" s="6" t="n">
        <v>694</v>
      </c>
      <c r="B695" s="7" t="inlineStr">
        <is>
          <t>총정리 14탄</t>
        </is>
      </c>
      <c r="C695" s="7" t="inlineStr">
        <is>
          <t>정상화/안도</t>
        </is>
      </c>
      <c r="D695" s="8" t="inlineStr">
        <is>
          <t>It's perfectly normal to ~</t>
        </is>
      </c>
      <c r="E695" s="12" t="inlineStr">
        <is>
          <t>~하는 것은 지극히 당연하고 정상이야</t>
        </is>
      </c>
      <c r="F695" s="12" t="inlineStr">
        <is>
          <t>It's perfectly normal to feel nervous before an interview.</t>
        </is>
      </c>
      <c r="G695" s="12" t="inlineStr">
        <is>
          <t>면접 전에 긴장되는 건 지극히 자연스럽고 정상적인 감정이야.</t>
        </is>
      </c>
      <c r="H695" s="9">
        <f>HYPERLINK("https://www.youtube.com/watch?v=hHZ1m3e0hdo", "영상 보기 ▶")</f>
        <v/>
      </c>
    </row>
    <row r="696" ht="26" customHeight="1">
      <c r="A696" s="2" t="n">
        <v>695</v>
      </c>
      <c r="B696" s="3" t="inlineStr">
        <is>
          <t>총정리 14탄</t>
        </is>
      </c>
      <c r="C696" s="3" t="inlineStr">
        <is>
          <t>감정 기복</t>
        </is>
      </c>
      <c r="D696" s="4" t="inlineStr">
        <is>
          <t>mood swing</t>
        </is>
      </c>
      <c r="E696" s="11" t="inlineStr">
        <is>
          <t>감정의 기복, 널뛰는 기분</t>
        </is>
      </c>
      <c r="F696" s="11" t="inlineStr">
        <is>
          <t>Lack of sleep can cause severe mood swings.</t>
        </is>
      </c>
      <c r="G696" s="11" t="inlineStr">
        <is>
          <t>수면 부족은 심한 감정 기복을 유발할 수 있습니다.</t>
        </is>
      </c>
      <c r="H696" s="5">
        <f>HYPERLINK("https://www.youtube.com/watch?v=hHZ1m3e0hdo", "영상 보기 ▶")</f>
        <v/>
      </c>
    </row>
    <row r="697" ht="26" customHeight="1">
      <c r="A697" s="6" t="n">
        <v>696</v>
      </c>
      <c r="B697" s="7" t="inlineStr">
        <is>
          <t>총정리 14탄</t>
        </is>
      </c>
      <c r="C697" s="7" t="inlineStr">
        <is>
          <t>부담 경감</t>
        </is>
      </c>
      <c r="D697" s="8" t="inlineStr">
        <is>
          <t>Don't put too much pressure on yourself</t>
        </is>
      </c>
      <c r="E697" s="12" t="inlineStr">
        <is>
          <t>스스로에게 너무 과한 부담이나 압박을 주지 마</t>
        </is>
      </c>
      <c r="F697" s="12" t="inlineStr">
        <is>
          <t>You're doing great; don't put too much pressure on yourself.</t>
        </is>
      </c>
      <c r="G697" s="12" t="inlineStr">
        <is>
          <t>너 이미 충분히 잘하고 있어, 스스로를 너무 벼랑 끝으로 몰지 마.</t>
        </is>
      </c>
      <c r="H697" s="9">
        <f>HYPERLINK("https://www.youtube.com/watch?v=hHZ1m3e0hdo", "영상 보기 ▶")</f>
        <v/>
      </c>
    </row>
    <row r="698" ht="26" customHeight="1">
      <c r="A698" s="2" t="n">
        <v>697</v>
      </c>
      <c r="B698" s="3" t="inlineStr">
        <is>
          <t>총정리 14탄</t>
        </is>
      </c>
      <c r="C698" s="3" t="inlineStr">
        <is>
          <t>열정적 착수</t>
        </is>
      </c>
      <c r="D698" s="4" t="inlineStr">
        <is>
          <t>dive in</t>
        </is>
      </c>
      <c r="E698" s="11" t="inlineStr">
        <is>
          <t>(주저 없이) 열정적으로 본격 착수하다</t>
        </is>
      </c>
      <c r="F698" s="11" t="inlineStr">
        <is>
          <t>Don't overthink; just dive in and learn as you go.</t>
        </is>
      </c>
      <c r="G698" s="11" t="inlineStr">
        <is>
          <t>너무 복잡하게 생각하지 말고, 일단 부딪치며 배우면서 해봐.</t>
        </is>
      </c>
      <c r="H698" s="5">
        <f>HYPERLINK("https://www.youtube.com/watch?v=hHZ1m3e0hdo", "영상 보기 ▶")</f>
        <v/>
      </c>
    </row>
    <row r="699" ht="26" customHeight="1">
      <c r="A699" s="6" t="n">
        <v>698</v>
      </c>
      <c r="B699" s="7" t="inlineStr">
        <is>
          <t>총정리 14탄</t>
        </is>
      </c>
      <c r="C699" s="7" t="inlineStr">
        <is>
          <t>극존칭 복종</t>
        </is>
      </c>
      <c r="D699" s="8" t="inlineStr">
        <is>
          <t>Your wish is my command</t>
        </is>
      </c>
      <c r="E699" s="12" t="inlineStr">
        <is>
          <t>말씀만 하십시오, 명령대로 다 받들겠습니다</t>
        </is>
      </c>
      <c r="F699" s="12" t="inlineStr">
        <is>
          <t>Coffee and donuts? Your wish is my command.</t>
        </is>
      </c>
      <c r="G699" s="12" t="inlineStr">
        <is>
          <t>커피와 도넛이요? 말씀만 하세요, 바로 대령하겠습니다.</t>
        </is>
      </c>
      <c r="H699" s="9">
        <f>HYPERLINK("https://www.youtube.com/watch?v=hHZ1m3e0hdo", "영상 보기 ▶")</f>
        <v/>
      </c>
    </row>
    <row r="700" ht="26" customHeight="1">
      <c r="A700" s="2" t="n">
        <v>699</v>
      </c>
      <c r="B700" s="3" t="inlineStr">
        <is>
          <t>총정리 14탄</t>
        </is>
      </c>
      <c r="C700" s="3" t="inlineStr">
        <is>
          <t>배신/희생</t>
        </is>
      </c>
      <c r="D700" s="4" t="inlineStr">
        <is>
          <t>throw (사람) under the bus</t>
        </is>
      </c>
      <c r="E700" s="11" t="inlineStr">
        <is>
          <t>자신의 안위를 위해 남을 희생시키다/배신하다</t>
        </is>
      </c>
      <c r="F700" s="11" t="inlineStr">
        <is>
          <t>He blamed me to save himself; he totally threw me under the bus.</t>
        </is>
      </c>
      <c r="G700" s="11" t="inlineStr">
        <is>
          <t>그는 자기 혼자 살겠다고 내 탓을 하며 나를 배신해 버렸어.</t>
        </is>
      </c>
      <c r="H700" s="5">
        <f>HYPERLINK("https://www.youtube.com/watch?v=hHZ1m3e0hdo", "영상 보기 ▶")</f>
        <v/>
      </c>
    </row>
    <row r="701" ht="26" customHeight="1">
      <c r="A701" s="6" t="n">
        <v>700</v>
      </c>
      <c r="B701" s="7" t="inlineStr">
        <is>
          <t>총정리 14탄</t>
        </is>
      </c>
      <c r="C701" s="7" t="inlineStr">
        <is>
          <t>의견 일치</t>
        </is>
      </c>
      <c r="D701" s="8" t="inlineStr">
        <is>
          <t>be on the same page</t>
        </is>
      </c>
      <c r="E701" s="12" t="inlineStr">
        <is>
          <t>(목표/생각에 대해) 완벽히 의견을 같이하다</t>
        </is>
      </c>
      <c r="F701" s="12" t="inlineStr">
        <is>
          <t>Before speaking to the client, let's make sure we're on the same page.</t>
        </is>
      </c>
      <c r="G701" s="12" t="inlineStr">
        <is>
          <t>고객과 이야기하기 전에 우리끼리 먼저 손발과 의견을 맞춰둡시다.</t>
        </is>
      </c>
      <c r="H701" s="9">
        <f>HYPERLINK("https://www.youtube.com/watch?v=hHZ1m3e0hdo", "영상 보기 ▶")</f>
        <v/>
      </c>
    </row>
    <row r="702" ht="26" customHeight="1">
      <c r="A702" s="2" t="n">
        <v>701</v>
      </c>
      <c r="B702" s="3" t="inlineStr">
        <is>
          <t>총정리 15탄</t>
        </is>
      </c>
      <c r="C702" s="3" t="inlineStr">
        <is>
          <t>관점 접미사</t>
        </is>
      </c>
      <c r="D702" s="4" t="inlineStr">
        <is>
          <t>-wise (접미사)</t>
        </is>
      </c>
      <c r="E702" s="11" t="inlineStr">
        <is>
          <t>~방면으로는, ~에 관해서는 (cost-wise, time-wise)</t>
        </is>
      </c>
      <c r="F702" s="11" t="inlineStr">
        <is>
          <t>Career-wise, moving to Seoul was the best decision I ever made.</t>
        </is>
      </c>
      <c r="G702" s="11" t="inlineStr">
        <is>
          <t>커리어 방면으로 볼 때, 서울로 이직한 것은 내 최고의 결정이었어.</t>
        </is>
      </c>
      <c r="H702" s="5">
        <f>HYPERLINK("https://www.youtube.com/watch?v=cMaG7n_69r4", "영상 보기 ▶")</f>
        <v/>
      </c>
    </row>
    <row r="703" ht="26" customHeight="1">
      <c r="A703" s="6" t="n">
        <v>702</v>
      </c>
      <c r="B703" s="7" t="inlineStr">
        <is>
          <t>총정리 15탄</t>
        </is>
      </c>
      <c r="C703" s="7" t="inlineStr">
        <is>
          <t>현명함</t>
        </is>
      </c>
      <c r="D703" s="8" t="inlineStr">
        <is>
          <t>wise</t>
        </is>
      </c>
      <c r="E703" s="12" t="inlineStr">
        <is>
          <t>지혜로운, 현명한</t>
        </is>
      </c>
      <c r="F703" s="12" t="inlineStr">
        <is>
          <t>It would be wise to save some money for unexpected expenses.</t>
        </is>
      </c>
      <c r="G703" s="12" t="inlineStr">
        <is>
          <t>예상치 못한 지출에 대비해 저축을 좀 해두는 것이 현명합니다.</t>
        </is>
      </c>
      <c r="H703" s="9">
        <f>HYPERLINK("https://www.youtube.com/watch?v=cMaG7n_69r4", "영상 보기 ▶")</f>
        <v/>
      </c>
    </row>
    <row r="704" ht="26" customHeight="1">
      <c r="A704" s="2" t="n">
        <v>703</v>
      </c>
      <c r="B704" s="3" t="inlineStr">
        <is>
          <t>총정리 15탄</t>
        </is>
      </c>
      <c r="C704" s="3" t="inlineStr">
        <is>
          <t>어림 접미사</t>
        </is>
      </c>
      <c r="D704" s="4" t="inlineStr">
        <is>
          <t>-ish (접미사)</t>
        </is>
      </c>
      <c r="E704" s="11" t="inlineStr">
        <is>
          <t>대략 ~쯤의, 약간 ~한 (seven-ish, bluish)</t>
        </is>
      </c>
      <c r="F704" s="11" t="inlineStr">
        <is>
          <t>Let's meet tomorrow around noon-ish.</t>
        </is>
      </c>
      <c r="G704" s="11" t="inlineStr">
        <is>
          <t>내일 정오 무렵쯤에 만나자.</t>
        </is>
      </c>
      <c r="H704" s="5">
        <f>HYPERLINK("https://www.youtube.com/watch?v=cMaG7n_69r4", "영상 보기 ▶")</f>
        <v/>
      </c>
    </row>
    <row r="705" ht="26" customHeight="1">
      <c r="A705" s="6" t="n">
        <v>704</v>
      </c>
      <c r="B705" s="7" t="inlineStr">
        <is>
          <t>총정리 15탄</t>
        </is>
      </c>
      <c r="C705" s="7" t="inlineStr">
        <is>
          <t>부분 부정</t>
        </is>
      </c>
      <c r="D705" s="8" t="inlineStr">
        <is>
          <t>Not necessarily</t>
        </is>
      </c>
      <c r="E705" s="12" t="inlineStr">
        <is>
          <t>반드시 그런 것만은 아니야</t>
        </is>
      </c>
      <c r="F705" s="12" t="inlineStr">
        <is>
          <t>Expensive things are not necessarily better in quality.</t>
        </is>
      </c>
      <c r="G705" s="12" t="inlineStr">
        <is>
          <t>비싼 물건이라고 해서 품질이 반드시 더 좋은 것만은 아니야.</t>
        </is>
      </c>
      <c r="H705" s="9">
        <f>HYPERLINK("https://www.youtube.com/watch?v=cMaG7n_69r4", "영상 보기 ▶")</f>
        <v/>
      </c>
    </row>
    <row r="706" ht="26" customHeight="1">
      <c r="A706" s="2" t="n">
        <v>705</v>
      </c>
      <c r="B706" s="3" t="inlineStr">
        <is>
          <t>총정리 15탄</t>
        </is>
      </c>
      <c r="C706" s="3" t="inlineStr">
        <is>
          <t>속성 비교</t>
        </is>
      </c>
      <c r="D706" s="4" t="inlineStr">
        <is>
          <t>more of</t>
        </is>
      </c>
      <c r="E706" s="11" t="inlineStr">
        <is>
          <t>(A라기보다는) 오히려 B에 더 가까운</t>
        </is>
      </c>
      <c r="F706" s="11" t="inlineStr">
        <is>
          <t>It's more of an informal discussion than an official meeting.</t>
        </is>
      </c>
      <c r="G706" s="11" t="inlineStr">
        <is>
          <t>공식 회의라기보다는 비공식적인 의견 교환에 더 가까워요.</t>
        </is>
      </c>
      <c r="H706" s="5">
        <f>HYPERLINK("https://www.youtube.com/watch?v=cMaG7n_69r4", "영상 보기 ▶")</f>
        <v/>
      </c>
    </row>
    <row r="707" ht="26" customHeight="1">
      <c r="A707" s="6" t="n">
        <v>706</v>
      </c>
      <c r="B707" s="7" t="inlineStr">
        <is>
          <t>총정리 15탄</t>
        </is>
      </c>
      <c r="C707" s="7" t="inlineStr">
        <is>
          <t>이견 존재</t>
        </is>
      </c>
      <c r="D707" s="8" t="inlineStr">
        <is>
          <t>That's debatable</t>
        </is>
      </c>
      <c r="E707" s="12" t="inlineStr">
        <is>
          <t>그건 논란/이견의 여지가 있지 (동의하기 어려움)</t>
        </is>
      </c>
      <c r="F707" s="12" t="inlineStr">
        <is>
          <t>You claim it's the best option, but that's debatable.</t>
        </is>
      </c>
      <c r="G707" s="12" t="inlineStr">
        <is>
          <t>그게 최선의 선택이라고 주장하지만, 그건 논란의 여지가 있어.</t>
        </is>
      </c>
      <c r="H707" s="9">
        <f>HYPERLINK("https://www.youtube.com/watch?v=cMaG7n_69r4", "영상 보기 ▶")</f>
        <v/>
      </c>
    </row>
    <row r="708" ht="26" customHeight="1">
      <c r="A708" s="2" t="n">
        <v>707</v>
      </c>
      <c r="B708" s="3" t="inlineStr">
        <is>
          <t>총정리 15탄</t>
        </is>
      </c>
      <c r="C708" s="3" t="inlineStr">
        <is>
          <t>정중한 반대</t>
        </is>
      </c>
      <c r="D708" s="4" t="inlineStr">
        <is>
          <t>I beg to differ</t>
        </is>
      </c>
      <c r="E708" s="11" t="inlineStr">
        <is>
          <t>외람되지만 제 생각은 전혀 다릅니다</t>
        </is>
      </c>
      <c r="F708" s="11" t="inlineStr">
        <is>
          <t>With all due respect, I beg to differ on that point.</t>
        </is>
      </c>
      <c r="G708" s="11" t="inlineStr">
        <is>
          <t>외람된 말씀이지만, 그 점에 관해선 저는 생각이 전혀 다릅니다.</t>
        </is>
      </c>
      <c r="H708" s="5">
        <f>HYPERLINK("https://www.youtube.com/watch?v=cMaG7n_69r4", "영상 보기 ▶")</f>
        <v/>
      </c>
    </row>
    <row r="709" ht="26" customHeight="1">
      <c r="A709" s="6" t="n">
        <v>708</v>
      </c>
      <c r="B709" s="7" t="inlineStr">
        <is>
          <t>총정리 15탄</t>
        </is>
      </c>
      <c r="C709" s="7" t="inlineStr">
        <is>
          <t>조심스런 이견</t>
        </is>
      </c>
      <c r="D709" s="8" t="inlineStr">
        <is>
          <t>I'm not sure I agree with you 100%</t>
        </is>
      </c>
      <c r="E709" s="12" t="inlineStr">
        <is>
          <t>100% 온전히 동의하기는 조금 어렵네요</t>
        </is>
      </c>
      <c r="F709" s="12" t="inlineStr">
        <is>
          <t>I'm not sure I agree with you 100% on the marketing angle.</t>
        </is>
      </c>
      <c r="G709" s="12" t="inlineStr">
        <is>
          <t>마케팅 방향에 대해서는 100% 온전히 동의하기가 좀 어렵네요.</t>
        </is>
      </c>
      <c r="H709" s="9">
        <f>HYPERLINK("https://www.youtube.com/watch?v=cMaG7n_69r4", "영상 보기 ▶")</f>
        <v/>
      </c>
    </row>
    <row r="710" ht="26" customHeight="1">
      <c r="A710" s="2" t="n">
        <v>709</v>
      </c>
      <c r="B710" s="3" t="inlineStr">
        <is>
          <t>총정리 15탄</t>
        </is>
      </c>
      <c r="C710" s="3" t="inlineStr">
        <is>
          <t>견해차 인정</t>
        </is>
      </c>
      <c r="D710" s="4" t="inlineStr">
        <is>
          <t>Let's agree to disagree</t>
        </is>
      </c>
      <c r="E710" s="11" t="inlineStr">
        <is>
          <t>서로 견해차가 있음을 인정하고 언쟁을 끝냅시다</t>
        </is>
      </c>
      <c r="F710" s="11" t="inlineStr">
        <is>
          <t>We won't convince each other, so let's agree to disagree.</t>
        </is>
      </c>
      <c r="G710" s="11" t="inlineStr">
        <is>
          <t>서로 설득하기 힘들 것 같으니 각자의 생각을 존중하고 넘어갑시다.</t>
        </is>
      </c>
      <c r="H710" s="5">
        <f>HYPERLINK("https://www.youtube.com/watch?v=cMaG7n_69r4", "영상 보기 ▶")</f>
        <v/>
      </c>
    </row>
    <row r="711" ht="26" customHeight="1">
      <c r="A711" s="6" t="n">
        <v>710</v>
      </c>
      <c r="B711" s="7" t="inlineStr">
        <is>
          <t>총정리 15탄</t>
        </is>
      </c>
      <c r="C711" s="7" t="inlineStr">
        <is>
          <t>화제 종결</t>
        </is>
      </c>
      <c r="D711" s="8" t="inlineStr">
        <is>
          <t>Let's just drop this</t>
        </is>
      </c>
      <c r="E711" s="12" t="inlineStr">
        <is>
          <t>이 이야기는 여기서 그만 끝냅시다/덮읍시다</t>
        </is>
      </c>
      <c r="F711" s="12" t="inlineStr">
        <is>
          <t>We're just getting angry; let's just drop this topic.</t>
        </is>
      </c>
      <c r="G711" s="12" t="inlineStr">
        <is>
          <t>점점 화만 나니까 이 이야기는 여기서 그만 접자.</t>
        </is>
      </c>
      <c r="H711" s="9">
        <f>HYPERLINK("https://www.youtube.com/watch?v=cMaG7n_69r4", "영상 보기 ▶")</f>
        <v/>
      </c>
    </row>
    <row r="712" ht="26" customHeight="1">
      <c r="A712" s="2" t="n">
        <v>711</v>
      </c>
      <c r="B712" s="3" t="inlineStr">
        <is>
          <t>총정리 15탄</t>
        </is>
      </c>
      <c r="C712" s="3" t="inlineStr">
        <is>
          <t>전면적 적용</t>
        </is>
      </c>
      <c r="D712" s="4" t="inlineStr">
        <is>
          <t>across the board</t>
        </is>
      </c>
      <c r="E712" s="11" t="inlineStr">
        <is>
          <t>전면적으로, 일괄적으로, 모든 분야에 걸쳐</t>
        </is>
      </c>
      <c r="F712" s="11" t="inlineStr">
        <is>
          <t>The company announced a 5% salary increase across the board.</t>
        </is>
      </c>
      <c r="G712" s="11" t="inlineStr">
        <is>
          <t>회사는 전 직원을 대상으로 일괄 5% 급여 인상을 발표했습니다.</t>
        </is>
      </c>
      <c r="H712" s="5">
        <f>HYPERLINK("https://www.youtube.com/watch?v=cMaG7n_69r4", "영상 보기 ▶")</f>
        <v/>
      </c>
    </row>
    <row r="713" ht="26" customHeight="1">
      <c r="A713" s="6" t="n">
        <v>712</v>
      </c>
      <c r="B713" s="7" t="inlineStr">
        <is>
          <t>총정리 15탄</t>
        </is>
      </c>
      <c r="C713" s="7" t="inlineStr">
        <is>
          <t>미세 조정</t>
        </is>
      </c>
      <c r="D713" s="8" t="inlineStr">
        <is>
          <t>tweak</t>
        </is>
      </c>
      <c r="E713" s="12" t="inlineStr">
        <is>
          <t>(완성도를 위해) 약간 수정하다, 미세 조정하다</t>
        </is>
      </c>
      <c r="F713" s="12" t="inlineStr">
        <is>
          <t>I just need to tweak a few sentences in the conclusion.</t>
        </is>
      </c>
      <c r="G713" s="12" t="inlineStr">
        <is>
          <t>결론 부분의 문장 몇 개만 약간 손보면 끝나요.</t>
        </is>
      </c>
      <c r="H713" s="9">
        <f>HYPERLINK("https://www.youtube.com/watch?v=cMaG7n_69r4", "영상 보기 ▶")</f>
        <v/>
      </c>
    </row>
    <row r="714" ht="26" customHeight="1">
      <c r="A714" s="2" t="n">
        <v>713</v>
      </c>
      <c r="B714" s="3" t="inlineStr">
        <is>
          <t>총정리 15탄</t>
        </is>
      </c>
      <c r="C714" s="3" t="inlineStr">
        <is>
          <t>완성도 다듬기</t>
        </is>
      </c>
      <c r="D714" s="4" t="inlineStr">
        <is>
          <t>polish</t>
        </is>
      </c>
      <c r="E714" s="11" t="inlineStr">
        <is>
          <t>(광을 내듯) 다듬다, 세련되게 완성하다</t>
        </is>
      </c>
      <c r="F714" s="11" t="inlineStr">
        <is>
          <t>Spend an extra hour polishing your presentation slides.</t>
        </is>
      </c>
      <c r="G714" s="11" t="inlineStr">
        <is>
          <t>발표 슬라이드를 더 깔끔하게 다듬는 데 한 시간만 더 투자해 보세요.</t>
        </is>
      </c>
      <c r="H714" s="5">
        <f>HYPERLINK("https://www.youtube.com/watch?v=cMaG7n_69r4", "영상 보기 ▶")</f>
        <v/>
      </c>
    </row>
    <row r="715" ht="26" customHeight="1">
      <c r="A715" s="6" t="n">
        <v>714</v>
      </c>
      <c r="B715" s="7" t="inlineStr">
        <is>
          <t>총정리 15탄</t>
        </is>
      </c>
      <c r="C715" s="7" t="inlineStr">
        <is>
          <t>시급함</t>
        </is>
      </c>
      <c r="D715" s="8" t="inlineStr">
        <is>
          <t>pressing</t>
        </is>
      </c>
      <c r="E715" s="12" t="inlineStr">
        <is>
          <t>긴급한, 시급히 다뤄야 할</t>
        </is>
      </c>
      <c r="F715" s="12" t="inlineStr">
        <is>
          <t>Finding a new supplier is our most pressing priority.</t>
        </is>
      </c>
      <c r="G715" s="12" t="inlineStr">
        <is>
          <t>새 공급업체를 찾는 것이 우리의 가장 시급한 당면 과제입니다.</t>
        </is>
      </c>
      <c r="H715" s="9">
        <f>HYPERLINK("https://www.youtube.com/watch?v=cMaG7n_69r4", "영상 보기 ▶")</f>
        <v/>
      </c>
    </row>
    <row r="716" ht="26" customHeight="1">
      <c r="A716" s="2" t="n">
        <v>715</v>
      </c>
      <c r="B716" s="3" t="inlineStr">
        <is>
          <t>총정리 15탄</t>
        </is>
      </c>
      <c r="C716" s="3" t="inlineStr">
        <is>
          <t>돌봄/관리</t>
        </is>
      </c>
      <c r="D716" s="4" t="inlineStr">
        <is>
          <t>tend</t>
        </is>
      </c>
      <c r="E716" s="11" t="inlineStr">
        <is>
          <t>(사람/업무를) 돌보다, 보살피다, 챙기다</t>
        </is>
      </c>
      <c r="F716" s="11" t="inlineStr">
        <is>
          <t>The manager had to leave to tend to an urgent issue.</t>
        </is>
      </c>
      <c r="G716" s="11" t="inlineStr">
        <is>
          <t>부장님은 긴급한 사안을 챙기러 자리를 비우셔야 했습니다.</t>
        </is>
      </c>
      <c r="H716" s="5">
        <f>HYPERLINK("https://www.youtube.com/watch?v=cMaG7n_69r4", "영상 보기 ▶")</f>
        <v/>
      </c>
    </row>
    <row r="717" ht="26" customHeight="1">
      <c r="A717" s="6" t="n">
        <v>716</v>
      </c>
      <c r="B717" s="7" t="inlineStr">
        <is>
          <t>총정리 15탄</t>
        </is>
      </c>
      <c r="C717" s="7" t="inlineStr">
        <is>
          <t>일반적 경향</t>
        </is>
      </c>
      <c r="D717" s="8" t="inlineStr">
        <is>
          <t>tend to + 동사원형</t>
        </is>
      </c>
      <c r="E717" s="12" t="inlineStr">
        <is>
          <t>~하는 경향이 있다, 자주 ~하다</t>
        </is>
      </c>
      <c r="F717" s="12" t="inlineStr">
        <is>
          <t>People tend to underestimate the time needed for testing.</t>
        </is>
      </c>
      <c r="G717" s="12" t="inlineStr">
        <is>
          <t>사람들은 테스트에 필요한 시간을 과소평가하는 경향이 있습니다.</t>
        </is>
      </c>
      <c r="H717" s="9">
        <f>HYPERLINK("https://www.youtube.com/watch?v=cMaG7n_69r4", "영상 보기 ▶")</f>
        <v/>
      </c>
    </row>
    <row r="718" ht="26" customHeight="1">
      <c r="A718" s="2" t="n">
        <v>717</v>
      </c>
      <c r="B718" s="3" t="inlineStr">
        <is>
          <t>총정리 15탄</t>
        </is>
      </c>
      <c r="C718" s="3" t="inlineStr">
        <is>
          <t>꼬인 하루</t>
        </is>
      </c>
      <c r="D718" s="4" t="inlineStr">
        <is>
          <t>It's been one of those days</t>
        </is>
      </c>
      <c r="E718" s="11" t="inlineStr">
        <is>
          <t>오늘따라 일진이 사납네, 되는 일이 없는 날이야</t>
        </is>
      </c>
      <c r="F718" s="11" t="inlineStr">
        <is>
          <t>Spilled my coffee, missed the train; it's been one of those days.</t>
        </is>
      </c>
      <c r="G718" s="11" t="inlineStr">
        <is>
          <t>커피 쏟고 기차 놓치고, 오늘따라 진짜 왜 이리 꼬이는지 몰라.</t>
        </is>
      </c>
      <c r="H718" s="5">
        <f>HYPERLINK("https://www.youtube.com/watch?v=cMaG7n_69r4", "영상 보기 ▶")</f>
        <v/>
      </c>
    </row>
    <row r="719" ht="26" customHeight="1">
      <c r="A719" s="6" t="n">
        <v>718</v>
      </c>
      <c r="B719" s="7" t="inlineStr">
        <is>
          <t>총정리 15탄</t>
        </is>
      </c>
      <c r="C719" s="7" t="inlineStr">
        <is>
          <t>구체성</t>
        </is>
      </c>
      <c r="D719" s="8" t="inlineStr">
        <is>
          <t>concrete</t>
        </is>
      </c>
      <c r="E719" s="12" t="inlineStr">
        <is>
          <t>구체적인, 실체가 있는 (concrete evidence/plan)</t>
        </is>
      </c>
      <c r="F719" s="12" t="inlineStr">
        <is>
          <t>We need to see concrete data before making a commitment.</t>
        </is>
      </c>
      <c r="G719" s="12" t="inlineStr">
        <is>
          <t>확답을 드리기 전에 구체적인 데이터를 먼저 확인해야 합니다.</t>
        </is>
      </c>
      <c r="H719" s="9">
        <f>HYPERLINK("https://www.youtube.com/watch?v=cMaG7n_69r4", "영상 보기 ▶")</f>
        <v/>
      </c>
    </row>
    <row r="720" ht="26" customHeight="1">
      <c r="A720" s="2" t="n">
        <v>719</v>
      </c>
      <c r="B720" s="3" t="inlineStr">
        <is>
          <t>총정리 15탄</t>
        </is>
      </c>
      <c r="C720" s="3" t="inlineStr">
        <is>
          <t>추측</t>
        </is>
      </c>
      <c r="D720" s="4" t="inlineStr">
        <is>
          <t>speculate</t>
        </is>
      </c>
      <c r="E720" s="11" t="inlineStr">
        <is>
          <t>추측하다, 짐작하다 (근거 부족)</t>
        </is>
      </c>
      <c r="F720" s="11" t="inlineStr">
        <is>
          <t>It's too early to speculate on the real cause of the crash.</t>
        </is>
      </c>
      <c r="G720" s="11" t="inlineStr">
        <is>
          <t>충돌 사고의 진짜 원인에 대해 속단하여 추측하기는 이릅니다.</t>
        </is>
      </c>
      <c r="H720" s="5">
        <f>HYPERLINK("https://www.youtube.com/watch?v=cMaG7n_69r4", "영상 보기 ▶")</f>
        <v/>
      </c>
    </row>
    <row r="721" ht="26" customHeight="1">
      <c r="A721" s="6" t="n">
        <v>720</v>
      </c>
      <c r="B721" s="7" t="inlineStr">
        <is>
          <t>총정리 15탄</t>
        </is>
      </c>
      <c r="C721" s="7" t="inlineStr">
        <is>
          <t>정중한 권유</t>
        </is>
      </c>
      <c r="D721" s="8" t="inlineStr">
        <is>
          <t>care to + 동사원형</t>
        </is>
      </c>
      <c r="E721" s="12" t="inlineStr">
        <is>
          <t>~하시겠어요? (정중한 제안/질문)</t>
        </is>
      </c>
      <c r="F721" s="12" t="inlineStr">
        <is>
          <t>Care to join us for a quick coffee break?</t>
        </is>
      </c>
      <c r="G721" s="12" t="inlineStr">
        <is>
          <t>잠깐 커피 한잔하러 같이 가시겠어요?</t>
        </is>
      </c>
      <c r="H721" s="9">
        <f>HYPERLINK("https://www.youtube.com/watch?v=cMaG7n_69r4", "영상 보기 ▶")</f>
        <v/>
      </c>
    </row>
    <row r="722" ht="26" customHeight="1">
      <c r="A722" s="2" t="n">
        <v>721</v>
      </c>
      <c r="B722" s="3" t="inlineStr">
        <is>
          <t>총정리 15탄</t>
        </is>
      </c>
      <c r="C722" s="3" t="inlineStr">
        <is>
          <t>이해/청취</t>
        </is>
      </c>
      <c r="D722" s="4" t="inlineStr">
        <is>
          <t>follow (이해)</t>
        </is>
      </c>
      <c r="E722" s="11" t="inlineStr">
        <is>
          <t>(설명/맥락을) 이해하다, 잘 따라오다</t>
        </is>
      </c>
      <c r="F722" s="11" t="inlineStr">
        <is>
          <t>Are you following me so far, or should I slow down?</t>
        </is>
      </c>
      <c r="G722" s="11" t="inlineStr">
        <is>
          <t>지금까지 제 설명 잘 따라오고 계신가요, 아니면 좀 천천히 할까요?</t>
        </is>
      </c>
      <c r="H722" s="5">
        <f>HYPERLINK("https://www.youtube.com/watch?v=cMaG7n_69r4", "영상 보기 ▶")</f>
        <v/>
      </c>
    </row>
    <row r="723" ht="26" customHeight="1">
      <c r="A723" s="6" t="n">
        <v>722</v>
      </c>
      <c r="B723" s="7" t="inlineStr">
        <is>
          <t>총정리 15탄</t>
        </is>
      </c>
      <c r="C723" s="7" t="inlineStr">
        <is>
          <t>지침 준수</t>
        </is>
      </c>
      <c r="D723" s="8" t="inlineStr">
        <is>
          <t>follow (준수)</t>
        </is>
      </c>
      <c r="E723" s="12" t="inlineStr">
        <is>
          <t>(규정/지시를) 준수하다, 따르다</t>
        </is>
      </c>
      <c r="F723" s="12" t="inlineStr">
        <is>
          <t>Please make sure everyone follows the safety protocols.</t>
        </is>
      </c>
      <c r="G723" s="12" t="inlineStr">
        <is>
          <t>모든 직원이 안전 수칙을 철저히 준수하도록 확인 바랍니다.</t>
        </is>
      </c>
      <c r="H723" s="9">
        <f>HYPERLINK("https://www.youtube.com/watch?v=cMaG7n_69r4", "영상 보기 ▶")</f>
        <v/>
      </c>
    </row>
    <row r="724" ht="26" customHeight="1">
      <c r="A724" s="2" t="n">
        <v>723</v>
      </c>
      <c r="B724" s="3" t="inlineStr">
        <is>
          <t>총정리 15탄</t>
        </is>
      </c>
      <c r="C724" s="3" t="inlineStr">
        <is>
          <t>무조건</t>
        </is>
      </c>
      <c r="D724" s="4" t="inlineStr">
        <is>
          <t>No strings attached</t>
        </is>
      </c>
      <c r="E724" s="11" t="inlineStr">
        <is>
          <t>어떠한 부대조건도 없는, 대가 없는</t>
        </is>
      </c>
      <c r="F724" s="11" t="inlineStr">
        <is>
          <t>They offered me a scholarship with absolutely no strings attached.</t>
        </is>
      </c>
      <c r="G724" s="11" t="inlineStr">
        <is>
          <t>그들은 어떠한 부대조건도 없이 전액 장학금을 제안했어.</t>
        </is>
      </c>
      <c r="H724" s="5">
        <f>HYPERLINK("https://www.youtube.com/watch?v=cMaG7n_69r4", "영상 보기 ▶")</f>
        <v/>
      </c>
    </row>
    <row r="725" ht="26" customHeight="1">
      <c r="A725" s="6" t="n">
        <v>724</v>
      </c>
      <c r="B725" s="7" t="inlineStr">
        <is>
          <t>총정리 15탄</t>
        </is>
      </c>
      <c r="C725" s="7" t="inlineStr">
        <is>
          <t>의심스런 조건</t>
        </is>
      </c>
      <c r="D725" s="8" t="inlineStr">
        <is>
          <t>It's too good to be true</t>
        </is>
      </c>
      <c r="E725" s="12" t="inlineStr">
        <is>
          <t>믿기 힘들 만큼 너무 좋아서 오히려 미심쩍다</t>
        </is>
      </c>
      <c r="F725" s="12" t="inlineStr">
        <is>
          <t>A luxury suite for $50 a night? It's too good to be true.</t>
        </is>
      </c>
      <c r="G725" s="12" t="inlineStr">
        <is>
          <t>특급 스위트룸이 1박에 50달러라고? 너무 파격적이라 미심쩍어.</t>
        </is>
      </c>
      <c r="H725" s="9">
        <f>HYPERLINK("https://www.youtube.com/watch?v=cMaG7n_69r4", "영상 보기 ▶")</f>
        <v/>
      </c>
    </row>
    <row r="726" ht="26" customHeight="1">
      <c r="A726" s="2" t="n">
        <v>725</v>
      </c>
      <c r="B726" s="3" t="inlineStr">
        <is>
          <t>총정리 15탄</t>
        </is>
      </c>
      <c r="C726" s="3" t="inlineStr">
        <is>
          <t>우발 사건</t>
        </is>
      </c>
      <c r="D726" s="4" t="inlineStr">
        <is>
          <t>incident</t>
        </is>
      </c>
      <c r="E726" s="11" t="inlineStr">
        <is>
          <t>(예기치 않은) 우발적 사건, 사고</t>
        </is>
      </c>
      <c r="F726" s="11" t="inlineStr">
        <is>
          <t>Security handled the incident quickly and discreetly.</t>
        </is>
      </c>
      <c r="G726" s="11" t="inlineStr">
        <is>
          <t>보안팀은 그 우발적 소동을 신속하고 조용하게 처리했습니다.</t>
        </is>
      </c>
      <c r="H726" s="5">
        <f>HYPERLINK("https://www.youtube.com/watch?v=cMaG7n_69r4", "영상 보기 ▶")</f>
        <v/>
      </c>
    </row>
    <row r="727" ht="26" customHeight="1">
      <c r="A727" s="6" t="n">
        <v>726</v>
      </c>
      <c r="B727" s="7" t="inlineStr">
        <is>
          <t>총정리 15탄</t>
        </is>
      </c>
      <c r="C727" s="7" t="inlineStr">
        <is>
          <t>숨은 의도</t>
        </is>
      </c>
      <c r="D727" s="8" t="inlineStr">
        <is>
          <t>What's the catch?</t>
        </is>
      </c>
      <c r="E727" s="12" t="inlineStr">
        <is>
          <t>숨은 꿍꿍이/함정이 뭐야? (너무 좋은 조건일 때)</t>
        </is>
      </c>
      <c r="F727" s="12" t="inlineStr">
        <is>
          <t>Free round-trip tickets? Okay, what's the catch?</t>
        </is>
      </c>
      <c r="G727" s="12" t="inlineStr">
        <is>
          <t>무료 왕복 항공권이라고? 좋아, 숨은 조건이나 함정이 뭔데?</t>
        </is>
      </c>
      <c r="H727" s="9">
        <f>HYPERLINK("https://www.youtube.com/watch?v=cMaG7n_69r4", "영상 보기 ▶")</f>
        <v/>
      </c>
    </row>
    <row r="728" ht="26" customHeight="1">
      <c r="A728" s="2" t="n">
        <v>727</v>
      </c>
      <c r="B728" s="3" t="inlineStr">
        <is>
          <t>총정리 15탄</t>
        </is>
      </c>
      <c r="C728" s="3" t="inlineStr">
        <is>
          <t>세상 이치</t>
        </is>
      </c>
      <c r="D728" s="4" t="inlineStr">
        <is>
          <t>There's no such thing as a free lunch</t>
        </is>
      </c>
      <c r="E728" s="11" t="inlineStr">
        <is>
          <t>세상에 공짜 점심이란 없다 (반드시 대가가 따른다)</t>
        </is>
      </c>
      <c r="F728" s="11" t="inlineStr">
        <is>
          <t>Remember, in business, there's no such thing as a free lunch.</t>
        </is>
      </c>
      <c r="G728" s="11" t="inlineStr">
        <is>
          <t>명심해, 비즈니스 세계에 공짜 점심이란 절대 존재하지 않아.</t>
        </is>
      </c>
      <c r="H728" s="5">
        <f>HYPERLINK("https://www.youtube.com/watch?v=cMaG7n_69r4", "영상 보기 ▶")</f>
        <v/>
      </c>
    </row>
    <row r="729" ht="26" customHeight="1">
      <c r="A729" s="6" t="n">
        <v>728</v>
      </c>
      <c r="B729" s="7" t="inlineStr">
        <is>
          <t>총정리 15탄</t>
        </is>
      </c>
      <c r="C729" s="7" t="inlineStr">
        <is>
          <t>성장 칭찬</t>
        </is>
      </c>
      <c r="D729" s="8" t="inlineStr">
        <is>
          <t>You've come a long way</t>
        </is>
      </c>
      <c r="E729" s="12" t="inlineStr">
        <is>
          <t>너 정말 엄청나게 성장하고 출세했구나!</t>
        </is>
      </c>
      <c r="F729" s="12" t="inlineStr">
        <is>
          <t>Look at your achievements; you've really come a long way!</t>
        </is>
      </c>
      <c r="G729" s="12" t="inlineStr">
        <is>
          <t>네가 이뤄낸 성과들을 봐, 너 정말 상상 이상으로 크게 성장했어!</t>
        </is>
      </c>
      <c r="H729" s="9">
        <f>HYPERLINK("https://www.youtube.com/watch?v=cMaG7n_69r4", "영상 보기 ▶")</f>
        <v/>
      </c>
    </row>
    <row r="730" ht="26" customHeight="1">
      <c r="A730" s="2" t="n">
        <v>729</v>
      </c>
      <c r="B730" s="3" t="inlineStr">
        <is>
          <t>총정리 15탄</t>
        </is>
      </c>
      <c r="C730" s="3" t="inlineStr">
        <is>
          <t>진지한 질문</t>
        </is>
      </c>
      <c r="D730" s="4" t="inlineStr">
        <is>
          <t>It wasn't a rhetorical question</t>
        </is>
      </c>
      <c r="E730" s="11" t="inlineStr">
        <is>
          <t>그냥 해본 소리가 아니라 진짜 대답을 바란 질문이야</t>
        </is>
      </c>
      <c r="F730" s="11" t="inlineStr">
        <is>
          <t>Why did you skip the meeting? It wasn't a rhetorical question.</t>
        </is>
      </c>
      <c r="G730" s="11" t="inlineStr">
        <is>
          <t>왜 회의에 빠졌어? 그냥 묻는 척하는 게 아니라 진짜 대답해 봐.</t>
        </is>
      </c>
      <c r="H730" s="5">
        <f>HYPERLINK("https://www.youtube.com/watch?v=cMaG7n_69r4", "영상 보기 ▶")</f>
        <v/>
      </c>
    </row>
    <row r="731" ht="26" customHeight="1">
      <c r="A731" s="6" t="n">
        <v>730</v>
      </c>
      <c r="B731" s="7" t="inlineStr">
        <is>
          <t>총정리 15탄</t>
        </is>
      </c>
      <c r="C731" s="7" t="inlineStr">
        <is>
          <t>만장일치</t>
        </is>
      </c>
      <c r="D731" s="8" t="inlineStr">
        <is>
          <t>unanimous</t>
        </is>
      </c>
      <c r="E731" s="12" t="inlineStr">
        <is>
          <t>만장일치의 (unanimous decision/support)</t>
        </is>
      </c>
      <c r="F731" s="12" t="inlineStr">
        <is>
          <t>The board reached a unanimous decision to expand overseas.</t>
        </is>
      </c>
      <c r="G731" s="12" t="inlineStr">
        <is>
          <t>이사회는 해외 진출을 만장일치로 결의했습니다.</t>
        </is>
      </c>
      <c r="H731" s="9">
        <f>HYPERLINK("https://www.youtube.com/watch?v=cMaG7n_69r4", "영상 보기 ▶")</f>
        <v/>
      </c>
    </row>
    <row r="732" ht="26" customHeight="1">
      <c r="A732" s="2" t="n">
        <v>731</v>
      </c>
      <c r="B732" s="3" t="inlineStr">
        <is>
          <t>총정리 15탄</t>
        </is>
      </c>
      <c r="C732" s="3" t="inlineStr">
        <is>
          <t>선택 배려</t>
        </is>
      </c>
      <c r="D732" s="4" t="inlineStr">
        <is>
          <t>Whatever you want</t>
        </is>
      </c>
      <c r="E732" s="11" t="inlineStr">
        <is>
          <t>네가 원하는 거면 난 뭐든 좋아</t>
        </is>
      </c>
      <c r="F732" s="11" t="inlineStr">
        <is>
          <t>A: What do you want to have for lunch? B: Whatever you want.</t>
        </is>
      </c>
      <c r="G732" s="11" t="inlineStr">
        <is>
          <t>A: 점심 뭐 먹고 싶어? B: 네가 먹고 싶은 거면 난 뭐든 좋아.</t>
        </is>
      </c>
      <c r="H732" s="5">
        <f>HYPERLINK("https://www.youtube.com/watch?v=cMaG7n_69r4", "영상 보기 ▶")</f>
        <v/>
      </c>
    </row>
    <row r="733" ht="26" customHeight="1">
      <c r="A733" s="6" t="n">
        <v>732</v>
      </c>
      <c r="B733" s="7" t="inlineStr">
        <is>
          <t>총정리 15탄</t>
        </is>
      </c>
      <c r="C733" s="7" t="inlineStr">
        <is>
          <t>전진/추진</t>
        </is>
      </c>
      <c r="D733" s="8" t="inlineStr">
        <is>
          <t>move forward</t>
        </is>
      </c>
      <c r="E733" s="12" t="inlineStr">
        <is>
          <t>앞으로 나아가다, 계속 추진하다</t>
        </is>
      </c>
      <c r="F733" s="12" t="inlineStr">
        <is>
          <t>Despite the setbacks, we decided to move forward with the plan.</t>
        </is>
      </c>
      <c r="G733" s="12" t="inlineStr">
        <is>
          <t>차질에도 불구하고 우리는 그 계획을 계속 밀고 나가기로 결정했습니다.</t>
        </is>
      </c>
      <c r="H733" s="9">
        <f>HYPERLINK("https://www.youtube.com/watch?v=cMaG7n_69r4", "영상 보기 ▶")</f>
        <v/>
      </c>
    </row>
    <row r="734" ht="26" customHeight="1">
      <c r="A734" s="2" t="n">
        <v>733</v>
      </c>
      <c r="B734" s="3" t="inlineStr">
        <is>
          <t>총정리 15탄</t>
        </is>
      </c>
      <c r="C734" s="3" t="inlineStr">
        <is>
          <t>상황 호전</t>
        </is>
      </c>
      <c r="D734" s="4" t="inlineStr">
        <is>
          <t>Things are picking up</t>
        </is>
      </c>
      <c r="E734" s="11" t="inlineStr">
        <is>
          <t>상황이 점점 나아지고 활기를 띠고 있어</t>
        </is>
      </c>
      <c r="F734" s="11" t="inlineStr">
        <is>
          <t>Sales were slow in January, but things are picking up now.</t>
        </is>
      </c>
      <c r="G734" s="11" t="inlineStr">
        <is>
          <t>1월엔 매출이 주춤했지만 지금은 점점 활기를 띠고 있어요.</t>
        </is>
      </c>
      <c r="H734" s="5">
        <f>HYPERLINK("https://www.youtube.com/watch?v=cMaG7n_69r4", "영상 보기 ▶")</f>
        <v/>
      </c>
    </row>
    <row r="735" ht="26" customHeight="1">
      <c r="A735" s="6" t="n">
        <v>734</v>
      </c>
      <c r="B735" s="7" t="inlineStr">
        <is>
          <t>총정리 15탄</t>
        </is>
      </c>
      <c r="C735" s="7" t="inlineStr">
        <is>
          <t>마침내</t>
        </is>
      </c>
      <c r="D735" s="8" t="inlineStr">
        <is>
          <t>It's about time</t>
        </is>
      </c>
      <c r="E735" s="12" t="inlineStr">
        <is>
          <t>진작 그랬어야지! / 마침내 때가 됐네</t>
        </is>
      </c>
      <c r="F735" s="12" t="inlineStr">
        <is>
          <t>You finally got promoted? It's about time!</t>
        </is>
      </c>
      <c r="G735" s="12" t="inlineStr">
        <is>
          <t>너 드디어 승진했다고? 진작 됐어야지, 축하해!</t>
        </is>
      </c>
      <c r="H735" s="9">
        <f>HYPERLINK("https://www.youtube.com/watch?v=cMaG7n_69r4", "영상 보기 ▶")</f>
        <v/>
      </c>
    </row>
    <row r="736" ht="26" customHeight="1">
      <c r="A736" s="2" t="n">
        <v>735</v>
      </c>
      <c r="B736" s="3" t="inlineStr">
        <is>
          <t>총정리 15탄</t>
        </is>
      </c>
      <c r="C736" s="3" t="inlineStr">
        <is>
          <t>이어서 계속</t>
        </is>
      </c>
      <c r="D736" s="4" t="inlineStr">
        <is>
          <t>Let's pick up where we left off</t>
        </is>
      </c>
      <c r="E736" s="11" t="inlineStr">
        <is>
          <t>지난번에 멈췄던 부분부터 이어서 계속합시다</t>
        </is>
      </c>
      <c r="F736" s="11" t="inlineStr">
        <is>
          <t>We ran out of time yesterday, so let's pick up where we left off.</t>
        </is>
      </c>
      <c r="G736" s="11" t="inlineStr">
        <is>
          <t>어제 시간이 부족했으니 지난번 중단했던 부분부터 이어서 합시다.</t>
        </is>
      </c>
      <c r="H736" s="5">
        <f>HYPERLINK("https://www.youtube.com/watch?v=cMaG7n_69r4", "영상 보기 ▶")</f>
        <v/>
      </c>
    </row>
    <row r="737" ht="26" customHeight="1">
      <c r="A737" s="6" t="n">
        <v>736</v>
      </c>
      <c r="B737" s="7" t="inlineStr">
        <is>
          <t>총정리 15탄</t>
        </is>
      </c>
      <c r="C737" s="7" t="inlineStr">
        <is>
          <t>열망/의욕</t>
        </is>
      </c>
      <c r="D737" s="8" t="inlineStr">
        <is>
          <t>eager</t>
        </is>
      </c>
      <c r="E737" s="12" t="inlineStr">
        <is>
          <t>열렬히 바라는, 의욕이 넘치는</t>
        </is>
      </c>
      <c r="F737" s="12" t="inlineStr">
        <is>
          <t>She is eager to take on more responsibilities.</t>
        </is>
      </c>
      <c r="G737" s="12" t="inlineStr">
        <is>
          <t>그녀는 더 많은 책임을 맡고 싶어 의욕이 넘칩니다.</t>
        </is>
      </c>
      <c r="H737" s="9">
        <f>HYPERLINK("https://www.youtube.com/watch?v=cMaG7n_69r4", "영상 보기 ▶")</f>
        <v/>
      </c>
    </row>
    <row r="738" ht="26" customHeight="1">
      <c r="A738" s="2" t="n">
        <v>737</v>
      </c>
      <c r="B738" s="3" t="inlineStr">
        <is>
          <t>총정리 15탄</t>
        </is>
      </c>
      <c r="C738" s="3" t="inlineStr">
        <is>
          <t>유리한 형세</t>
        </is>
      </c>
      <c r="D738" s="4" t="inlineStr">
        <is>
          <t>in one's favor</t>
        </is>
      </c>
      <c r="E738" s="11" t="inlineStr">
        <is>
          <t>~에게 유리하게, 호의적으로</t>
        </is>
      </c>
      <c r="F738" s="11" t="inlineStr">
        <is>
          <t>The recent exchange rate changes are working in our favor.</t>
        </is>
      </c>
      <c r="G738" s="11" t="inlineStr">
        <is>
          <t>최근의 환율 변동은 우리에게 대단히 유리하게 작용하고 있습니다.</t>
        </is>
      </c>
      <c r="H738" s="5">
        <f>HYPERLINK("https://www.youtube.com/watch?v=cMaG7n_69r4", "영상 보기 ▶")</f>
        <v/>
      </c>
    </row>
    <row r="739" ht="26" customHeight="1">
      <c r="A739" s="6" t="n">
        <v>738</v>
      </c>
      <c r="B739" s="7" t="inlineStr">
        <is>
          <t>총정리 15탄</t>
        </is>
      </c>
      <c r="C739" s="7" t="inlineStr">
        <is>
          <t>바쁜 중</t>
        </is>
      </c>
      <c r="D739" s="8" t="inlineStr">
        <is>
          <t>I'm in the middle of something</t>
        </is>
      </c>
      <c r="E739" s="12" t="inlineStr">
        <is>
          <t>나 지금 한창 다른 작업 중이야 (이따가 얘기하자)</t>
        </is>
      </c>
      <c r="F739" s="12" t="inlineStr">
        <is>
          <t>Can I call you back? I'm in the middle of something right now.</t>
        </is>
      </c>
      <c r="G739" s="12" t="inlineStr">
        <is>
          <t>내가 다시 전화해도 될까? 나 지금 뭐 하던 중이라서.</t>
        </is>
      </c>
      <c r="H739" s="9">
        <f>HYPERLINK("https://www.youtube.com/watch?v=cMaG7n_69r4", "영상 보기 ▶")</f>
        <v/>
      </c>
    </row>
    <row r="740" ht="26" customHeight="1">
      <c r="A740" s="2" t="n">
        <v>739</v>
      </c>
      <c r="B740" s="3" t="inlineStr">
        <is>
          <t>총정리 15탄</t>
        </is>
      </c>
      <c r="C740" s="3" t="inlineStr">
        <is>
          <t>망설임</t>
        </is>
      </c>
      <c r="D740" s="4" t="inlineStr">
        <is>
          <t>hesitant</t>
        </is>
      </c>
      <c r="E740" s="11" t="inlineStr">
        <is>
          <t>(확신이 없어) 주저하는, 망설이는</t>
        </is>
      </c>
      <c r="F740" s="11" t="inlineStr">
        <is>
          <t>Investors are hesitant to commit funds in this volatile market.</t>
        </is>
      </c>
      <c r="G740" s="11" t="inlineStr">
        <is>
          <t>투자자들은 이 변동성 큰 시장에서 자금을 투입하기를 주저하고 있습니다.</t>
        </is>
      </c>
      <c r="H740" s="5">
        <f>HYPERLINK("https://www.youtube.com/watch?v=cMaG7n_69r4", "영상 보기 ▶")</f>
        <v/>
      </c>
    </row>
    <row r="741" ht="26" customHeight="1">
      <c r="A741" s="6" t="n">
        <v>740</v>
      </c>
      <c r="B741" s="7" t="inlineStr">
        <is>
          <t>총정리 15탄</t>
        </is>
      </c>
      <c r="C741" s="7" t="inlineStr">
        <is>
          <t>내키지 않음</t>
        </is>
      </c>
      <c r="D741" s="8" t="inlineStr">
        <is>
          <t>reluctant</t>
        </is>
      </c>
      <c r="E741" s="12" t="inlineStr">
        <is>
          <t>(하기 싫어서) 꺼리는, 마지못해 하는</t>
        </is>
      </c>
      <c r="F741" s="12" t="inlineStr">
        <is>
          <t>He was reluctant to admit that he had made a misjudgment.</t>
        </is>
      </c>
      <c r="G741" s="12" t="inlineStr">
        <is>
          <t>그는 자신이 오판했다는 사실을 인정하기를 몹시 꺼렸습니다.</t>
        </is>
      </c>
      <c r="H741" s="9">
        <f>HYPERLINK("https://www.youtube.com/watch?v=cMaG7n_69r4", "영상 보기 ▶")</f>
        <v/>
      </c>
    </row>
    <row r="742" ht="26" customHeight="1">
      <c r="A742" s="2" t="n">
        <v>741</v>
      </c>
      <c r="B742" s="3" t="inlineStr">
        <is>
          <t>총정리 15탄</t>
        </is>
      </c>
      <c r="C742" s="3" t="inlineStr">
        <is>
          <t>주저 금지</t>
        </is>
      </c>
      <c r="D742" s="4" t="inlineStr">
        <is>
          <t>hesitate</t>
        </is>
      </c>
      <c r="E742" s="11" t="inlineStr">
        <is>
          <t>망설이다 (Please don't hesitate to ask)</t>
        </is>
      </c>
      <c r="F742" s="11" t="inlineStr">
        <is>
          <t>If you have any concerns, please do not hesitate to reach out.</t>
        </is>
      </c>
      <c r="G742" s="11" t="inlineStr">
        <is>
          <t>우려되는 점이 있으시면 언제든지 주저 말고 연락 주시기 바랍니다.</t>
        </is>
      </c>
      <c r="H742" s="5">
        <f>HYPERLINK("https://www.youtube.com/watch?v=cMaG7n_69r4", "영상 보기 ▶")</f>
        <v/>
      </c>
    </row>
    <row r="743" ht="26" customHeight="1">
      <c r="A743" s="6" t="n">
        <v>742</v>
      </c>
      <c r="B743" s="7" t="inlineStr">
        <is>
          <t>총정리 15탄</t>
        </is>
      </c>
      <c r="C743" s="7" t="inlineStr">
        <is>
          <t>결정 권한</t>
        </is>
      </c>
      <c r="D743" s="8" t="inlineStr">
        <is>
          <t>be up to (사람)</t>
        </is>
      </c>
      <c r="E743" s="12" t="inlineStr">
        <is>
          <t>~의 재량/결정에 달려 있다</t>
        </is>
      </c>
      <c r="F743" s="12" t="inlineStr">
        <is>
          <t>Whether we launch this month is entirely up to you.</t>
        </is>
      </c>
      <c r="G743" s="12" t="inlineStr">
        <is>
          <t>이번 달에 출시할지 여부는 전적으로 당신의 결정에 달려 있습니다.</t>
        </is>
      </c>
      <c r="H743" s="9">
        <f>HYPERLINK("https://www.youtube.com/watch?v=cMaG7n_69r4", "영상 보기 ▶")</f>
        <v/>
      </c>
    </row>
    <row r="744" ht="26" customHeight="1">
      <c r="A744" s="2" t="n">
        <v>743</v>
      </c>
      <c r="B744" s="3" t="inlineStr">
        <is>
          <t>총정리 15탄</t>
        </is>
      </c>
      <c r="C744" s="3" t="inlineStr">
        <is>
          <t>의향/참여</t>
        </is>
      </c>
      <c r="D744" s="4" t="inlineStr">
        <is>
          <t>be up for</t>
        </is>
      </c>
      <c r="E744" s="11" t="inlineStr">
        <is>
          <t>~할 의향이 있다, 즐겨 참여하다</t>
        </is>
      </c>
      <c r="F744" s="11" t="inlineStr">
        <is>
          <t>Are you up for grabbing a quick bite after work?</t>
        </is>
      </c>
      <c r="G744" s="11" t="inlineStr">
        <is>
          <t>퇴근하고 간단히 뭐 좀 먹으러 갈 의향 있어?</t>
        </is>
      </c>
      <c r="H744" s="5">
        <f>HYPERLINK("https://www.youtube.com/watch?v=cMaG7n_69r4", "영상 보기 ▶")</f>
        <v/>
      </c>
    </row>
    <row r="745" ht="26" customHeight="1">
      <c r="A745" s="6" t="n">
        <v>744</v>
      </c>
      <c r="B745" s="7" t="inlineStr">
        <is>
          <t>총정리 15탄</t>
        </is>
      </c>
      <c r="C745" s="7" t="inlineStr">
        <is>
          <t>동의 반문</t>
        </is>
      </c>
      <c r="D745" s="8" t="inlineStr">
        <is>
          <t>Who isn't?</t>
        </is>
      </c>
      <c r="E745" s="12" t="inlineStr">
        <is>
          <t>누군들 안 그러겠어요? / 당연히 다들 그렇죠!</t>
        </is>
      </c>
      <c r="F745" s="12" t="inlineStr">
        <is>
          <t>A: I'm completely exhausted. B: Who isn't these days?</t>
        </is>
      </c>
      <c r="G745" s="12" t="inlineStr">
        <is>
          <t>A: 나 완전 기진맥진했어. B: 요즘 안 그런 사람이 어디 있겠어?</t>
        </is>
      </c>
      <c r="H745" s="9">
        <f>HYPERLINK("https://www.youtube.com/watch?v=cMaG7n_69r4", "영상 보기 ▶")</f>
        <v/>
      </c>
    </row>
    <row r="746" ht="26" customHeight="1">
      <c r="A746" s="2" t="n">
        <v>745</v>
      </c>
      <c r="B746" s="3" t="inlineStr">
        <is>
          <t>총정리 15탄</t>
        </is>
      </c>
      <c r="C746" s="3" t="inlineStr">
        <is>
          <t>아쉬운 권한</t>
        </is>
      </c>
      <c r="D746" s="4" t="inlineStr">
        <is>
          <t>I wish it were up to me</t>
        </is>
      </c>
      <c r="E746" s="11" t="inlineStr">
        <is>
          <t>내 권한/마음대로 할 수 있는 일이면 좋을 텐데</t>
        </is>
      </c>
      <c r="F746" s="11" t="inlineStr">
        <is>
          <t>I'd love to approve your leave; I wish it were up to me.</t>
        </is>
      </c>
      <c r="G746" s="11" t="inlineStr">
        <is>
          <t>휴가 승인해 드리고 싶지만 제 권한 밖이라 안타깝네요.</t>
        </is>
      </c>
      <c r="H746" s="5">
        <f>HYPERLINK("https://www.youtube.com/watch?v=cMaG7n_69r4", "영상 보기 ▶")</f>
        <v/>
      </c>
    </row>
    <row r="747" ht="26" customHeight="1">
      <c r="A747" s="6" t="n">
        <v>746</v>
      </c>
      <c r="B747" s="7" t="inlineStr">
        <is>
          <t>총정리 15탄</t>
        </is>
      </c>
      <c r="C747" s="7" t="inlineStr">
        <is>
          <t>꿍꿍이</t>
        </is>
      </c>
      <c r="D747" s="8" t="inlineStr">
        <is>
          <t>be up to something</t>
        </is>
      </c>
      <c r="E747" s="12" t="inlineStr">
        <is>
          <t>뭔가 속셈/꿍꿍이를 꾸미고 있다</t>
        </is>
      </c>
      <c r="F747" s="12" t="inlineStr">
        <is>
          <t>They're whispering in the hallway; they must be up to something.</t>
        </is>
      </c>
      <c r="G747" s="12" t="inlineStr">
        <is>
          <t>복도에서 수군거리는 걸 보니 분명 무슨 꿍꿍이를 꾸미고 있는 게 틀림없어.</t>
        </is>
      </c>
      <c r="H747" s="9">
        <f>HYPERLINK("https://www.youtube.com/watch?v=cMaG7n_69r4", "영상 보기 ▶")</f>
        <v/>
      </c>
    </row>
    <row r="748" ht="26" customHeight="1">
      <c r="A748" s="2" t="n">
        <v>747</v>
      </c>
      <c r="B748" s="3" t="inlineStr">
        <is>
          <t>총정리 15탄</t>
        </is>
      </c>
      <c r="C748" s="3" t="inlineStr">
        <is>
          <t>선물 방문</t>
        </is>
      </c>
      <c r="D748" s="4" t="inlineStr">
        <is>
          <t>I come bearing gifts</t>
        </is>
      </c>
      <c r="E748" s="11" t="inlineStr">
        <is>
          <t>선물 들고 찾아왔지요! (반가운 방문)</t>
        </is>
      </c>
      <c r="F748" s="11" t="inlineStr">
        <is>
          <t>Good morning, team! I come bearing gifts: fresh pastries!</t>
        </is>
      </c>
      <c r="G748" s="11" t="inlineStr">
        <is>
          <t>좋은 아침입니다, 여러분! 갓 구운 빵 선물 들고 왔어요!</t>
        </is>
      </c>
      <c r="H748" s="5">
        <f>HYPERLINK("https://www.youtube.com/watch?v=cMaG7n_69r4", "영상 보기 ▶")</f>
        <v/>
      </c>
    </row>
    <row r="749" ht="26" customHeight="1">
      <c r="A749" s="6" t="n">
        <v>748</v>
      </c>
      <c r="B749" s="7" t="inlineStr">
        <is>
          <t>총정리 15탄</t>
        </is>
      </c>
      <c r="C749" s="7" t="inlineStr">
        <is>
          <t>비용 부담</t>
        </is>
      </c>
      <c r="D749" s="8" t="inlineStr">
        <is>
          <t>bear (비용/책임)</t>
        </is>
      </c>
      <c r="E749" s="12" t="inlineStr">
        <is>
          <t>(비용이나 책임을) 짊어지다, 부담하다</t>
        </is>
      </c>
      <c r="F749" s="12" t="inlineStr">
        <is>
          <t>The supplier agreed to bear all transportation costs.</t>
        </is>
      </c>
      <c r="G749" s="12" t="inlineStr">
        <is>
          <t>공급업체 측에서 모든 운송 비용을 부담하기로 합의했습니다.</t>
        </is>
      </c>
      <c r="H749" s="9">
        <f>HYPERLINK("https://www.youtube.com/watch?v=cMaG7n_69r4", "영상 보기 ▶")</f>
        <v/>
      </c>
    </row>
    <row r="750" ht="26" customHeight="1">
      <c r="A750" s="2" t="n">
        <v>749</v>
      </c>
      <c r="B750" s="3" t="inlineStr">
        <is>
          <t>총정리 15탄</t>
        </is>
      </c>
      <c r="C750" s="3" t="inlineStr">
        <is>
          <t>고통 인내</t>
        </is>
      </c>
      <c r="D750" s="4" t="inlineStr">
        <is>
          <t>bear (인내)</t>
        </is>
      </c>
      <c r="E750" s="11" t="inlineStr">
        <is>
          <t>참다, 견디다 (can't bear the thought)</t>
        </is>
      </c>
      <c r="F750" s="11" t="inlineStr">
        <is>
          <t>I can't bear the thought of starting all over again.</t>
        </is>
      </c>
      <c r="G750" s="11" t="inlineStr">
        <is>
          <t>처음부터 다시 시작해야 한다는 생각만 해도 도저히 못 견디겠어.</t>
        </is>
      </c>
      <c r="H750" s="5">
        <f>HYPERLINK("https://www.youtube.com/watch?v=cMaG7n_69r4", "영상 보기 ▶")</f>
        <v/>
      </c>
    </row>
    <row r="751" ht="26" customHeight="1">
      <c r="A751" s="6" t="n">
        <v>750</v>
      </c>
      <c r="B751" s="7" t="inlineStr">
        <is>
          <t>총정리 15탄</t>
        </is>
      </c>
      <c r="C751" s="7" t="inlineStr">
        <is>
          <t>기억/메모</t>
        </is>
      </c>
      <c r="D751" s="8" t="inlineStr">
        <is>
          <t>I'll make a note of it</t>
        </is>
      </c>
      <c r="E751" s="12" t="inlineStr">
        <is>
          <t>잊지 않도록 메모해 두고 명심하겠습니다</t>
        </is>
      </c>
      <c r="F751" s="12" t="inlineStr">
        <is>
          <t>Thank you for the constructive feedback; I'll make a note of it.</t>
        </is>
      </c>
      <c r="G751" s="12" t="inlineStr">
        <is>
          <t>건설적인 피드백 감사드립니다. 메모해 두고 꼭 명심하겠습니다.</t>
        </is>
      </c>
      <c r="H751" s="9">
        <f>HYPERLINK("https://www.youtube.com/watch?v=cMaG7n_69r4", "영상 보기 ▶")</f>
        <v/>
      </c>
    </row>
    <row r="752" ht="26" customHeight="1">
      <c r="A752" s="2" t="n">
        <v>751</v>
      </c>
      <c r="B752" s="3" t="inlineStr">
        <is>
          <t>총정리 16탄</t>
        </is>
      </c>
      <c r="C752" s="3" t="inlineStr">
        <is>
          <t>단점/부정</t>
        </is>
      </c>
      <c r="D752" s="4" t="inlineStr">
        <is>
          <t>downside</t>
        </is>
      </c>
      <c r="E752" s="11" t="inlineStr">
        <is>
          <t>단점, 부정적인 측면</t>
        </is>
      </c>
      <c r="F752" s="11" t="inlineStr">
        <is>
          <t>The apartment is spacious, but the downside is the long commute.</t>
        </is>
      </c>
      <c r="G752" s="11" t="inlineStr">
        <is>
          <t>아파트는 넓고 좋은데 단점은 출퇴근 거리가 너무 멀다는 점이야.</t>
        </is>
      </c>
      <c r="H752" s="5">
        <f>HYPERLINK("https://www.youtube.com/watch?v=z3kOpCtpj_g", "영상 보기 ▶")</f>
        <v/>
      </c>
    </row>
    <row r="753" ht="26" customHeight="1">
      <c r="A753" s="6" t="n">
        <v>752</v>
      </c>
      <c r="B753" s="7" t="inlineStr">
        <is>
          <t>총정리 16탄</t>
        </is>
      </c>
      <c r="C753" s="7" t="inlineStr">
        <is>
          <t>거액</t>
        </is>
      </c>
      <c r="D753" s="8" t="inlineStr">
        <is>
          <t>fortune</t>
        </is>
      </c>
      <c r="E753" s="12" t="inlineStr">
        <is>
          <t>거금, 막대한 돈 (cost a fortune)</t>
        </is>
      </c>
      <c r="F753" s="12" t="inlineStr">
        <is>
          <t>Eating out every single day will cost you a fortune.</t>
        </is>
      </c>
      <c r="G753" s="12" t="inlineStr">
        <is>
          <t>매일 외식하다가는 엄청난 거금이 깨질 거야.</t>
        </is>
      </c>
      <c r="H753" s="9">
        <f>HYPERLINK("https://www.youtube.com/watch?v=z3kOpCtpj_g", "영상 보기 ▶")</f>
        <v/>
      </c>
    </row>
    <row r="754" ht="26" customHeight="1">
      <c r="A754" s="2" t="n">
        <v>753</v>
      </c>
      <c r="B754" s="3" t="inlineStr">
        <is>
          <t>총정리 16탄</t>
        </is>
      </c>
      <c r="C754" s="3" t="inlineStr">
        <is>
          <t>엄청난 비용</t>
        </is>
      </c>
      <c r="D754" s="4" t="inlineStr">
        <is>
          <t>It cost me an arm and a leg</t>
        </is>
      </c>
      <c r="E754" s="11" t="inlineStr">
        <is>
          <t>엄청난 거금을 치렀어, 비싸게 줬어</t>
        </is>
      </c>
      <c r="F754" s="11" t="inlineStr">
        <is>
          <t>Repairing my imported car cost me an arm and a leg.</t>
        </is>
      </c>
      <c r="G754" s="11" t="inlineStr">
        <is>
          <t>수입차 수리하느라 팔다리가 떨어져 나갈 만큼 엄청난 돈을 썼어.</t>
        </is>
      </c>
      <c r="H754" s="5">
        <f>HYPERLINK("https://www.youtube.com/watch?v=z3kOpCtpj_g", "영상 보기 ▶")</f>
        <v/>
      </c>
    </row>
    <row r="755" ht="26" customHeight="1">
      <c r="A755" s="6" t="n">
        <v>754</v>
      </c>
      <c r="B755" s="7" t="inlineStr">
        <is>
          <t>총정리 16탄</t>
        </is>
      </c>
      <c r="C755" s="7" t="inlineStr">
        <is>
          <t>통근</t>
        </is>
      </c>
      <c r="D755" s="8" t="inlineStr">
        <is>
          <t>commute</t>
        </is>
      </c>
      <c r="E755" s="12" t="inlineStr">
        <is>
          <t>통근하다, 출퇴근길</t>
        </is>
      </c>
      <c r="F755" s="12" t="inlineStr">
        <is>
          <t>My morning commute takes about 45 minutes by subway.</t>
        </is>
      </c>
      <c r="G755" s="12" t="inlineStr">
        <is>
          <t>아침 출근길은 지하철로 약 45분 정도 걸립니다.</t>
        </is>
      </c>
      <c r="H755" s="9">
        <f>HYPERLINK("https://www.youtube.com/watch?v=z3kOpCtpj_g", "영상 보기 ▶")</f>
        <v/>
      </c>
    </row>
    <row r="756" ht="26" customHeight="1">
      <c r="A756" s="2" t="n">
        <v>755</v>
      </c>
      <c r="B756" s="3" t="inlineStr">
        <is>
          <t>총정리 16탄</t>
        </is>
      </c>
      <c r="C756" s="3" t="inlineStr">
        <is>
          <t>장점/긍정</t>
        </is>
      </c>
      <c r="D756" s="4" t="inlineStr">
        <is>
          <t>upside</t>
        </is>
      </c>
      <c r="E756" s="11" t="inlineStr">
        <is>
          <t>장점, 긍정적인 면</t>
        </is>
      </c>
      <c r="F756" s="11" t="inlineStr">
        <is>
          <t>On the upside, working from home saves a lot of travel time.</t>
        </is>
      </c>
      <c r="G756" s="11" t="inlineStr">
        <is>
          <t>긍정적인 측면을 보자면 재택근무는 이동 시간을 크게 아껴줍니다.</t>
        </is>
      </c>
      <c r="H756" s="5">
        <f>HYPERLINK("https://www.youtube.com/watch?v=z3kOpCtpj_g", "영상 보기 ▶")</f>
        <v/>
      </c>
    </row>
    <row r="757" ht="26" customHeight="1">
      <c r="A757" s="6" t="n">
        <v>756</v>
      </c>
      <c r="B757" s="7" t="inlineStr">
        <is>
          <t>총정리 16탄</t>
        </is>
      </c>
      <c r="C757" s="7" t="inlineStr">
        <is>
          <t>대화 유도</t>
        </is>
      </c>
      <c r="D757" s="8" t="inlineStr">
        <is>
          <t>So, what's your story?</t>
        </is>
      </c>
      <c r="E757" s="12" t="inlineStr">
        <is>
          <t>그래, 당신은 어떤 사람인가요? 어떤 삶을 살아오셨나요?</t>
        </is>
      </c>
      <c r="F757" s="12" t="inlineStr">
        <is>
          <t>I've heard about your career change. So, what's your story?</t>
        </is>
      </c>
      <c r="G757" s="12" t="inlineStr">
        <is>
          <t>이직하셨다는 이야기 들었어요. 어떤 사연이 있으신지 들려주실래요?</t>
        </is>
      </c>
      <c r="H757" s="9">
        <f>HYPERLINK("https://www.youtube.com/watch?v=z3kOpCtpj_g", "영상 보기 ▶")</f>
        <v/>
      </c>
    </row>
    <row r="758" ht="26" customHeight="1">
      <c r="A758" s="2" t="n">
        <v>757</v>
      </c>
      <c r="B758" s="3" t="inlineStr">
        <is>
          <t>총정리 16탄</t>
        </is>
      </c>
      <c r="C758" s="3" t="inlineStr">
        <is>
          <t>가능성</t>
        </is>
      </c>
      <c r="D758" s="4" t="inlineStr">
        <is>
          <t>promise (가능성)</t>
        </is>
      </c>
      <c r="E758" s="11" t="inlineStr">
        <is>
          <t>촉망, 장래성 (show great promise)</t>
        </is>
      </c>
      <c r="F758" s="11" t="inlineStr">
        <is>
          <t>This young engineer shows immense promise.</t>
        </is>
      </c>
      <c r="G758" s="11" t="inlineStr">
        <is>
          <t>이 젊은 엔지니어는 대단한 장래성과 잠재력을 보여줍니다.</t>
        </is>
      </c>
      <c r="H758" s="5">
        <f>HYPERLINK("https://www.youtube.com/watch?v=z3kOpCtpj_g", "영상 보기 ▶")</f>
        <v/>
      </c>
    </row>
    <row r="759" ht="26" customHeight="1">
      <c r="A759" s="6" t="n">
        <v>758</v>
      </c>
      <c r="B759" s="7" t="inlineStr">
        <is>
          <t>총정리 16탄</t>
        </is>
      </c>
      <c r="C759" s="7" t="inlineStr">
        <is>
          <t>유망함</t>
        </is>
      </c>
      <c r="D759" s="8" t="inlineStr">
        <is>
          <t>promising</t>
        </is>
      </c>
      <c r="E759" s="12" t="inlineStr">
        <is>
          <t>유망한, 전망이 밝은</t>
        </is>
      </c>
      <c r="F759" s="12" t="inlineStr">
        <is>
          <t>The early trial results are very promising.</t>
        </is>
      </c>
      <c r="G759" s="12" t="inlineStr">
        <is>
          <t>초기 임상 시험 결과가 대단히 유망하고 희망적입니다.</t>
        </is>
      </c>
      <c r="H759" s="9">
        <f>HYPERLINK("https://www.youtube.com/watch?v=z3kOpCtpj_g", "영상 보기 ▶")</f>
        <v/>
      </c>
    </row>
    <row r="760" ht="26" customHeight="1">
      <c r="A760" s="2" t="n">
        <v>759</v>
      </c>
      <c r="B760" s="3" t="inlineStr">
        <is>
          <t>총정리 16탄</t>
        </is>
      </c>
      <c r="C760" s="3" t="inlineStr">
        <is>
          <t>최고 강조</t>
        </is>
      </c>
      <c r="D760" s="4" t="inlineStr">
        <is>
          <t>beat (최고)</t>
        </is>
      </c>
      <c r="E760" s="11" t="inlineStr">
        <is>
          <t>이보다 더 좋을 수 없다, 최고다</t>
        </is>
      </c>
      <c r="F760" s="11" t="inlineStr">
        <is>
          <t>Nothing beats a cup of warm tea on a freezing day.</t>
        </is>
      </c>
      <c r="G760" s="11" t="inlineStr">
        <is>
          <t>추운 날씨엔 따뜻한 차 한 잔만 한 최고가 없지.</t>
        </is>
      </c>
      <c r="H760" s="5">
        <f>HYPERLINK("https://www.youtube.com/watch?v=z3kOpCtpj_g", "영상 보기 ▶")</f>
        <v/>
      </c>
    </row>
    <row r="761" ht="26" customHeight="1">
      <c r="A761" s="6" t="n">
        <v>760</v>
      </c>
      <c r="B761" s="7" t="inlineStr">
        <is>
          <t>총정리 16탄</t>
        </is>
      </c>
      <c r="C761" s="7" t="inlineStr">
        <is>
          <t>공통/상호</t>
        </is>
      </c>
      <c r="D761" s="8" t="inlineStr">
        <is>
          <t>mutual</t>
        </is>
      </c>
      <c r="E761" s="12" t="inlineStr">
        <is>
          <t>상호 간의, 공통의 (mutual friend / respect)</t>
        </is>
      </c>
      <c r="F761" s="12" t="inlineStr">
        <is>
          <t>We met through a mutual friend at university.</t>
        </is>
      </c>
      <c r="G761" s="12" t="inlineStr">
        <is>
          <t>우리는 대학 시절 서로 아는 공통 지인을 통해 만났어.</t>
        </is>
      </c>
      <c r="H761" s="9">
        <f>HYPERLINK("https://www.youtube.com/watch?v=z3kOpCtpj_g", "영상 보기 ▶")</f>
        <v/>
      </c>
    </row>
    <row r="762" ht="26" customHeight="1">
      <c r="A762" s="2" t="n">
        <v>761</v>
      </c>
      <c r="B762" s="3" t="inlineStr">
        <is>
          <t>총정리 16탄</t>
        </is>
      </c>
      <c r="C762" s="3" t="inlineStr">
        <is>
          <t>지인</t>
        </is>
      </c>
      <c r="D762" s="4" t="inlineStr">
        <is>
          <t>acquaintance</t>
        </is>
      </c>
      <c r="E762" s="11" t="inlineStr">
        <is>
          <t>(친구까진 아니고) 알고 지내는 사람, 지인</t>
        </is>
      </c>
      <c r="F762" s="11" t="inlineStr">
        <is>
          <t>He is more of a professional acquaintance than a close friend.</t>
        </is>
      </c>
      <c r="G762" s="11" t="inlineStr">
        <is>
          <t>그는 절친이라기보다는 업무상 알고 지내는 지인에 가까워.</t>
        </is>
      </c>
      <c r="H762" s="5">
        <f>HYPERLINK("https://www.youtube.com/watch?v=z3kOpCtpj_g", "영상 보기 ▶")</f>
        <v/>
      </c>
    </row>
    <row r="763" ht="26" customHeight="1">
      <c r="A763" s="6" t="n">
        <v>762</v>
      </c>
      <c r="B763" s="7" t="inlineStr">
        <is>
          <t>총정리 16탄</t>
        </is>
      </c>
      <c r="C763" s="7" t="inlineStr">
        <is>
          <t>취미 질문</t>
        </is>
      </c>
      <c r="D763" s="8" t="inlineStr">
        <is>
          <t>What do you like to do outside of work?</t>
        </is>
      </c>
      <c r="E763" s="12" t="inlineStr">
        <is>
          <t>퇴근 후나 주말에는 주로 어떤 취미를 즐기세요?</t>
        </is>
      </c>
      <c r="F763" s="12" t="inlineStr">
        <is>
          <t>Small talk question: What do you like to do outside of work?</t>
        </is>
      </c>
      <c r="G763" s="12" t="inlineStr">
        <is>
          <t>스몰토크 질문: 일 끝나고 여가 시간에는 주로 뭘 하면서 보내세요?</t>
        </is>
      </c>
      <c r="H763" s="9">
        <f>HYPERLINK("https://www.youtube.com/watch?v=z3kOpCtpj_g", "영상 보기 ▶")</f>
        <v/>
      </c>
    </row>
    <row r="764" ht="26" customHeight="1">
      <c r="A764" s="2" t="n">
        <v>763</v>
      </c>
      <c r="B764" s="3" t="inlineStr">
        <is>
          <t>총정리 16탄</t>
        </is>
      </c>
      <c r="C764" s="3" t="inlineStr">
        <is>
          <t>계기 질문</t>
        </is>
      </c>
      <c r="D764" s="4" t="inlineStr">
        <is>
          <t>How did you get into ~?</t>
        </is>
      </c>
      <c r="E764" s="11" t="inlineStr">
        <is>
          <t>어쩌다가 그 일/취미를 시작하게 되셨어요?</t>
        </is>
      </c>
      <c r="F764" s="11" t="inlineStr">
        <is>
          <t>How did you get into graphic design in the first place?</t>
        </is>
      </c>
      <c r="G764" s="11" t="inlineStr">
        <is>
          <t>애초에 그래픽 디자인은 어쩌다가 시작하게 되신 거예요?</t>
        </is>
      </c>
      <c r="H764" s="5">
        <f>HYPERLINK("https://www.youtube.com/watch?v=z3kOpCtpj_g", "영상 보기 ▶")</f>
        <v/>
      </c>
    </row>
    <row r="765" ht="26" customHeight="1">
      <c r="A765" s="6" t="n">
        <v>764</v>
      </c>
      <c r="B765" s="7" t="inlineStr">
        <is>
          <t>총정리 16탄</t>
        </is>
      </c>
      <c r="C765" s="7" t="inlineStr">
        <is>
          <t>최고 명장면</t>
        </is>
      </c>
      <c r="D765" s="8" t="inlineStr">
        <is>
          <t>highlight</t>
        </is>
      </c>
      <c r="E765" s="12" t="inlineStr">
        <is>
          <t>가장 빛나는 부분, 하이라이트</t>
        </is>
      </c>
      <c r="F765" s="12" t="inlineStr">
        <is>
          <t>The keynote address was definitely the highlight of the summit.</t>
        </is>
      </c>
      <c r="G765" s="12" t="inlineStr">
        <is>
          <t>기조연설은 확실히 이번 정상회의의 최고의 하이라이트였어.</t>
        </is>
      </c>
      <c r="H765" s="9">
        <f>HYPERLINK("https://www.youtube.com/watch?v=z3kOpCtpj_g", "영상 보기 ▶")</f>
        <v/>
      </c>
    </row>
    <row r="766" ht="26" customHeight="1">
      <c r="A766" s="2" t="n">
        <v>765</v>
      </c>
      <c r="B766" s="3" t="inlineStr">
        <is>
          <t>총정리 16탄</t>
        </is>
      </c>
      <c r="C766" s="3" t="inlineStr">
        <is>
          <t>준비 완료</t>
        </is>
      </c>
      <c r="D766" s="4" t="inlineStr">
        <is>
          <t>be all set</t>
        </is>
      </c>
      <c r="E766" s="11" t="inlineStr">
        <is>
          <t>모든 준비가 완벽히 끝나다</t>
        </is>
      </c>
      <c r="F766" s="11" t="inlineStr">
        <is>
          <t>Double-check your passport and you'll be all set to go.</t>
        </is>
      </c>
      <c r="G766" s="11" t="inlineStr">
        <is>
          <t>여권만 다시 확인하시면 출발 준비는 완벽히 끝납니다.</t>
        </is>
      </c>
      <c r="H766" s="5">
        <f>HYPERLINK("https://www.youtube.com/watch?v=z3kOpCtpj_g", "영상 보기 ▶")</f>
        <v/>
      </c>
    </row>
    <row r="767" ht="26" customHeight="1">
      <c r="A767" s="6" t="n">
        <v>766</v>
      </c>
      <c r="B767" s="7" t="inlineStr">
        <is>
          <t>총정리 16탄</t>
        </is>
      </c>
      <c r="C767" s="7" t="inlineStr">
        <is>
          <t>업무 완료 안내</t>
        </is>
      </c>
      <c r="D767" s="8" t="inlineStr">
        <is>
          <t>You're all set</t>
        </is>
      </c>
      <c r="E767" s="12" t="inlineStr">
        <is>
          <t>모든 처리가 끝났습니다 / 이제 가셔도 좋습니다</t>
        </is>
      </c>
      <c r="F767" s="12" t="inlineStr">
        <is>
          <t>Here is your receipt and card; you're all set!</t>
        </is>
      </c>
      <c r="G767" s="12" t="inlineStr">
        <is>
          <t>영수증과 카드 여기 있습니다. 모든 처리가 완료되었습니다!</t>
        </is>
      </c>
      <c r="H767" s="9">
        <f>HYPERLINK("https://www.youtube.com/watch?v=z3kOpCtpj_g", "영상 보기 ▶")</f>
        <v/>
      </c>
    </row>
    <row r="768" ht="26" customHeight="1">
      <c r="A768" s="2" t="n">
        <v>767</v>
      </c>
      <c r="B768" s="3" t="inlineStr">
        <is>
          <t>총정리 16탄</t>
        </is>
      </c>
      <c r="C768" s="3" t="inlineStr">
        <is>
          <t>팀 준비 완료</t>
        </is>
      </c>
      <c r="D768" s="4" t="inlineStr">
        <is>
          <t>We're all set</t>
        </is>
      </c>
      <c r="E768" s="11" t="inlineStr">
        <is>
          <t>저희 쪽 준비는 완벽히 다 끝났습니다</t>
        </is>
      </c>
      <c r="F768" s="11" t="inlineStr">
        <is>
          <t>We're all set for the client demo at 2 PM.</t>
        </is>
      </c>
      <c r="G768" s="11" t="inlineStr">
        <is>
          <t>오후 2시 고객 시연을 위한 모든 준비가 완벽히 끝났습니다.</t>
        </is>
      </c>
      <c r="H768" s="5">
        <f>HYPERLINK("https://www.youtube.com/watch?v=z3kOpCtpj_g", "영상 보기 ▶")</f>
        <v/>
      </c>
    </row>
    <row r="769" ht="26" customHeight="1">
      <c r="A769" s="6" t="n">
        <v>768</v>
      </c>
      <c r="B769" s="7" t="inlineStr">
        <is>
          <t>총정리 16탄</t>
        </is>
      </c>
      <c r="C769" s="7" t="inlineStr">
        <is>
          <t>직전 위기</t>
        </is>
      </c>
      <c r="D769" s="8" t="inlineStr">
        <is>
          <t>on the verge of</t>
        </is>
      </c>
      <c r="E769" s="12" t="inlineStr">
        <is>
          <t>~하기 직전에 있는, 찰나에 놓인</t>
        </is>
      </c>
      <c r="F769" s="12" t="inlineStr">
        <is>
          <t>The two companies were on the verge of signing the contract.</t>
        </is>
      </c>
      <c r="G769" s="12" t="inlineStr">
        <is>
          <t>두 회사는 계약 체결을 바로 코앞에 두고 있었습니다.</t>
        </is>
      </c>
      <c r="H769" s="9">
        <f>HYPERLINK("https://www.youtube.com/watch?v=z3kOpCtpj_g", "영상 보기 ▶")</f>
        <v/>
      </c>
    </row>
    <row r="770" ht="26" customHeight="1">
      <c r="A770" s="2" t="n">
        <v>769</v>
      </c>
      <c r="B770" s="3" t="inlineStr">
        <is>
          <t>총정리 16탄</t>
        </is>
      </c>
      <c r="C770" s="3" t="inlineStr">
        <is>
          <t>성공적 획득</t>
        </is>
      </c>
      <c r="D770" s="4" t="inlineStr">
        <is>
          <t>land (계약/취업)</t>
        </is>
      </c>
      <c r="E770" s="11" t="inlineStr">
        <is>
          <t>(일자리나 계약을) 성사시키다, 따내다</t>
        </is>
      </c>
      <c r="F770" s="11" t="inlineStr">
        <is>
          <t>Congratulations on landing that prestigious government account!</t>
        </is>
      </c>
      <c r="G770" s="11" t="inlineStr">
        <is>
          <t>그 권위 있는 정부 사업 계약을 따내신 것 진심으로 축하드립니다!</t>
        </is>
      </c>
      <c r="H770" s="5">
        <f>HYPERLINK("https://www.youtube.com/watch?v=z3kOpCtpj_g", "영상 보기 ▶")</f>
        <v/>
      </c>
    </row>
    <row r="771" ht="26" customHeight="1">
      <c r="A771" s="6" t="n">
        <v>770</v>
      </c>
      <c r="B771" s="7" t="inlineStr">
        <is>
          <t>총정리 16탄</t>
        </is>
      </c>
      <c r="C771" s="7" t="inlineStr">
        <is>
          <t>아쉬운 근접</t>
        </is>
      </c>
      <c r="D771" s="8" t="inlineStr">
        <is>
          <t>so close</t>
        </is>
      </c>
      <c r="E771" s="12" t="inlineStr">
        <is>
          <t>거의 다 됐는데! / 너무 아깝다!</t>
        </is>
      </c>
      <c r="F771" s="12" t="inlineStr">
        <is>
          <t>We missed the championship by one point; we were so close!</t>
        </is>
      </c>
      <c r="G771" s="12" t="inlineStr">
        <is>
          <t>1점 차이로 우승을 놓쳤어, 정말 코앞이었는데 너무 아까워!</t>
        </is>
      </c>
      <c r="H771" s="9">
        <f>HYPERLINK("https://www.youtube.com/watch?v=z3kOpCtpj_g", "영상 보기 ▶")</f>
        <v/>
      </c>
    </row>
    <row r="772" ht="26" customHeight="1">
      <c r="A772" s="2" t="n">
        <v>771</v>
      </c>
      <c r="B772" s="3" t="inlineStr">
        <is>
          <t>총정리 16탄</t>
        </is>
      </c>
      <c r="C772" s="3" t="inlineStr">
        <is>
          <t>기회 열림</t>
        </is>
      </c>
      <c r="D772" s="4" t="inlineStr">
        <is>
          <t>up for grabs</t>
        </is>
      </c>
      <c r="E772" s="11" t="inlineStr">
        <is>
          <t>누구나 차지할 수 있는, 열려 있는</t>
        </is>
      </c>
      <c r="F772" s="11" t="inlineStr">
        <is>
          <t>The regional manager position is currently up for grabs.</t>
        </is>
      </c>
      <c r="G772" s="11" t="inlineStr">
        <is>
          <t>지역 본부장 자리는 현재 누구에게나 기회가 열려 있습니다.</t>
        </is>
      </c>
      <c r="H772" s="5">
        <f>HYPERLINK("https://www.youtube.com/watch?v=z3kOpCtpj_g", "영상 보기 ▶")</f>
        <v/>
      </c>
    </row>
    <row r="773" ht="26" customHeight="1">
      <c r="A773" s="6" t="n">
        <v>772</v>
      </c>
      <c r="B773" s="7" t="inlineStr">
        <is>
          <t>총정리 16탄</t>
        </is>
      </c>
      <c r="C773" s="7" t="inlineStr">
        <is>
          <t>논의 대상</t>
        </is>
      </c>
      <c r="D773" s="8" t="inlineStr">
        <is>
          <t>up for discussion</t>
        </is>
      </c>
      <c r="E773" s="12" t="inlineStr">
        <is>
          <t>논의/검토의 대상이 되는</t>
        </is>
      </c>
      <c r="F773" s="12" t="inlineStr">
        <is>
          <t>The budget allocation is still up for discussion.</t>
        </is>
      </c>
      <c r="G773" s="12" t="inlineStr">
        <is>
          <t>예산 배정 문제는 여전히 논의 중인 안건입니다.</t>
        </is>
      </c>
      <c r="H773" s="9">
        <f>HYPERLINK("https://www.youtube.com/watch?v=z3kOpCtpj_g", "영상 보기 ▶")</f>
        <v/>
      </c>
    </row>
    <row r="774" ht="26" customHeight="1">
      <c r="A774" s="2" t="n">
        <v>773</v>
      </c>
      <c r="B774" s="3" t="inlineStr">
        <is>
          <t>총정리 16탄</t>
        </is>
      </c>
      <c r="C774" s="3" t="inlineStr">
        <is>
          <t>검토 가치</t>
        </is>
      </c>
      <c r="D774" s="4" t="inlineStr">
        <is>
          <t>I think it's worth considering</t>
        </is>
      </c>
      <c r="E774" s="11" t="inlineStr">
        <is>
          <t>충분히 검토해 볼 만한 가치가 있다고 생각합니다</t>
        </is>
      </c>
      <c r="F774" s="11" t="inlineStr">
        <is>
          <t>Her proposal is unconventional, but I think it's worth considering.</t>
        </is>
      </c>
      <c r="G774" s="11" t="inlineStr">
        <is>
          <t>그녀의 제안은 파격적이지만, 충분히 검토해 볼 가치가 있다고 봅니다.</t>
        </is>
      </c>
      <c r="H774" s="5">
        <f>HYPERLINK("https://www.youtube.com/watch?v=z3kOpCtpj_g", "영상 보기 ▶")</f>
        <v/>
      </c>
    </row>
    <row r="775" ht="26" customHeight="1">
      <c r="A775" s="6" t="n">
        <v>774</v>
      </c>
      <c r="B775" s="7" t="inlineStr">
        <is>
          <t>총정리 16탄</t>
        </is>
      </c>
      <c r="C775" s="7" t="inlineStr">
        <is>
          <t>만족스러운 소비</t>
        </is>
      </c>
      <c r="D775" s="8" t="inlineStr">
        <is>
          <t>get my money's worth</t>
        </is>
      </c>
      <c r="E775" s="12" t="inlineStr">
        <is>
          <t>본전 생각을 잊을 만큼 돈값을 충분히 하다</t>
        </is>
      </c>
      <c r="F775" s="12" t="inlineStr">
        <is>
          <t>I've worn this sturdy coat for five years; I got my money's worth.</t>
        </is>
      </c>
      <c r="G775" s="12" t="inlineStr">
        <is>
          <t>이 튼튼한 코트를 5년 동안 입었으니 본전은 뽑고도 남았지.</t>
        </is>
      </c>
      <c r="H775" s="9">
        <f>HYPERLINK("https://www.youtube.com/watch?v=z3kOpCtpj_g", "영상 보기 ▶")</f>
        <v/>
      </c>
    </row>
    <row r="776" ht="26" customHeight="1">
      <c r="A776" s="2" t="n">
        <v>775</v>
      </c>
      <c r="B776" s="3" t="inlineStr">
        <is>
          <t>총정리 16탄</t>
        </is>
      </c>
      <c r="C776" s="3" t="inlineStr">
        <is>
          <t>견해 질문</t>
        </is>
      </c>
      <c r="D776" s="4" t="inlineStr">
        <is>
          <t>What's your take (on it)?</t>
        </is>
      </c>
      <c r="E776" s="11" t="inlineStr">
        <is>
          <t>그것에 대해 어떻게 생각하세요? 의견이 어떠세요?</t>
        </is>
      </c>
      <c r="F776" s="11" t="inlineStr">
        <is>
          <t>We need fresh ideas. What's your take on the new logo?</t>
        </is>
      </c>
      <c r="G776" s="11" t="inlineStr">
        <is>
          <t>신선한 아이디어가 필요해요. 새 로고에 대해 어떻게 생각하세요?</t>
        </is>
      </c>
      <c r="H776" s="5">
        <f>HYPERLINK("https://www.youtube.com/watch?v=z3kOpCtpj_g", "영상 보기 ▶")</f>
        <v/>
      </c>
    </row>
    <row r="777" ht="26" customHeight="1">
      <c r="A777" s="6" t="n">
        <v>776</v>
      </c>
      <c r="B777" s="7" t="inlineStr">
        <is>
          <t>총정리 16탄</t>
        </is>
      </c>
      <c r="C777" s="7" t="inlineStr">
        <is>
          <t>반발/저항</t>
        </is>
      </c>
      <c r="D777" s="8" t="inlineStr">
        <is>
          <t>pushback</t>
        </is>
      </c>
      <c r="E777" s="12" t="inlineStr">
        <is>
          <t>(새로운 방침에 대한) 반발, 반대 의견</t>
        </is>
      </c>
      <c r="F777" s="12" t="inlineStr">
        <is>
          <t>We received strong pushback from staff regarding mandatory overtime.</t>
        </is>
      </c>
      <c r="G777" s="12" t="inlineStr">
        <is>
          <t>의무 야근 방침에 대해 직원들로부터 거센 반발을 받았습니다.</t>
        </is>
      </c>
      <c r="H777" s="9">
        <f>HYPERLINK("https://www.youtube.com/watch?v=z3kOpCtpj_g", "영상 보기 ▶")</f>
        <v/>
      </c>
    </row>
    <row r="778" ht="26" customHeight="1">
      <c r="A778" s="2" t="n">
        <v>777</v>
      </c>
      <c r="B778" s="3" t="inlineStr">
        <is>
          <t>총정리 16탄</t>
        </is>
      </c>
      <c r="C778" s="3" t="inlineStr">
        <is>
          <t>합류/찬동</t>
        </is>
      </c>
      <c r="D778" s="4" t="inlineStr">
        <is>
          <t>get on board</t>
        </is>
      </c>
      <c r="E778" s="11" t="inlineStr">
        <is>
          <t>(아이디어/변화에) 찬성하여 동참하다</t>
        </is>
      </c>
      <c r="F778" s="11" t="inlineStr">
        <is>
          <t>It took a while for everyone to get on board with the change.</t>
        </is>
      </c>
      <c r="G778" s="11" t="inlineStr">
        <is>
          <t>모든 사람이 그 변화에 찬성하고 합류하기까지 시간이 좀 걸렸어.</t>
        </is>
      </c>
      <c r="H778" s="5">
        <f>HYPERLINK("https://www.youtube.com/watch?v=z3kOpCtpj_g", "영상 보기 ▶")</f>
        <v/>
      </c>
    </row>
    <row r="779" ht="26" customHeight="1">
      <c r="A779" s="6" t="n">
        <v>778</v>
      </c>
      <c r="B779" s="7" t="inlineStr">
        <is>
          <t>총정리 16탄</t>
        </is>
      </c>
      <c r="C779" s="7" t="inlineStr">
        <is>
          <t>품위 유지</t>
        </is>
      </c>
      <c r="D779" s="8" t="inlineStr">
        <is>
          <t>Don't lower yourself to their level</t>
        </is>
      </c>
      <c r="E779" s="12" t="inlineStr">
        <is>
          <t>그런 사람들과 똑같은 수준으로 유치하게 굴지 마</t>
        </is>
      </c>
      <c r="F779" s="12" t="inlineStr">
        <is>
          <t>Ignore their rude remarks; don't lower yourself to their level.</t>
        </is>
      </c>
      <c r="G779" s="12" t="inlineStr">
        <is>
          <t>그들의 무례한 발언은 무시해, 너까지 똑같은 수준으로 떨어지지 마.</t>
        </is>
      </c>
      <c r="H779" s="9">
        <f>HYPERLINK("https://www.youtube.com/watch?v=z3kOpCtpj_g", "영상 보기 ▶")</f>
        <v/>
      </c>
    </row>
    <row r="780" ht="26" customHeight="1">
      <c r="A780" s="2" t="n">
        <v>779</v>
      </c>
      <c r="B780" s="3" t="inlineStr">
        <is>
          <t>총정리 16탄</t>
        </is>
      </c>
      <c r="C780" s="3" t="inlineStr">
        <is>
          <t>낮은 가능성</t>
        </is>
      </c>
      <c r="D780" s="4" t="inlineStr">
        <is>
          <t>It's a long shot</t>
        </is>
      </c>
      <c r="E780" s="11" t="inlineStr">
        <is>
          <t>승산이 희박하지만 그래도 시도해 볼 만한 모험이야</t>
        </is>
      </c>
      <c r="F780" s="11" t="inlineStr">
        <is>
          <t>Winning the grand prize is a long shot, but why not enter?</t>
        </is>
      </c>
      <c r="G780" s="11" t="inlineStr">
        <is>
          <t>대상 타는 건 가능성이 희박하지만 그래도 한번 지원해 보는 거지!</t>
        </is>
      </c>
      <c r="H780" s="5">
        <f>HYPERLINK("https://www.youtube.com/watch?v=z3kOpCtpj_g", "영상 보기 ▶")</f>
        <v/>
      </c>
    </row>
    <row r="781" ht="26" customHeight="1">
      <c r="A781" s="6" t="n">
        <v>780</v>
      </c>
      <c r="B781" s="7" t="inlineStr">
        <is>
          <t>총정리 16탄</t>
        </is>
      </c>
      <c r="C781" s="7" t="inlineStr">
        <is>
          <t>의지와 역량</t>
        </is>
      </c>
      <c r="D781" s="8" t="inlineStr">
        <is>
          <t>willing and able</t>
        </is>
      </c>
      <c r="E781" s="12" t="inlineStr">
        <is>
          <t>기꺼이 할 의지도 있고 능력도 충분한</t>
        </is>
      </c>
      <c r="F781" s="12" t="inlineStr">
        <is>
          <t>We are willing and able to take on this ambitious contract.</t>
        </is>
      </c>
      <c r="G781" s="12" t="inlineStr">
        <is>
          <t>저희는 이 야심 찬 계약을 수행할 확고한 의지와 능력을 갖추고 있습니다.</t>
        </is>
      </c>
      <c r="H781" s="9">
        <f>HYPERLINK("https://www.youtube.com/watch?v=z3kOpCtpj_g", "영상 보기 ▶")</f>
        <v/>
      </c>
    </row>
    <row r="782" ht="26" customHeight="1">
      <c r="A782" s="2" t="n">
        <v>781</v>
      </c>
      <c r="B782" s="3" t="inlineStr">
        <is>
          <t>총정리 16탄</t>
        </is>
      </c>
      <c r="C782" s="3" t="inlineStr">
        <is>
          <t>약간의 진척</t>
        </is>
      </c>
      <c r="D782" s="4" t="inlineStr">
        <is>
          <t>make a dent</t>
        </is>
      </c>
      <c r="E782" s="11" t="inlineStr">
        <is>
          <t>(산더미 같은 일/빚을) 조금 줄이다, 성과를 내다</t>
        </is>
      </c>
      <c r="F782" s="11" t="inlineStr">
        <is>
          <t>I answered 50 emails, but it barely made a dent in my inbox.</t>
        </is>
      </c>
      <c r="G782" s="11" t="inlineStr">
        <is>
          <t>이메일을 50통이나 답장했는데도 받은편지함이 줄어든 티도 안 나.</t>
        </is>
      </c>
      <c r="H782" s="5">
        <f>HYPERLINK("https://www.youtube.com/watch?v=z3kOpCtpj_g", "영상 보기 ▶")</f>
        <v/>
      </c>
    </row>
    <row r="783" ht="26" customHeight="1">
      <c r="A783" s="6" t="n">
        <v>782</v>
      </c>
      <c r="B783" s="7" t="inlineStr">
        <is>
          <t>총정리 16탄</t>
        </is>
      </c>
      <c r="C783" s="7" t="inlineStr">
        <is>
          <t>사과 부족</t>
        </is>
      </c>
      <c r="D783" s="8" t="inlineStr">
        <is>
          <t>Sorry doesn't cut it</t>
        </is>
      </c>
      <c r="E783" s="12" t="inlineStr">
        <is>
          <t>미안하다는 말 한마디로는 턱없이 부족해</t>
        </is>
      </c>
      <c r="F783" s="12" t="inlineStr">
        <is>
          <t>You caused enormous damage; just saying sorry doesn't cut it.</t>
        </is>
      </c>
      <c r="G783" s="12" t="inlineStr">
        <is>
          <t>엄청난 피해를 끼쳐놓고 그냥 미안하다고 퉁칠 문제가 아니야.</t>
        </is>
      </c>
      <c r="H783" s="9">
        <f>HYPERLINK("https://www.youtube.com/watch?v=z3kOpCtpj_g", "영상 보기 ▶")</f>
        <v/>
      </c>
    </row>
    <row r="784" ht="26" customHeight="1">
      <c r="A784" s="2" t="n">
        <v>783</v>
      </c>
      <c r="B784" s="3" t="inlineStr">
        <is>
          <t>총정리 16탄</t>
        </is>
      </c>
      <c r="C784" s="3" t="inlineStr">
        <is>
          <t>순항</t>
        </is>
      </c>
      <c r="D784" s="4" t="inlineStr">
        <is>
          <t>It's all going according to plan</t>
        </is>
      </c>
      <c r="E784" s="11" t="inlineStr">
        <is>
          <t>모든 게 계획대로 착착 순조롭게 진행되고 있어</t>
        </is>
      </c>
      <c r="F784" s="11" t="inlineStr">
        <is>
          <t>No obstacles so far; it's all going according to plan.</t>
        </is>
      </c>
      <c r="G784" s="11" t="inlineStr">
        <is>
          <t>지금까지 아무런 장애물 없이 모든 게 계획대로 순조롭게 풀리고 있어.</t>
        </is>
      </c>
      <c r="H784" s="5">
        <f>HYPERLINK("https://www.youtube.com/watch?v=z3kOpCtpj_g", "영상 보기 ▶")</f>
        <v/>
      </c>
    </row>
    <row r="785" ht="26" customHeight="1">
      <c r="A785" s="6" t="n">
        <v>784</v>
      </c>
      <c r="B785" s="7" t="inlineStr">
        <is>
          <t>총정리 16탄</t>
        </is>
      </c>
      <c r="C785" s="7" t="inlineStr">
        <is>
          <t>불참 선언</t>
        </is>
      </c>
      <c r="D785" s="8" t="inlineStr">
        <is>
          <t>Count me out</t>
        </is>
      </c>
      <c r="E785" s="12" t="inlineStr">
        <is>
          <t>난 빼줘, 난 참여 안 할래</t>
        </is>
      </c>
      <c r="F785" s="12" t="inlineStr">
        <is>
          <t>If you're going hiking at 5 AM, count me out.</t>
        </is>
      </c>
      <c r="G785" s="12" t="inlineStr">
        <is>
          <t>새벽 5시에 등산 갈 거면 난 쏙 빼줘.</t>
        </is>
      </c>
      <c r="H785" s="9">
        <f>HYPERLINK("https://www.youtube.com/watch?v=z3kOpCtpj_g", "영상 보기 ▶")</f>
        <v/>
      </c>
    </row>
    <row r="786" ht="26" customHeight="1">
      <c r="A786" s="2" t="n">
        <v>785</v>
      </c>
      <c r="B786" s="3" t="inlineStr">
        <is>
          <t>총정리 16탄</t>
        </is>
      </c>
      <c r="C786" s="3" t="inlineStr">
        <is>
          <t>즉석 통화</t>
        </is>
      </c>
      <c r="D786" s="4" t="inlineStr">
        <is>
          <t>jump on a call</t>
        </is>
      </c>
      <c r="E786" s="11" t="inlineStr">
        <is>
          <t>(신속한 소통을 위해) 전화/화상회의에 접속하다</t>
        </is>
      </c>
      <c r="F786" s="11" t="inlineStr">
        <is>
          <t>Can you jump on a quick five-minute call to resolve this?</t>
        </is>
      </c>
      <c r="G786" s="11" t="inlineStr">
        <is>
          <t>이 문제 해결하게 5분만 짧게 통화 연결 가능해?</t>
        </is>
      </c>
      <c r="H786" s="5">
        <f>HYPERLINK("https://www.youtube.com/watch?v=z3kOpCtpj_g", "영상 보기 ▶")</f>
        <v/>
      </c>
    </row>
    <row r="787" ht="26" customHeight="1">
      <c r="A787" s="6" t="n">
        <v>786</v>
      </c>
      <c r="B787" s="7" t="inlineStr">
        <is>
          <t>총정리 16탄</t>
        </is>
      </c>
      <c r="C787" s="7" t="inlineStr">
        <is>
          <t>분위기</t>
        </is>
      </c>
      <c r="D787" s="8" t="inlineStr">
        <is>
          <t>vibe</t>
        </is>
      </c>
      <c r="E787" s="12" t="inlineStr">
        <is>
          <t>느낌, 분위기 (a great vibe)</t>
        </is>
      </c>
      <c r="F787" s="12" t="inlineStr">
        <is>
          <t>I really love the relaxed vibe of this coffee shop.</t>
        </is>
      </c>
      <c r="G787" s="12" t="inlineStr">
        <is>
          <t>나는 이 카페의 아늑하고 편안한 분위기가 정말 마음에 들어.</t>
        </is>
      </c>
      <c r="H787" s="9">
        <f>HYPERLINK("https://www.youtube.com/watch?v=z3kOpCtpj_g", "영상 보기 ▶")</f>
        <v/>
      </c>
    </row>
    <row r="788" ht="26" customHeight="1">
      <c r="A788" s="2" t="n">
        <v>787</v>
      </c>
      <c r="B788" s="3" t="inlineStr">
        <is>
          <t>총정리 16탄</t>
        </is>
      </c>
      <c r="C788" s="3" t="inlineStr">
        <is>
          <t>혼잡</t>
        </is>
      </c>
      <c r="D788" s="4" t="inlineStr">
        <is>
          <t>crowded</t>
        </is>
      </c>
      <c r="E788" s="11" t="inlineStr">
        <is>
          <t>사람이 붐비는, 혼잡한</t>
        </is>
      </c>
      <c r="F788" s="11" t="inlineStr">
        <is>
          <t>The downtown subway is always crowded during rush hour.</t>
        </is>
      </c>
      <c r="G788" s="11" t="inlineStr">
        <is>
          <t>출퇴근 시간대 시내 지하철은 언제나 인파로 붐빕니다.</t>
        </is>
      </c>
      <c r="H788" s="5">
        <f>HYPERLINK("https://www.youtube.com/watch?v=z3kOpCtpj_g", "영상 보기 ▶")</f>
        <v/>
      </c>
    </row>
    <row r="789" ht="26" customHeight="1">
      <c r="A789" s="6" t="n">
        <v>788</v>
      </c>
      <c r="B789" s="7" t="inlineStr">
        <is>
          <t>총정리 16탄</t>
        </is>
      </c>
      <c r="C789" s="7" t="inlineStr">
        <is>
          <t>속단 금지</t>
        </is>
      </c>
      <c r="D789" s="8" t="inlineStr">
        <is>
          <t>Don't jump to conclusions</t>
        </is>
      </c>
      <c r="E789" s="12" t="inlineStr">
        <is>
          <t>섣불리 결론 내리지 마, 속단하지 마</t>
        </is>
      </c>
      <c r="F789" s="12" t="inlineStr">
        <is>
          <t>Let's gather all the facts before we jump to conclusions.</t>
        </is>
      </c>
      <c r="G789" s="12" t="inlineStr">
        <is>
          <t>섣불리 결론부터 내리지 말고 모든 사실관계를 먼저 파악합시다.</t>
        </is>
      </c>
      <c r="H789" s="9">
        <f>HYPERLINK("https://www.youtube.com/watch?v=z3kOpCtpj_g", "영상 보기 ▶")</f>
        <v/>
      </c>
    </row>
    <row r="790" ht="26" customHeight="1">
      <c r="A790" s="2" t="n">
        <v>789</v>
      </c>
      <c r="B790" s="3" t="inlineStr">
        <is>
          <t>총정리 16탄</t>
        </is>
      </c>
      <c r="C790" s="3" t="inlineStr">
        <is>
          <t>대화 참여</t>
        </is>
      </c>
      <c r="D790" s="4" t="inlineStr">
        <is>
          <t>jump in</t>
        </is>
      </c>
      <c r="E790" s="11" t="inlineStr">
        <is>
          <t>(대화나 토론에) 중간에 끼어들다, 참여하다</t>
        </is>
      </c>
      <c r="F790" s="11" t="inlineStr">
        <is>
          <t>Feel free to jump in if you have any insights to share.</t>
        </is>
      </c>
      <c r="G790" s="11" t="inlineStr">
        <is>
          <t>공유할 통찰이 있으시면 언제든지 편하게 대화에 끼어들어 주세요.</t>
        </is>
      </c>
      <c r="H790" s="5">
        <f>HYPERLINK("https://www.youtube.com/watch?v=z3kOpCtpj_g", "영상 보기 ▶")</f>
        <v/>
      </c>
    </row>
    <row r="791" ht="26" customHeight="1">
      <c r="A791" s="6" t="n">
        <v>790</v>
      </c>
      <c r="B791" s="7" t="inlineStr">
        <is>
          <t>총정리 16탄</t>
        </is>
      </c>
      <c r="C791" s="7" t="inlineStr">
        <is>
          <t>이해 불가</t>
        </is>
      </c>
      <c r="D791" s="8" t="inlineStr">
        <is>
          <t>lost (길/이해)</t>
        </is>
      </c>
      <c r="E791" s="12" t="inlineStr">
        <is>
          <t>① 길을 잃은 ② 무슨 말인지 도통 모르는</t>
        </is>
      </c>
      <c r="F791" s="12" t="inlineStr">
        <is>
          <t>You lost me at the complex algorithm part.</t>
        </is>
      </c>
      <c r="G791" s="12" t="inlineStr">
        <is>
          <t>복잡한 알고리즘 설명 부분부터는 무슨 말인지 도통 모르겠어.</t>
        </is>
      </c>
      <c r="H791" s="9">
        <f>HYPERLINK("https://www.youtube.com/watch?v=z3kOpCtpj_g", "영상 보기 ▶")</f>
        <v/>
      </c>
    </row>
    <row r="792" ht="26" customHeight="1">
      <c r="A792" s="2" t="n">
        <v>791</v>
      </c>
      <c r="B792" s="3" t="inlineStr">
        <is>
          <t>총정리 16탄</t>
        </is>
      </c>
      <c r="C792" s="3" t="inlineStr">
        <is>
          <t>손실/놓침</t>
        </is>
      </c>
      <c r="D792" s="4" t="inlineStr">
        <is>
          <t>lose</t>
        </is>
      </c>
      <c r="E792" s="11" t="inlineStr">
        <is>
          <t>잃어버리다, 놓치다, 패배하다</t>
        </is>
      </c>
      <c r="F792" s="11" t="inlineStr">
        <is>
          <t>We can't afford to lose this key account.</t>
        </is>
      </c>
      <c r="G792" s="11" t="inlineStr">
        <is>
          <t>우리는 이 핵심 고객사를 결코 잃어서는 안 됩니다.</t>
        </is>
      </c>
      <c r="H792" s="5">
        <f>HYPERLINK("https://www.youtube.com/watch?v=z3kOpCtpj_g", "영상 보기 ▶")</f>
        <v/>
      </c>
    </row>
    <row r="793" ht="26" customHeight="1">
      <c r="A793" s="6" t="n">
        <v>792</v>
      </c>
      <c r="B793" s="7" t="inlineStr">
        <is>
          <t>총정리 16탄</t>
        </is>
      </c>
      <c r="C793" s="7" t="inlineStr">
        <is>
          <t>최종 기한</t>
        </is>
      </c>
      <c r="D793" s="8" t="inlineStr">
        <is>
          <t>no later than / at the latest</t>
        </is>
      </c>
      <c r="E793" s="12" t="inlineStr">
        <is>
          <t>늦어도 ~까지는 반드시</t>
        </is>
      </c>
      <c r="F793" s="12" t="inlineStr">
        <is>
          <t>Submit your final expenses no later than Friday.</t>
        </is>
      </c>
      <c r="G793" s="12" t="inlineStr">
        <is>
          <t>늦어도 금요일까지는 최종 경비 청구서를 제출하세요.</t>
        </is>
      </c>
      <c r="H793" s="9">
        <f>HYPERLINK("https://www.youtube.com/watch?v=z3kOpCtpj_g", "영상 보기 ▶")</f>
        <v/>
      </c>
    </row>
    <row r="794" ht="26" customHeight="1">
      <c r="A794" s="2" t="n">
        <v>793</v>
      </c>
      <c r="B794" s="3" t="inlineStr">
        <is>
          <t>총정리 16탄</t>
        </is>
      </c>
      <c r="C794" s="3" t="inlineStr">
        <is>
          <t>정들다</t>
        </is>
      </c>
      <c r="D794" s="4" t="inlineStr">
        <is>
          <t>grow on</t>
        </is>
      </c>
      <c r="E794" s="11" t="inlineStr">
        <is>
          <t>(시간이 지나면서) 점점 마음에 들다, 정이 들다</t>
        </is>
      </c>
      <c r="F794" s="11" t="inlineStr">
        <is>
          <t>I didn't like the new design at first, but it's growing on me.</t>
        </is>
      </c>
      <c r="G794" s="11" t="inlineStr">
        <is>
          <t>처음엔 새 디자인이 별로였는데 볼수록 점점 마음에 들어.</t>
        </is>
      </c>
      <c r="H794" s="5">
        <f>HYPERLINK("https://www.youtube.com/watch?v=z3kOpCtpj_g", "영상 보기 ▶")</f>
        <v/>
      </c>
    </row>
    <row r="795" ht="26" customHeight="1">
      <c r="A795" s="6" t="n">
        <v>794</v>
      </c>
      <c r="B795" s="7" t="inlineStr">
        <is>
          <t>총정리 16탄</t>
        </is>
      </c>
      <c r="C795" s="7" t="inlineStr">
        <is>
          <t>약간/조금</t>
        </is>
      </c>
      <c r="D795" s="8" t="inlineStr">
        <is>
          <t>a bit</t>
        </is>
      </c>
      <c r="E795" s="12" t="inlineStr">
        <is>
          <t>약간, 조금 (a bit expensive/tired)</t>
        </is>
      </c>
      <c r="F795" s="12" t="inlineStr">
        <is>
          <t>I'm feeling a bit tired after the flight.</t>
        </is>
      </c>
      <c r="G795" s="12" t="inlineStr">
        <is>
          <t>비행기 타고 왔더니 약간 피곤하네.</t>
        </is>
      </c>
      <c r="H795" s="9">
        <f>HYPERLINK("https://www.youtube.com/watch?v=z3kOpCtpj_g", "영상 보기 ▶")</f>
        <v/>
      </c>
    </row>
    <row r="796" ht="26" customHeight="1">
      <c r="A796" s="2" t="n">
        <v>795</v>
      </c>
      <c r="B796" s="3" t="inlineStr">
        <is>
          <t>총정리 16탄</t>
        </is>
      </c>
      <c r="C796" s="3" t="inlineStr">
        <is>
          <t>더치페이</t>
        </is>
      </c>
      <c r="D796" s="4" t="inlineStr">
        <is>
          <t>split the bill</t>
        </is>
      </c>
      <c r="E796" s="11" t="inlineStr">
        <is>
          <t>(식사 후) 각자 몫을 나누어 계산하다</t>
        </is>
      </c>
      <c r="F796" s="11" t="inlineStr">
        <is>
          <t>Let's just split the bill evenly among us.</t>
        </is>
      </c>
      <c r="G796" s="11" t="inlineStr">
        <is>
          <t>계산서는 우리끼리 균등하게 각자 나눠서 냅시다.</t>
        </is>
      </c>
      <c r="H796" s="5">
        <f>HYPERLINK("https://www.youtube.com/watch?v=z3kOpCtpj_g", "영상 보기 ▶")</f>
        <v/>
      </c>
    </row>
    <row r="797" ht="26" customHeight="1">
      <c r="A797" s="6" t="n">
        <v>796</v>
      </c>
      <c r="B797" s="7" t="inlineStr">
        <is>
          <t>총정리 16탄</t>
        </is>
      </c>
      <c r="C797" s="7" t="inlineStr">
        <is>
          <t>전략 논의</t>
        </is>
      </c>
      <c r="D797" s="8" t="inlineStr">
        <is>
          <t>Let's talk strategy</t>
        </is>
      </c>
      <c r="E797" s="12" t="inlineStr">
        <is>
          <t>이제 본격적인 실행 전략을 논의해 봅시다</t>
        </is>
      </c>
      <c r="F797" s="12" t="inlineStr">
        <is>
          <t>We know our objective; now let's talk strategy.</t>
        </is>
      </c>
      <c r="G797" s="12" t="inlineStr">
        <is>
          <t>목표는 정해졌으니 이제 본격적인 실행 전략을 이야기합시다.</t>
        </is>
      </c>
      <c r="H797" s="9">
        <f>HYPERLINK("https://www.youtube.com/watch?v=z3kOpCtpj_g", "영상 보기 ▶")</f>
        <v/>
      </c>
    </row>
    <row r="798" ht="26" customHeight="1">
      <c r="A798" s="2" t="n">
        <v>797</v>
      </c>
      <c r="B798" s="3" t="inlineStr">
        <is>
          <t>총정리 16탄</t>
        </is>
      </c>
      <c r="C798" s="3" t="inlineStr">
        <is>
          <t>전략적 판단</t>
        </is>
      </c>
      <c r="D798" s="4" t="inlineStr">
        <is>
          <t>strategic</t>
        </is>
      </c>
      <c r="E798" s="11" t="inlineStr">
        <is>
          <t>전략적인, 치밀한 계획에 따른</t>
        </is>
      </c>
      <c r="F798" s="11" t="inlineStr">
        <is>
          <t>Partnering with local distributors was a strategic move.</t>
        </is>
      </c>
      <c r="G798" s="11" t="inlineStr">
        <is>
          <t>현지 유통업체들과 제휴한 것은 대단히 전략적인 선택이었습니다.</t>
        </is>
      </c>
      <c r="H798" s="5">
        <f>HYPERLINK("https://www.youtube.com/watch?v=z3kOpCtpj_g", "영상 보기 ▶")</f>
        <v/>
      </c>
    </row>
    <row r="799" ht="26" customHeight="1">
      <c r="A799" s="6" t="n">
        <v>798</v>
      </c>
      <c r="B799" s="7" t="inlineStr">
        <is>
          <t>총정리 16탄</t>
        </is>
      </c>
      <c r="C799" s="7" t="inlineStr">
        <is>
          <t>신중한 태도</t>
        </is>
      </c>
      <c r="D799" s="8" t="inlineStr">
        <is>
          <t>prudent</t>
        </is>
      </c>
      <c r="E799" s="12" t="inlineStr">
        <is>
          <t>신중한, 빈틈없는, 분별력 있는</t>
        </is>
      </c>
      <c r="F799" s="12" t="inlineStr">
        <is>
          <t>It's prudent to hold some emergency funds in reserve.</t>
        </is>
      </c>
      <c r="G799" s="12" t="inlineStr">
        <is>
          <t>비상 자금을 따로 비축해 두는 것이 현명하고 신중한 처사입니다.</t>
        </is>
      </c>
      <c r="H799" s="9">
        <f>HYPERLINK("https://www.youtube.com/watch?v=z3kOpCtpj_g", "영상 보기 ▶")</f>
        <v/>
      </c>
    </row>
    <row r="800" ht="26" customHeight="1">
      <c r="A800" s="2" t="n">
        <v>799</v>
      </c>
      <c r="B800" s="3" t="inlineStr">
        <is>
          <t>총정리 16탄</t>
        </is>
      </c>
      <c r="C800" s="3" t="inlineStr">
        <is>
          <t>실행 제반</t>
        </is>
      </c>
      <c r="D800" s="4" t="inlineStr">
        <is>
          <t>logistics</t>
        </is>
      </c>
      <c r="E800" s="11" t="inlineStr">
        <is>
          <t>실행 세부 계획, 물류 및 제반 운영 절차</t>
        </is>
      </c>
      <c r="F800" s="11" t="inlineStr">
        <is>
          <t>Who is responsible for the venue logistics?</t>
        </is>
      </c>
      <c r="G800" s="11" t="inlineStr">
        <is>
          <t>행사장 운영 제반 절차는 누가 담당하고 있나요?</t>
        </is>
      </c>
      <c r="H800" s="5">
        <f>HYPERLINK("https://www.youtube.com/watch?v=z3kOpCtpj_g", "영상 보기 ▶")</f>
        <v/>
      </c>
    </row>
    <row r="801" ht="26" customHeight="1">
      <c r="A801" s="6" t="n">
        <v>800</v>
      </c>
      <c r="B801" s="7" t="inlineStr">
        <is>
          <t>총정리 16탄</t>
        </is>
      </c>
      <c r="C801" s="7" t="inlineStr">
        <is>
          <t>신속 수락</t>
        </is>
      </c>
      <c r="D801" s="8" t="inlineStr">
        <is>
          <t>Will do</t>
        </is>
      </c>
      <c r="E801" s="12" t="inlineStr">
        <is>
          <t>네, 그렇게 조치하겠습니다! (신속한 수락)</t>
        </is>
      </c>
      <c r="F801" s="12" t="inlineStr">
        <is>
          <t>Please email me the report by 3 PM. - Will do!</t>
        </is>
      </c>
      <c r="G801" s="12" t="inlineStr">
        <is>
          <t>오후 3시까지 보고서 메일로 보내줘요. - 네, 그렇게 하겠습니다!</t>
        </is>
      </c>
      <c r="H801" s="9">
        <f>HYPERLINK("https://www.youtube.com/watch?v=z3kOpCtpj_g", "영상 보기 ▶")</f>
        <v/>
      </c>
    </row>
    <row r="802" ht="26" customHeight="1">
      <c r="A802" s="2" t="n">
        <v>801</v>
      </c>
      <c r="B802" s="3" t="inlineStr">
        <is>
          <t>총정리 17탄</t>
        </is>
      </c>
      <c r="C802" s="3" t="inlineStr">
        <is>
          <t>비교 우위</t>
        </is>
      </c>
      <c r="D802" s="4" t="inlineStr">
        <is>
          <t>outweigh</t>
        </is>
      </c>
      <c r="E802" s="11" t="inlineStr">
        <is>
          <t>(장점이나 가치가 단점보다) 더 크다, 능가하다</t>
        </is>
      </c>
      <c r="F802" s="11" t="inlineStr">
        <is>
          <t>The long-term benefits clearly outweigh the initial costs.</t>
        </is>
      </c>
      <c r="G802" s="11" t="inlineStr">
        <is>
          <t>장기적인 이익이 초기 투자 비용보다 훨씬 큽니다.</t>
        </is>
      </c>
      <c r="H802" s="5">
        <f>HYPERLINK("https://www.youtube.com/watch?v=PXK2iOIjICI", "영상 보기 ▶")</f>
        <v/>
      </c>
    </row>
    <row r="803" ht="26" customHeight="1">
      <c r="A803" s="6" t="n">
        <v>802</v>
      </c>
      <c r="B803" s="7" t="inlineStr">
        <is>
          <t>총정리 17탄</t>
        </is>
      </c>
      <c r="C803" s="7" t="inlineStr">
        <is>
          <t>의구심/거리낌</t>
        </is>
      </c>
      <c r="D803" s="8" t="inlineStr">
        <is>
          <t>reservations</t>
        </is>
      </c>
      <c r="E803" s="12" t="inlineStr">
        <is>
          <t>(어떤 결정에 대한) 일말의 의구심, 거리낌</t>
        </is>
      </c>
      <c r="F803" s="12" t="inlineStr">
        <is>
          <t>I still have a few reservations about changing our supplier.</t>
        </is>
      </c>
      <c r="G803" s="12" t="inlineStr">
        <is>
          <t>공급업체를 바꾸는 것에 대해 저는 아직 약간의 의구심이 있습니다.</t>
        </is>
      </c>
      <c r="H803" s="9">
        <f>HYPERLINK("https://www.youtube.com/watch?v=PXK2iOIjICI", "영상 보기 ▶")</f>
        <v/>
      </c>
    </row>
    <row r="804" ht="26" customHeight="1">
      <c r="A804" s="2" t="n">
        <v>803</v>
      </c>
      <c r="B804" s="3" t="inlineStr">
        <is>
          <t>총정리 17탄</t>
        </is>
      </c>
      <c r="C804" s="3" t="inlineStr">
        <is>
          <t>과묵함</t>
        </is>
      </c>
      <c r="D804" s="4" t="inlineStr">
        <is>
          <t>reserved</t>
        </is>
      </c>
      <c r="E804" s="11" t="inlineStr">
        <is>
          <t>(말을 아끼고) 과묵한, 내성적인</t>
        </is>
      </c>
      <c r="F804" s="11" t="inlineStr">
        <is>
          <t>He is quite reserved during meetings, but an insightful thinker.</t>
        </is>
      </c>
      <c r="G804" s="11" t="inlineStr">
        <is>
          <t>그는 회의 중엔 꽤 과묵하지만 대단히 통찰력 있는 사색가입니다.</t>
        </is>
      </c>
      <c r="H804" s="5">
        <f>HYPERLINK("https://www.youtube.com/watch?v=PXK2iOIjICI", "영상 보기 ▶")</f>
        <v/>
      </c>
    </row>
    <row r="805" ht="26" customHeight="1">
      <c r="A805" s="6" t="n">
        <v>804</v>
      </c>
      <c r="B805" s="7" t="inlineStr">
        <is>
          <t>총정리 17탄</t>
        </is>
      </c>
      <c r="C805" s="7" t="inlineStr">
        <is>
          <t>감 떨어짐</t>
        </is>
      </c>
      <c r="D805" s="8" t="inlineStr">
        <is>
          <t>rusty</t>
        </is>
      </c>
      <c r="E805" s="12" t="inlineStr">
        <is>
          <t>(한동안 안 써서) 녹슨, 실력이 무뎌진</t>
        </is>
      </c>
      <c r="F805" s="12" t="inlineStr">
        <is>
          <t>Excuse my pronunciation; my conversational English is a bit rusty.</t>
        </is>
      </c>
      <c r="G805" s="12" t="inlineStr">
        <is>
          <t>발음이 서툴러도 양해해 주세요, 영어 회화 감이 좀 무뎌져서요.</t>
        </is>
      </c>
      <c r="H805" s="9">
        <f>HYPERLINK("https://www.youtube.com/watch?v=PXK2iOIjICI", "영상 보기 ▶")</f>
        <v/>
      </c>
    </row>
    <row r="806" ht="26" customHeight="1">
      <c r="A806" s="2" t="n">
        <v>805</v>
      </c>
      <c r="B806" s="3" t="inlineStr">
        <is>
          <t>총정리 17탄</t>
        </is>
      </c>
      <c r="C806" s="3" t="inlineStr">
        <is>
          <t>기억 재생</t>
        </is>
      </c>
      <c r="D806" s="4" t="inlineStr">
        <is>
          <t>It's all coming back to me now</t>
        </is>
      </c>
      <c r="E806" s="11" t="inlineStr">
        <is>
          <t>이제 기억이 새록새록 다 다시 떠오르네!</t>
        </is>
      </c>
      <c r="F806" s="11" t="inlineStr">
        <is>
          <t>Once you explained the context, it's all coming back to me now.</t>
        </is>
      </c>
      <c r="G806" s="11" t="inlineStr">
        <is>
          <t>배경을 설명해 주시니 이제 기억이 새록새록 다 나네요!</t>
        </is>
      </c>
      <c r="H806" s="5">
        <f>HYPERLINK("https://www.youtube.com/watch?v=PXK2iOIjICI", "영상 보기 ▶")</f>
        <v/>
      </c>
    </row>
    <row r="807" ht="26" customHeight="1">
      <c r="A807" s="6" t="n">
        <v>806</v>
      </c>
      <c r="B807" s="7" t="inlineStr">
        <is>
          <t>총정리 17탄</t>
        </is>
      </c>
      <c r="C807" s="7" t="inlineStr">
        <is>
          <t>민폐 경계</t>
        </is>
      </c>
      <c r="D807" s="8" t="inlineStr">
        <is>
          <t>impose</t>
        </is>
      </c>
      <c r="E807" s="12" t="inlineStr">
        <is>
          <t>(타인에게) 민폐를 끼치다, 부담을 지우다</t>
        </is>
      </c>
      <c r="F807" s="12" t="inlineStr">
        <is>
          <t>I don't want to impose on your hospitality any longer.</t>
        </is>
      </c>
      <c r="G807" s="12" t="inlineStr">
        <is>
          <t>더 이상 당신의 호의에 폐를 끼치고 싶지 않습니다.</t>
        </is>
      </c>
      <c r="H807" s="9">
        <f>HYPERLINK("https://www.youtube.com/watch?v=PXK2iOIjICI", "영상 보기 ▶")</f>
        <v/>
      </c>
    </row>
    <row r="808" ht="26" customHeight="1">
      <c r="A808" s="2" t="n">
        <v>807</v>
      </c>
      <c r="B808" s="3" t="inlineStr">
        <is>
          <t>총정리 17탄</t>
        </is>
      </c>
      <c r="C808" s="3" t="inlineStr">
        <is>
          <t>안부 전달</t>
        </is>
      </c>
      <c r="D808" s="4" t="inlineStr">
        <is>
          <t>send one's regards</t>
        </is>
      </c>
      <c r="E808" s="11" t="inlineStr">
        <is>
          <t>~에게 안부를 전하다</t>
        </is>
      </c>
      <c r="F808" s="11" t="inlineStr">
        <is>
          <t>Please send my warmest regards to your family.</t>
        </is>
      </c>
      <c r="G808" s="11" t="inlineStr">
        <is>
          <t>가족분들에게 제 따뜻한 안부 꼭 전해 주세요.</t>
        </is>
      </c>
      <c r="H808" s="5">
        <f>HYPERLINK("https://www.youtube.com/watch?v=PXK2iOIjICI", "영상 보기 ▶")</f>
        <v/>
      </c>
    </row>
    <row r="809" ht="26" customHeight="1">
      <c r="A809" s="6" t="n">
        <v>808</v>
      </c>
      <c r="B809" s="7" t="inlineStr">
        <is>
          <t>총정리 17탄</t>
        </is>
      </c>
      <c r="C809" s="7" t="inlineStr">
        <is>
          <t>음질 확인</t>
        </is>
      </c>
      <c r="D809" s="8" t="inlineStr">
        <is>
          <t>Can you hear me okay?</t>
        </is>
      </c>
      <c r="E809" s="12" t="inlineStr">
        <is>
          <t>제 목소리 잘 들리시나요?</t>
        </is>
      </c>
      <c r="F809" s="12" t="inlineStr">
        <is>
          <t>Hi everyone, can you hear me okay on Zoom?</t>
        </is>
      </c>
      <c r="G809" s="12" t="inlineStr">
        <is>
          <t>여러분 안녕하세요, 줌에서 제 목소리 잘 들리시나요?</t>
        </is>
      </c>
      <c r="H809" s="9">
        <f>HYPERLINK("https://www.youtube.com/watch?v=PXK2iOIjICI", "영상 보기 ▶")</f>
        <v/>
      </c>
    </row>
    <row r="810" ht="26" customHeight="1">
      <c r="A810" s="2" t="n">
        <v>809</v>
      </c>
      <c r="B810" s="3" t="inlineStr">
        <is>
          <t>총정리 17탄</t>
        </is>
      </c>
      <c r="C810" s="3" t="inlineStr">
        <is>
          <t>임박</t>
        </is>
      </c>
      <c r="D810" s="4" t="inlineStr">
        <is>
          <t>shortly</t>
        </is>
      </c>
      <c r="E810" s="11" t="inlineStr">
        <is>
          <t>곧, 머지않아 (잠시 후)</t>
        </is>
      </c>
      <c r="F810" s="11" t="inlineStr">
        <is>
          <t>The webinar will commence shortly, please stand by.</t>
        </is>
      </c>
      <c r="G810" s="11" t="inlineStr">
        <is>
          <t>웨비나가 곧 시작될 예정이오니 잠시 대기해 주시기 바랍니다.</t>
        </is>
      </c>
      <c r="H810" s="5">
        <f>HYPERLINK("https://www.youtube.com/watch?v=PXK2iOIjICI", "영상 보기 ▶")</f>
        <v/>
      </c>
    </row>
    <row r="811" ht="26" customHeight="1">
      <c r="A811" s="6" t="n">
        <v>810</v>
      </c>
      <c r="B811" s="7" t="inlineStr">
        <is>
          <t>총정리 17탄</t>
        </is>
      </c>
      <c r="C811" s="7" t="inlineStr">
        <is>
          <t>본론 직행</t>
        </is>
      </c>
      <c r="D811" s="8" t="inlineStr">
        <is>
          <t>without further ado,</t>
        </is>
      </c>
      <c r="E811" s="12" t="inlineStr">
        <is>
          <t>더 이상의 긴 서두 없이 곧바로,</t>
        </is>
      </c>
      <c r="F811" s="12" t="inlineStr">
        <is>
          <t>Without further ado, let's welcome our keynote speaker.</t>
        </is>
      </c>
      <c r="G811" s="12" t="inlineStr">
        <is>
          <t>더 이상의 긴 서두 없이, 오늘의 기조연설자를 큰 박수로 모시겠습니다.</t>
        </is>
      </c>
      <c r="H811" s="9">
        <f>HYPERLINK("https://www.youtube.com/watch?v=PXK2iOIjICI", "영상 보기 ▶")</f>
        <v/>
      </c>
    </row>
    <row r="812" ht="26" customHeight="1">
      <c r="A812" s="2" t="n">
        <v>811</v>
      </c>
      <c r="B812" s="3" t="inlineStr">
        <is>
          <t>총정리 17탄</t>
        </is>
      </c>
      <c r="C812" s="3" t="inlineStr">
        <is>
          <t>전환 어구</t>
        </is>
      </c>
      <c r="D812" s="4" t="inlineStr">
        <is>
          <t>With that,</t>
        </is>
      </c>
      <c r="E812" s="11" t="inlineStr">
        <is>
          <t>그 말을 끝으로, 그 점을 감안하여,</t>
        </is>
      </c>
      <c r="F812" s="11" t="inlineStr">
        <is>
          <t>With that, I'd like to open the floor to questions.</t>
        </is>
      </c>
      <c r="G812" s="11" t="inlineStr">
        <is>
          <t>이것으로 제 발표를 마치고, 질문을 받도록 하겠습니다.</t>
        </is>
      </c>
      <c r="H812" s="5">
        <f>HYPERLINK("https://www.youtube.com/watch?v=PXK2iOIjICI", "영상 보기 ▶")</f>
        <v/>
      </c>
    </row>
    <row r="813" ht="26" customHeight="1">
      <c r="A813" s="6" t="n">
        <v>812</v>
      </c>
      <c r="B813" s="7" t="inlineStr">
        <is>
          <t>총정리 17탄</t>
        </is>
      </c>
      <c r="C813" s="7" t="inlineStr">
        <is>
          <t>합류</t>
        </is>
      </c>
      <c r="D813" s="8" t="inlineStr">
        <is>
          <t>join</t>
        </is>
      </c>
      <c r="E813" s="12" t="inlineStr">
        <is>
          <t>참석하다, 함께하다</t>
        </is>
      </c>
      <c r="F813" s="12" t="inlineStr">
        <is>
          <t>Thank you all for joining today's briefing.</t>
        </is>
      </c>
      <c r="G813" s="12" t="inlineStr">
        <is>
          <t>오늘 브리핑에 참석해 주신 모든 분께 감사드립니다.</t>
        </is>
      </c>
      <c r="H813" s="9">
        <f>HYPERLINK("https://www.youtube.com/watch?v=PXK2iOIjICI", "영상 보기 ▶")</f>
        <v/>
      </c>
    </row>
    <row r="814" ht="26" customHeight="1">
      <c r="A814" s="2" t="n">
        <v>813</v>
      </c>
      <c r="B814" s="3" t="inlineStr">
        <is>
          <t>총정리 17탄</t>
        </is>
      </c>
      <c r="C814" s="3" t="inlineStr">
        <is>
          <t>접속 끊김</t>
        </is>
      </c>
      <c r="D814" s="4" t="inlineStr">
        <is>
          <t>lose (연결 끊김)</t>
        </is>
      </c>
      <c r="E814" s="11" t="inlineStr">
        <is>
          <t>(화상/전화 회의에서 상대가) 접속이 끊기다</t>
        </is>
      </c>
      <c r="F814" s="11" t="inlineStr">
        <is>
          <t>I think we just lost David; his video froze.</t>
        </is>
      </c>
      <c r="G814" s="11" t="inlineStr">
        <is>
          <t>화면이 멈춘 걸 보니 데이비드 접속이 방금 끊긴 것 같아요.</t>
        </is>
      </c>
      <c r="H814" s="5">
        <f>HYPERLINK("https://www.youtube.com/watch?v=PXK2iOIjICI", "영상 보기 ▶")</f>
        <v/>
      </c>
    </row>
    <row r="815" ht="26" customHeight="1">
      <c r="A815" s="6" t="n">
        <v>814</v>
      </c>
      <c r="B815" s="7" t="inlineStr">
        <is>
          <t>총정리 17탄</t>
        </is>
      </c>
      <c r="C815" s="7" t="inlineStr">
        <is>
          <t>음성 끊김</t>
        </is>
      </c>
      <c r="D815" s="8" t="inlineStr">
        <is>
          <t>cut out</t>
        </is>
      </c>
      <c r="E815" s="12" t="inlineStr">
        <is>
          <t>(음성/마이크가) 뚝뚝 끊기다</t>
        </is>
      </c>
      <c r="F815" s="12" t="inlineStr">
        <is>
          <t>Could you repeat that? Your voice was cutting out.</t>
        </is>
      </c>
      <c r="G815" s="12" t="inlineStr">
        <is>
          <t>다시 말씀해 주시겠어요? 목소리가 뚝뚝 끊겨서 안 들렸어요.</t>
        </is>
      </c>
      <c r="H815" s="9">
        <f>HYPERLINK("https://www.youtube.com/watch?v=PXK2iOIjICI", "영상 보기 ▶")</f>
        <v/>
      </c>
    </row>
    <row r="816" ht="26" customHeight="1">
      <c r="A816" s="2" t="n">
        <v>815</v>
      </c>
      <c r="B816" s="3" t="inlineStr">
        <is>
          <t>총정리 17탄</t>
        </is>
      </c>
      <c r="C816" s="3" t="inlineStr">
        <is>
          <t>화면 띄우기</t>
        </is>
      </c>
      <c r="D816" s="4" t="inlineStr">
        <is>
          <t>pull up</t>
        </is>
      </c>
      <c r="E816" s="11" t="inlineStr">
        <is>
          <t>(화면/모니터에 자료를) 띄우다, 불러오다</t>
        </is>
      </c>
      <c r="F816" s="11" t="inlineStr">
        <is>
          <t>Let me pull up the sales figures on the screen.</t>
        </is>
      </c>
      <c r="G816" s="11" t="inlineStr">
        <is>
          <t>화면에 매출 수치 자료를 띄워 드리겠습니다.</t>
        </is>
      </c>
      <c r="H816" s="5">
        <f>HYPERLINK("https://www.youtube.com/watch?v=PXK2iOIjICI", "영상 보기 ▶")</f>
        <v/>
      </c>
    </row>
    <row r="817" ht="26" customHeight="1">
      <c r="A817" s="6" t="n">
        <v>816</v>
      </c>
      <c r="B817" s="7" t="inlineStr">
        <is>
          <t>총정리 17탄</t>
        </is>
      </c>
      <c r="C817" s="7" t="inlineStr">
        <is>
          <t>난처한 지목</t>
        </is>
      </c>
      <c r="D817" s="8" t="inlineStr">
        <is>
          <t>put (사람) on the spot</t>
        </is>
      </c>
      <c r="E817" s="12" t="inlineStr">
        <is>
          <t>(준비 안 된 상태에서) 곤란하게 불시에 질문을 던지다</t>
        </is>
      </c>
      <c r="F817" s="12" t="inlineStr">
        <is>
          <t>I didn't mean to put you on the spot in front of the team.</t>
        </is>
      </c>
      <c r="G817" s="12" t="inlineStr">
        <is>
          <t>팀원들 앞에서 너를 당황스럽게 곤경에 빠뜨리려던 건 아니었어.</t>
        </is>
      </c>
      <c r="H817" s="9">
        <f>HYPERLINK("https://www.youtube.com/watch?v=PXK2iOIjICI", "영상 보기 ▶")</f>
        <v/>
      </c>
    </row>
    <row r="818" ht="26" customHeight="1">
      <c r="A818" s="2" t="n">
        <v>817</v>
      </c>
      <c r="B818" s="3" t="inlineStr">
        <is>
          <t>총정리 17탄</t>
        </is>
      </c>
      <c r="C818" s="3" t="inlineStr">
        <is>
          <t>현황 보고</t>
        </is>
      </c>
      <c r="D818" s="4" t="inlineStr">
        <is>
          <t>give an update on ~</t>
        </is>
      </c>
      <c r="E818" s="11" t="inlineStr">
        <is>
          <t>~에 관한 최신 현황을 공유하다</t>
        </is>
      </c>
      <c r="F818" s="11" t="inlineStr">
        <is>
          <t>Can someone give an update on the website launch?</t>
        </is>
      </c>
      <c r="G818" s="11" t="inlineStr">
        <is>
          <t>웹사이트 출시 최신 진행 상황 브리핑해 주실 분 계신가요?</t>
        </is>
      </c>
      <c r="H818" s="5">
        <f>HYPERLINK("https://www.youtube.com/watch?v=PXK2iOIjICI", "영상 보기 ▶")</f>
        <v/>
      </c>
    </row>
    <row r="819" ht="26" customHeight="1">
      <c r="A819" s="6" t="n">
        <v>818</v>
      </c>
      <c r="B819" s="7" t="inlineStr">
        <is>
          <t>총정리 17탄</t>
        </is>
      </c>
      <c r="C819" s="7" t="inlineStr">
        <is>
          <t>조사/검토</t>
        </is>
      </c>
      <c r="D819" s="8" t="inlineStr">
        <is>
          <t>look into</t>
        </is>
      </c>
      <c r="E819" s="12" t="inlineStr">
        <is>
          <t>자세히 알아보다, 조사하다</t>
        </is>
      </c>
      <c r="F819" s="12" t="inlineStr">
        <is>
          <t>I'll look into the server issue right after this meeting.</t>
        </is>
      </c>
      <c r="G819" s="12" t="inlineStr">
        <is>
          <t>이번 회의 끝나는 대로 서버 문제를 면밀히 조사해 보겠습니다.</t>
        </is>
      </c>
      <c r="H819" s="9">
        <f>HYPERLINK("https://www.youtube.com/watch?v=PXK2iOIjICI", "영상 보기 ▶")</f>
        <v/>
      </c>
    </row>
    <row r="820" ht="26" customHeight="1">
      <c r="A820" s="2" t="n">
        <v>819</v>
      </c>
      <c r="B820" s="3" t="inlineStr">
        <is>
          <t>총정리 17탄</t>
        </is>
      </c>
      <c r="C820" s="3" t="inlineStr">
        <is>
          <t>정보 검색</t>
        </is>
      </c>
      <c r="D820" s="4" t="inlineStr">
        <is>
          <t>look up</t>
        </is>
      </c>
      <c r="E820" s="11" t="inlineStr">
        <is>
          <t>① 사전을 찾아보다 ② 상황이 나아지다</t>
        </is>
      </c>
      <c r="F820" s="11" t="inlineStr">
        <is>
          <t>Things are finally looking up for our startup.</t>
        </is>
      </c>
      <c r="G820" s="11" t="inlineStr">
        <is>
          <t>우리 스타트업 사업 상황이 드디어 호전되고 있어.</t>
        </is>
      </c>
      <c r="H820" s="5">
        <f>HYPERLINK("https://www.youtube.com/watch?v=PXK2iOIjICI", "영상 보기 ▶")</f>
        <v/>
      </c>
    </row>
    <row r="821" ht="26" customHeight="1">
      <c r="A821" s="6" t="n">
        <v>820</v>
      </c>
      <c r="B821" s="7" t="inlineStr">
        <is>
          <t>총정리 17탄</t>
        </is>
      </c>
      <c r="C821" s="7" t="inlineStr">
        <is>
          <t>용건 요약</t>
        </is>
      </c>
      <c r="D821" s="8" t="inlineStr">
        <is>
          <t>make it quick</t>
        </is>
      </c>
      <c r="E821" s="12" t="inlineStr">
        <is>
          <t>간단히 용건만 빨리 끝내다</t>
        </is>
      </c>
      <c r="F821" s="12" t="inlineStr">
        <is>
          <t>I have another call in five minutes, so please make it quick.</t>
        </is>
      </c>
      <c r="G821" s="12" t="inlineStr">
        <is>
          <t>5분 뒤에 다른 통화가 있으니 간단히 용건만 빠르게 부탁해요.</t>
        </is>
      </c>
      <c r="H821" s="9">
        <f>HYPERLINK("https://www.youtube.com/watch?v=PXK2iOIjICI", "영상 보기 ▶")</f>
        <v/>
      </c>
    </row>
    <row r="822" ht="26" customHeight="1">
      <c r="A822" s="2" t="n">
        <v>821</v>
      </c>
      <c r="B822" s="3" t="inlineStr">
        <is>
          <t>총정리 17탄</t>
        </is>
      </c>
      <c r="C822" s="3" t="inlineStr">
        <is>
          <t>마무리 인사</t>
        </is>
      </c>
      <c r="D822" s="4" t="inlineStr">
        <is>
          <t>That's it for today</t>
        </is>
      </c>
      <c r="E822" s="11" t="inlineStr">
        <is>
          <t>오늘 준비한 내용은 여기까지입니다</t>
        </is>
      </c>
      <c r="F822" s="11" t="inlineStr">
        <is>
          <t>That's it for today, everyone. Have a great evening!</t>
        </is>
      </c>
      <c r="G822" s="11" t="inlineStr">
        <is>
          <t>오늘 준비한 내용은 여기까지입니다. 모두 좋은 저녁 보내세요!</t>
        </is>
      </c>
      <c r="H822" s="5">
        <f>HYPERLINK("https://www.youtube.com/watch?v=PXK2iOIjICI", "영상 보기 ▶")</f>
        <v/>
      </c>
    </row>
    <row r="823" ht="26" customHeight="1">
      <c r="A823" s="6" t="n">
        <v>822</v>
      </c>
      <c r="B823" s="7" t="inlineStr">
        <is>
          <t>총정리 17탄</t>
        </is>
      </c>
      <c r="C823" s="7" t="inlineStr">
        <is>
          <t>정보 공유</t>
        </is>
      </c>
      <c r="D823" s="8" t="inlineStr">
        <is>
          <t>share</t>
        </is>
      </c>
      <c r="E823" s="12" t="inlineStr">
        <is>
          <t>(화면이나 의견을) 공유하다</t>
        </is>
      </c>
      <c r="F823" s="12" t="inlineStr">
        <is>
          <t>Let me share my screen with you.</t>
        </is>
      </c>
      <c r="G823" s="12" t="inlineStr">
        <is>
          <t>제 화면을 공유해 드리겠습니다.</t>
        </is>
      </c>
      <c r="H823" s="9">
        <f>HYPERLINK("https://www.youtube.com/watch?v=PXK2iOIjICI", "영상 보기 ▶")</f>
        <v/>
      </c>
    </row>
    <row r="824" ht="26" customHeight="1">
      <c r="A824" s="2" t="n">
        <v>823</v>
      </c>
      <c r="B824" s="3" t="inlineStr">
        <is>
          <t>총정리 17탄</t>
        </is>
      </c>
      <c r="C824" s="3" t="inlineStr">
        <is>
          <t>계절 스몰토크</t>
        </is>
      </c>
      <c r="D824" s="4" t="inlineStr">
        <is>
          <t>this time of year</t>
        </is>
      </c>
      <c r="E824" s="11" t="inlineStr">
        <is>
          <t>연중 이맘때쯤, 계절의 이 시기</t>
        </is>
      </c>
      <c r="F824" s="11" t="inlineStr">
        <is>
          <t>It rains quite often in Seattle around this time of year.</t>
        </is>
      </c>
      <c r="G824" s="11" t="inlineStr">
        <is>
          <t>연중 이맘때 시애틀에는 비가 꽤 자주 내립니다.</t>
        </is>
      </c>
      <c r="H824" s="5">
        <f>HYPERLINK("https://www.youtube.com/watch?v=PXK2iOIjICI", "영상 보기 ▶")</f>
        <v/>
      </c>
    </row>
    <row r="825" ht="26" customHeight="1">
      <c r="A825" s="6" t="n">
        <v>824</v>
      </c>
      <c r="B825" s="7" t="inlineStr">
        <is>
          <t>총정리 17탄</t>
        </is>
      </c>
      <c r="C825" s="7" t="inlineStr">
        <is>
          <t>새해 다짐</t>
        </is>
      </c>
      <c r="D825" s="8" t="inlineStr">
        <is>
          <t>New Year's resolution</t>
        </is>
      </c>
      <c r="E825" s="12" t="inlineStr">
        <is>
          <t>새해 결심, 새해 목표</t>
        </is>
      </c>
      <c r="F825" s="12" t="inlineStr">
        <is>
          <t>My New Year's resolution is to read one book every week.</t>
        </is>
      </c>
      <c r="G825" s="12" t="inlineStr">
        <is>
          <t>제 새해 결심은 매주 책 한 권씩 읽는 것입니다.</t>
        </is>
      </c>
      <c r="H825" s="9">
        <f>HYPERLINK("https://www.youtube.com/watch?v=PXK2iOIjICI", "영상 보기 ▶")</f>
        <v/>
      </c>
    </row>
    <row r="826" ht="26" customHeight="1">
      <c r="A826" s="2" t="n">
        <v>825</v>
      </c>
      <c r="B826" s="3" t="inlineStr">
        <is>
          <t>총정리 17탄</t>
        </is>
      </c>
      <c r="C826" s="3" t="inlineStr">
        <is>
          <t>시간 감탄</t>
        </is>
      </c>
      <c r="D826" s="4" t="inlineStr">
        <is>
          <t>Time flies</t>
        </is>
      </c>
      <c r="E826" s="11" t="inlineStr">
        <is>
          <t>시간 참 쏜살같이 빠르다!</t>
        </is>
      </c>
      <c r="F826" s="11" t="inlineStr">
        <is>
          <t>It's already December? Wow, time flies!</t>
        </is>
      </c>
      <c r="G826" s="11" t="inlineStr">
        <is>
          <t>벌써 12월이라고? 와, 시간 진짜 쏜살같이 빠르네!</t>
        </is>
      </c>
      <c r="H826" s="5">
        <f>HYPERLINK("https://www.youtube.com/watch?v=PXK2iOIjICI", "영상 보기 ▶")</f>
        <v/>
      </c>
    </row>
    <row r="827" ht="26" customHeight="1">
      <c r="A827" s="6" t="n">
        <v>826</v>
      </c>
      <c r="B827" s="7" t="inlineStr">
        <is>
          <t>총정리 17탄</t>
        </is>
      </c>
      <c r="C827" s="7" t="inlineStr">
        <is>
          <t>방한 당부</t>
        </is>
      </c>
      <c r="D827" s="8" t="inlineStr">
        <is>
          <t>Bundle up / Stay warm</t>
        </is>
      </c>
      <c r="E827" s="12" t="inlineStr">
        <is>
          <t>옷 따뜻하게 챙겨 입으세요! (겨울 인사)</t>
        </is>
      </c>
      <c r="F827" s="12" t="inlineStr">
        <is>
          <t>It's freezing outside; make sure you bundle up!</t>
        </is>
      </c>
      <c r="G827" s="12" t="inlineStr">
        <is>
          <t>밖이 영하로 꽁꽁 얼어붙었어요, 옷 꼭 따뜻하게 껴입으세요!</t>
        </is>
      </c>
      <c r="H827" s="9">
        <f>HYPERLINK("https://www.youtube.com/watch?v=PXK2iOIjICI", "영상 보기 ▶")</f>
        <v/>
      </c>
    </row>
    <row r="828" ht="26" customHeight="1">
      <c r="A828" s="2" t="n">
        <v>827</v>
      </c>
      <c r="B828" s="3" t="inlineStr">
        <is>
          <t>총정리 17탄</t>
        </is>
      </c>
      <c r="C828" s="3" t="inlineStr">
        <is>
          <t>뜻밖의 발견</t>
        </is>
      </c>
      <c r="D828" s="4" t="inlineStr">
        <is>
          <t>I didn't know ~</t>
        </is>
      </c>
      <c r="E828" s="11" t="inlineStr">
        <is>
          <t>~인 줄 미처 몰랐네! (스몰토크 호응)</t>
        </is>
      </c>
      <c r="F828" s="11" t="inlineStr">
        <is>
          <t>I didn't know you played the guitar so well!</t>
        </is>
      </c>
      <c r="G828" s="11" t="inlineStr">
        <is>
          <t>너 기타를 그렇게 잘 치는 줄 미처 몰랐네!</t>
        </is>
      </c>
      <c r="H828" s="5">
        <f>HYPERLINK("https://www.youtube.com/watch?v=PXK2iOIjICI", "영상 보기 ▶")</f>
        <v/>
      </c>
    </row>
    <row r="829" ht="26" customHeight="1">
      <c r="A829" s="6" t="n">
        <v>828</v>
      </c>
      <c r="B829" s="7" t="inlineStr">
        <is>
          <t>총정리 17탄</t>
        </is>
      </c>
      <c r="C829" s="7" t="inlineStr">
        <is>
          <t>완전 설득</t>
        </is>
      </c>
      <c r="D829" s="8" t="inlineStr">
        <is>
          <t>I'm sold</t>
        </is>
      </c>
      <c r="E829" s="12" t="inlineStr">
        <is>
          <t>나 완전 설득됐어! / 그거 대찬성이야!</t>
        </is>
      </c>
      <c r="F829" s="12" t="inlineStr">
        <is>
          <t>Unlimited cloud storage for that price? I'm sold!</t>
        </is>
      </c>
      <c r="G829" s="12" t="inlineStr">
        <is>
          <t>그 가격에 무제한 클라우드라고? 나 완전 설득됐어, 바로 결제할래!</t>
        </is>
      </c>
      <c r="H829" s="9">
        <f>HYPERLINK("https://www.youtube.com/watch?v=PXK2iOIjICI", "영상 보기 ▶")</f>
        <v/>
      </c>
    </row>
    <row r="830" ht="26" customHeight="1">
      <c r="A830" s="2" t="n">
        <v>829</v>
      </c>
      <c r="B830" s="3" t="inlineStr">
        <is>
          <t>총정리 17탄</t>
        </is>
      </c>
      <c r="C830" s="3" t="inlineStr">
        <is>
          <t>의구심</t>
        </is>
      </c>
      <c r="D830" s="4" t="inlineStr">
        <is>
          <t>I'm not sold on this</t>
        </is>
      </c>
      <c r="E830" s="11" t="inlineStr">
        <is>
          <t>난 이거 아직 설득이 안 돼, 미심쩍어</t>
        </is>
      </c>
      <c r="F830" s="11" t="inlineStr">
        <is>
          <t>The design looks modern, but I'm not sold on its functionality.</t>
        </is>
      </c>
      <c r="G830" s="11" t="inlineStr">
        <is>
          <t>디자인은 세련돼 보이는데, 실용성에 대해선 아직 납득이 안 가.</t>
        </is>
      </c>
      <c r="H830" s="5">
        <f>HYPERLINK("https://www.youtube.com/watch?v=PXK2iOIjICI", "영상 보기 ▶")</f>
        <v/>
      </c>
    </row>
    <row r="831" ht="26" customHeight="1">
      <c r="A831" s="6" t="n">
        <v>830</v>
      </c>
      <c r="B831" s="7" t="inlineStr">
        <is>
          <t>총정리 17탄</t>
        </is>
      </c>
      <c r="C831" s="7" t="inlineStr">
        <is>
          <t>불신</t>
        </is>
      </c>
      <c r="D831" s="8" t="inlineStr">
        <is>
          <t>I don't buy it</t>
        </is>
      </c>
      <c r="E831" s="12" t="inlineStr">
        <is>
          <t>그 말 안 믿어, 신빙성이 없어</t>
        </is>
      </c>
      <c r="F831" s="12" t="inlineStr">
        <is>
          <t>He said his alarm didn't go off, but I don't buy it.</t>
        </is>
      </c>
      <c r="G831" s="12" t="inlineStr">
        <is>
          <t>알람이 안 울렸다고 핑계를 대는데, 난 그 말 안 믿어.</t>
        </is>
      </c>
      <c r="H831" s="9">
        <f>HYPERLINK("https://www.youtube.com/watch?v=PXK2iOIjICI", "영상 보기 ▶")</f>
        <v/>
      </c>
    </row>
    <row r="832" ht="26" customHeight="1">
      <c r="A832" s="2" t="n">
        <v>831</v>
      </c>
      <c r="B832" s="3" t="inlineStr">
        <is>
          <t>총정리 17탄</t>
        </is>
      </c>
      <c r="C832" s="3" t="inlineStr">
        <is>
          <t>문제적 요인</t>
        </is>
      </c>
      <c r="D832" s="4" t="inlineStr">
        <is>
          <t>problematic</t>
        </is>
      </c>
      <c r="E832" s="11" t="inlineStr">
        <is>
          <t>문제가 있는, 골칫거리의</t>
        </is>
      </c>
      <c r="F832" s="11" t="inlineStr">
        <is>
          <t>His lack of punctuality has become increasingly problematic.</t>
        </is>
      </c>
      <c r="G832" s="11" t="inlineStr">
        <is>
          <t>그의 잦은 지각은 점점 더 심각한 문제거리가 되고 있습니다.</t>
        </is>
      </c>
      <c r="H832" s="5">
        <f>HYPERLINK("https://www.youtube.com/watch?v=PXK2iOIjICI", "영상 보기 ▶")</f>
        <v/>
      </c>
    </row>
    <row r="833" ht="26" customHeight="1">
      <c r="A833" s="6" t="n">
        <v>832</v>
      </c>
      <c r="B833" s="7" t="inlineStr">
        <is>
          <t>총정리 17탄</t>
        </is>
      </c>
      <c r="C833" s="7" t="inlineStr">
        <is>
          <t>첫인상</t>
        </is>
      </c>
      <c r="D833" s="8" t="inlineStr">
        <is>
          <t>strike (사람) as ~</t>
        </is>
      </c>
      <c r="E833" s="12" t="inlineStr">
        <is>
          <t>~에게 ...라는 인상을 주다</t>
        </is>
      </c>
      <c r="F833" s="12" t="inlineStr">
        <is>
          <t>He strikes me as a very reliable and honest manager.</t>
        </is>
      </c>
      <c r="G833" s="12" t="inlineStr">
        <is>
          <t>그는 대단히 신뢰할 수 있고 정직한 관리자라는 인상을 줍니다.</t>
        </is>
      </c>
      <c r="H833" s="9">
        <f>HYPERLINK("https://www.youtube.com/watch?v=PXK2iOIjICI", "영상 보기 ▶")</f>
        <v/>
      </c>
    </row>
    <row r="834" ht="26" customHeight="1">
      <c r="A834" s="2" t="n">
        <v>833</v>
      </c>
      <c r="B834" s="3" t="inlineStr">
        <is>
          <t>총정리 17탄</t>
        </is>
      </c>
      <c r="C834" s="3" t="inlineStr">
        <is>
          <t>집순이/집돌이</t>
        </is>
      </c>
      <c r="D834" s="4" t="inlineStr">
        <is>
          <t>homebody</t>
        </is>
      </c>
      <c r="E834" s="11" t="inlineStr">
        <is>
          <t>집에 있는 걸 좋아하는 사람, 집순이/집돌이</t>
        </is>
      </c>
      <c r="F834" s="11" t="inlineStr">
        <is>
          <t>On weekends, I'm a complete homebody; I rarely go out.</t>
        </is>
      </c>
      <c r="G834" s="11" t="inlineStr">
        <is>
          <t>주말에 난 완전 집순이야, 웬만해선 밖으로 안 나가.</t>
        </is>
      </c>
      <c r="H834" s="5">
        <f>HYPERLINK("https://www.youtube.com/watch?v=PXK2iOIjICI", "영상 보기 ▶")</f>
        <v/>
      </c>
    </row>
    <row r="835" ht="26" customHeight="1">
      <c r="A835" s="6" t="n">
        <v>834</v>
      </c>
      <c r="B835" s="7" t="inlineStr">
        <is>
          <t>총정리 17탄</t>
        </is>
      </c>
      <c r="C835" s="7" t="inlineStr">
        <is>
          <t>불행 중 다행</t>
        </is>
      </c>
      <c r="D835" s="8" t="inlineStr">
        <is>
          <t>silver lining</t>
        </is>
      </c>
      <c r="E835" s="12" t="inlineStr">
        <is>
          <t>(먹구름 뒤의) 한 줄기 빛, 불행 중 다행</t>
        </is>
      </c>
      <c r="F835" s="12" t="inlineStr">
        <is>
          <t>The flight was canceled, but the silver lining is extra rest.</t>
        </is>
      </c>
      <c r="G835" s="12" t="inlineStr">
        <is>
          <t>비행기가 결항됐지만, 불행 중 다행으로 푹 쉴 시간을 얻었어.</t>
        </is>
      </c>
      <c r="H835" s="9">
        <f>HYPERLINK("https://www.youtube.com/watch?v=PXK2iOIjICI", "영상 보기 ▶")</f>
        <v/>
      </c>
    </row>
    <row r="836" ht="26" customHeight="1">
      <c r="A836" s="2" t="n">
        <v>835</v>
      </c>
      <c r="B836" s="3" t="inlineStr">
        <is>
          <t>총정리 17탄</t>
        </is>
      </c>
      <c r="C836" s="3" t="inlineStr">
        <is>
          <t>첫 대면 인사</t>
        </is>
      </c>
      <c r="D836" s="4" t="inlineStr">
        <is>
          <t>It's nice to put a face to the voice</t>
        </is>
      </c>
      <c r="E836" s="11" t="inlineStr">
        <is>
          <t>목소리만 듣다가 직접 얼굴 뵈니 정말 반갑습니다</t>
        </is>
      </c>
      <c r="F836" s="11" t="inlineStr">
        <is>
          <t>We've emailed for months; it's so nice to put a face to the name.</t>
        </is>
      </c>
      <c r="G836" s="11" t="inlineStr">
        <is>
          <t>몇 달간 이메일만 나누다 직접 얼굴 뵈니 정말 반갑습니다.</t>
        </is>
      </c>
      <c r="H836" s="5">
        <f>HYPERLINK("https://www.youtube.com/watch?v=PXK2iOIjICI", "영상 보기 ▶")</f>
        <v/>
      </c>
    </row>
    <row r="837" ht="26" customHeight="1">
      <c r="A837" s="6" t="n">
        <v>836</v>
      </c>
      <c r="B837" s="7" t="inlineStr">
        <is>
          <t>총정리 17탄</t>
        </is>
      </c>
      <c r="C837" s="7" t="inlineStr">
        <is>
          <t>지인 관계</t>
        </is>
      </c>
      <c r="D837" s="8" t="inlineStr">
        <is>
          <t>acquaintance</t>
        </is>
      </c>
      <c r="E837" s="12" t="inlineStr">
        <is>
          <t>알고 지내는 사이, 안면이 있는 사람</t>
        </is>
      </c>
      <c r="F837" s="12" t="inlineStr">
        <is>
          <t>I made several new professional acquaintances at the expo.</t>
        </is>
      </c>
      <c r="G837" s="12" t="inlineStr">
        <is>
          <t>박람회에서 업계 쪽 아는 지인들을 여럿 만들었습니다.</t>
        </is>
      </c>
      <c r="H837" s="9">
        <f>HYPERLINK("https://www.youtube.com/watch?v=PXK2iOIjICI", "영상 보기 ▶")</f>
        <v/>
      </c>
    </row>
    <row r="838" ht="26" customHeight="1">
      <c r="A838" s="2" t="n">
        <v>837</v>
      </c>
      <c r="B838" s="3" t="inlineStr">
        <is>
          <t>총정리 17탄</t>
        </is>
      </c>
      <c r="C838" s="3" t="inlineStr">
        <is>
          <t>믿음직한 해결사</t>
        </is>
      </c>
      <c r="D838" s="4" t="inlineStr">
        <is>
          <t>go-to person</t>
        </is>
      </c>
      <c r="E838" s="11" t="inlineStr">
        <is>
          <t>문제가 생기면 가장 먼저 찾는 사람, 만능 해결사</t>
        </is>
      </c>
      <c r="F838" s="11" t="inlineStr">
        <is>
          <t>When it comes to Excel formulas, Tom is our go-to person.</t>
        </is>
      </c>
      <c r="G838" s="11" t="inlineStr">
        <is>
          <t>엑셀 함수에 관한 한 톰이 우리 부서의 만능 해결사야.</t>
        </is>
      </c>
      <c r="H838" s="5">
        <f>HYPERLINK("https://www.youtube.com/watch?v=PXK2iOIjICI", "영상 보기 ▶")</f>
        <v/>
      </c>
    </row>
    <row r="839" ht="26" customHeight="1">
      <c r="A839" s="6" t="n">
        <v>838</v>
      </c>
      <c r="B839" s="7" t="inlineStr">
        <is>
          <t>총정리 17탄</t>
        </is>
      </c>
      <c r="C839" s="7" t="inlineStr">
        <is>
          <t>회의 소집</t>
        </is>
      </c>
      <c r="D839" s="8" t="inlineStr">
        <is>
          <t>convene</t>
        </is>
      </c>
      <c r="E839" s="12" t="inlineStr">
        <is>
          <t>(공식 회의를) 소집하다</t>
        </is>
      </c>
      <c r="F839" s="12" t="inlineStr">
        <is>
          <t>The committee will convene next Tuesday at 10 AM.</t>
        </is>
      </c>
      <c r="G839" s="12" t="inlineStr">
        <is>
          <t>위원회는 다음 주 화요일 오전 10시에 소집될 예정입니다.</t>
        </is>
      </c>
      <c r="H839" s="9">
        <f>HYPERLINK("https://www.youtube.com/watch?v=PXK2iOIjICI", "영상 보기 ▶")</f>
        <v/>
      </c>
    </row>
    <row r="840" ht="26" customHeight="1">
      <c r="A840" s="2" t="n">
        <v>839</v>
      </c>
      <c r="B840" s="3" t="inlineStr">
        <is>
          <t>총정리 17탄</t>
        </is>
      </c>
      <c r="C840" s="3" t="inlineStr">
        <is>
          <t>회의 재개</t>
        </is>
      </c>
      <c r="D840" s="4" t="inlineStr">
        <is>
          <t>reconvene</t>
        </is>
      </c>
      <c r="E840" s="11" t="inlineStr">
        <is>
          <t>(잠시 정회 후) 회의를 다시 열다, 재개하다</t>
        </is>
      </c>
      <c r="F840" s="11" t="inlineStr">
        <is>
          <t>Let's take a 15-minute break and reconvene at 2:30.</t>
        </is>
      </c>
      <c r="G840" s="11" t="inlineStr">
        <is>
          <t>15분 휴식 후 2시 30분에 다시 모여 회의를 재개합시다.</t>
        </is>
      </c>
      <c r="H840" s="5">
        <f>HYPERLINK("https://www.youtube.com/watch?v=PXK2iOIjICI", "영상 보기 ▶")</f>
        <v/>
      </c>
    </row>
    <row r="841" ht="26" customHeight="1">
      <c r="A841" s="6" t="n">
        <v>840</v>
      </c>
      <c r="B841" s="7" t="inlineStr">
        <is>
          <t>총정리 17탄</t>
        </is>
      </c>
      <c r="C841" s="7" t="inlineStr">
        <is>
          <t>내일 첫 일과</t>
        </is>
      </c>
      <c r="D841" s="8" t="inlineStr">
        <is>
          <t>first thing tomorrow morning</t>
        </is>
      </c>
      <c r="E841" s="12" t="inlineStr">
        <is>
          <t>내일 아침 출근하자마자 맨 먼저</t>
        </is>
      </c>
      <c r="F841" s="12" t="inlineStr">
        <is>
          <t>I'll send you the revised draft first thing tomorrow morning.</t>
        </is>
      </c>
      <c r="G841" s="12" t="inlineStr">
        <is>
          <t>내일 아침 출근하자마자 수정 초안을 가장 먼저 보내드릴게요.</t>
        </is>
      </c>
      <c r="H841" s="9">
        <f>HYPERLINK("https://www.youtube.com/watch?v=PXK2iOIjICI", "영상 보기 ▶")</f>
        <v/>
      </c>
    </row>
    <row r="842" ht="26" customHeight="1">
      <c r="A842" s="2" t="n">
        <v>841</v>
      </c>
      <c r="B842" s="3" t="inlineStr">
        <is>
          <t>총정리 17탄</t>
        </is>
      </c>
      <c r="C842" s="3" t="inlineStr">
        <is>
          <t>간단한 확인</t>
        </is>
      </c>
      <c r="D842" s="4" t="inlineStr">
        <is>
          <t>touch base</t>
        </is>
      </c>
      <c r="E842" s="11" t="inlineStr">
        <is>
          <t>간단히 현황을 확인하다, 안부를 묻다</t>
        </is>
      </c>
      <c r="F842" s="11" t="inlineStr">
        <is>
          <t>I just wanted to touch base and see how the onboarding is going.</t>
        </is>
      </c>
      <c r="G842" s="11" t="inlineStr">
        <is>
          <t>신규 온보딩이 어떻게 잘 진행되고 있는지 간단히 확인차 연락드렸어요.</t>
        </is>
      </c>
      <c r="H842" s="5">
        <f>HYPERLINK("https://www.youtube.com/watch?v=PXK2iOIjICI", "영상 보기 ▶")</f>
        <v/>
      </c>
    </row>
    <row r="843" ht="26" customHeight="1">
      <c r="A843" s="6" t="n">
        <v>842</v>
      </c>
      <c r="B843" s="7" t="inlineStr">
        <is>
          <t>총정리 17탄</t>
        </is>
      </c>
      <c r="C843" s="7" t="inlineStr">
        <is>
          <t>비공식 단서</t>
        </is>
      </c>
      <c r="D843" s="8" t="inlineStr">
        <is>
          <t>Don't quote me on that</t>
        </is>
      </c>
      <c r="E843" s="12" t="inlineStr">
        <is>
          <t>내 말이 100% 정확한 건 아니니 장담하진 마세요</t>
        </is>
      </c>
      <c r="F843" s="12" t="inlineStr">
        <is>
          <t>The launch might be in June, but please don't quote me on that.</t>
        </is>
      </c>
      <c r="G843" s="12" t="inlineStr">
        <is>
          <t>출시가 6월일 수도 있지만, 제 말을 확정된 사실로 인용하진 마세요.</t>
        </is>
      </c>
      <c r="H843" s="9">
        <f>HYPERLINK("https://www.youtube.com/watch?v=PXK2iOIjICI", "영상 보기 ▶")</f>
        <v/>
      </c>
    </row>
    <row r="844" ht="26" customHeight="1">
      <c r="A844" s="2" t="n">
        <v>843</v>
      </c>
      <c r="B844" s="3" t="inlineStr">
        <is>
          <t>총정리 17탄</t>
        </is>
      </c>
      <c r="C844" s="3" t="inlineStr">
        <is>
          <t>인용/견적</t>
        </is>
      </c>
      <c r="D844" s="4" t="inlineStr">
        <is>
          <t>quote</t>
        </is>
      </c>
      <c r="E844" s="11" t="inlineStr">
        <is>
          <t>① 인용하다 ② (가격 견적을) 내다</t>
        </is>
      </c>
      <c r="F844" s="11" t="inlineStr">
        <is>
          <t>Can you give me an official price quote for bulk orders?</t>
        </is>
      </c>
      <c r="G844" s="11" t="inlineStr">
        <is>
          <t>대량 주문에 대한 공식 가격 견적서를 뽑아주실 수 있나요?</t>
        </is>
      </c>
      <c r="H844" s="5">
        <f>HYPERLINK("https://www.youtube.com/watch?v=PXK2iOIjICI", "영상 보기 ▶")</f>
        <v/>
      </c>
    </row>
    <row r="845" ht="26" customHeight="1">
      <c r="A845" s="6" t="n">
        <v>844</v>
      </c>
      <c r="B845" s="7" t="inlineStr">
        <is>
          <t>총정리 17탄</t>
        </is>
      </c>
      <c r="C845" s="7" t="inlineStr">
        <is>
          <t>시기상조</t>
        </is>
      </c>
      <c r="D845" s="8" t="inlineStr">
        <is>
          <t>premature</t>
        </is>
      </c>
      <c r="E845" s="12" t="inlineStr">
        <is>
          <t>너무 이른, 시기상조의</t>
        </is>
      </c>
      <c r="F845" s="12" t="inlineStr">
        <is>
          <t>Declaring victory right now would be highly premature.</t>
        </is>
      </c>
      <c r="G845" s="12" t="inlineStr">
        <is>
          <t>지금 승리를 선언하는 것은 대단히 시기상조입니다.</t>
        </is>
      </c>
      <c r="H845" s="9">
        <f>HYPERLINK("https://www.youtube.com/watch?v=PXK2iOIjICI", "영상 보기 ▶")</f>
        <v/>
      </c>
    </row>
    <row r="846" ht="26" customHeight="1">
      <c r="A846" s="2" t="n">
        <v>845</v>
      </c>
      <c r="B846" s="3" t="inlineStr">
        <is>
          <t>총정리 17탄</t>
        </is>
      </c>
      <c r="C846" s="3" t="inlineStr">
        <is>
          <t>시간문제</t>
        </is>
      </c>
      <c r="D846" s="4" t="inlineStr">
        <is>
          <t>It's just/only a matter of time</t>
        </is>
      </c>
      <c r="E846" s="11" t="inlineStr">
        <is>
          <t>그것은 단지 시간문제일 뿐이야</t>
        </is>
      </c>
      <c r="F846" s="11" t="inlineStr">
        <is>
          <t>With his talent, getting a big promotion is just a matter of time.</t>
        </is>
      </c>
      <c r="G846" s="11" t="inlineStr">
        <is>
          <t>그의 재능이라면 크게 승진하는 건 단지 시간문제일 뿐이야.</t>
        </is>
      </c>
      <c r="H846" s="5">
        <f>HYPERLINK("https://www.youtube.com/watch?v=PXK2iOIjICI", "영상 보기 ▶")</f>
        <v/>
      </c>
    </row>
    <row r="847" ht="26" customHeight="1">
      <c r="A847" s="6" t="n">
        <v>846</v>
      </c>
      <c r="B847" s="7" t="inlineStr">
        <is>
          <t>총정리 17탄</t>
        </is>
      </c>
      <c r="C847" s="7" t="inlineStr">
        <is>
          <t>관점의 차이</t>
        </is>
      </c>
      <c r="D847" s="8" t="inlineStr">
        <is>
          <t>It's a matter of perspective</t>
        </is>
      </c>
      <c r="E847" s="12" t="inlineStr">
        <is>
          <t>그건 어떤 관점으로 보느냐의 차이야</t>
        </is>
      </c>
      <c r="F847" s="12" t="inlineStr">
        <is>
          <t>Whether it's a crisis or an opportunity is a matter of perspective.</t>
        </is>
      </c>
      <c r="G847" s="12" t="inlineStr">
        <is>
          <t>이것이 위기인지 기회인지는 결국 관점의 차이입니다.</t>
        </is>
      </c>
      <c r="H847" s="9">
        <f>HYPERLINK("https://www.youtube.com/watch?v=PXK2iOIjICI", "영상 보기 ▶")</f>
        <v/>
      </c>
    </row>
    <row r="848" ht="26" customHeight="1">
      <c r="A848" s="2" t="n">
        <v>847</v>
      </c>
      <c r="B848" s="3" t="inlineStr">
        <is>
          <t>총정리 17탄</t>
        </is>
      </c>
      <c r="C848" s="3" t="inlineStr">
        <is>
          <t>화제 전환</t>
        </is>
      </c>
      <c r="D848" s="4" t="inlineStr">
        <is>
          <t>Speaking of ~</t>
        </is>
      </c>
      <c r="E848" s="11" t="inlineStr">
        <is>
          <t>~ 이야기가 나와서 말인데,</t>
        </is>
      </c>
      <c r="F848" s="11" t="inlineStr">
        <is>
          <t>Speaking of birthdays, what are your plans for Friday?</t>
        </is>
      </c>
      <c r="G848" s="11" t="inlineStr">
        <is>
          <t>생일 얘기가 나와서 말인데, 이번 주 금요일에 무슨 계획 있어?</t>
        </is>
      </c>
      <c r="H848" s="5">
        <f>HYPERLINK("https://www.youtube.com/watch?v=PXK2iOIjICI", "영상 보기 ▶")</f>
        <v/>
      </c>
    </row>
    <row r="849" ht="26" customHeight="1">
      <c r="A849" s="6" t="n">
        <v>848</v>
      </c>
      <c r="B849" s="7" t="inlineStr">
        <is>
          <t>총정리 17탄</t>
        </is>
      </c>
      <c r="C849" s="7" t="inlineStr">
        <is>
          <t>불명확함</t>
        </is>
      </c>
      <c r="D849" s="8" t="inlineStr">
        <is>
          <t>fuzzy</t>
        </is>
      </c>
      <c r="E849" s="12" t="inlineStr">
        <is>
          <t>(기억이나 생각이) 흐릿한, 모호한</t>
        </is>
      </c>
      <c r="F849" s="12" t="inlineStr">
        <is>
          <t>My recollection of that incident is a bit fuzzy.</t>
        </is>
      </c>
      <c r="G849" s="12" t="inlineStr">
        <is>
          <t>그 사건에 대한 내 기억이 다소 흐릿하고 가물가물해.</t>
        </is>
      </c>
      <c r="H849" s="9">
        <f>HYPERLINK("https://www.youtube.com/watch?v=PXK2iOIjICI", "영상 보기 ▶")</f>
        <v/>
      </c>
    </row>
    <row r="850" ht="26" customHeight="1">
      <c r="A850" s="2" t="n">
        <v>849</v>
      </c>
      <c r="B850" s="3" t="inlineStr">
        <is>
          <t>총정리 17탄</t>
        </is>
      </c>
      <c r="C850" s="3" t="inlineStr">
        <is>
          <t>마음 따스함</t>
        </is>
      </c>
      <c r="D850" s="4" t="inlineStr">
        <is>
          <t>warm and fuzzy</t>
        </is>
      </c>
      <c r="E850" s="11" t="inlineStr">
        <is>
          <t>마음이 훈훈하고 몽글몽글해지는</t>
        </is>
      </c>
      <c r="F850" s="11" t="inlineStr">
        <is>
          <t>Seeing their family reunion gave me that warm and fuzzy feeling.</t>
        </is>
      </c>
      <c r="G850" s="11" t="inlineStr">
        <is>
          <t>그들의 가족 상봉을 보니 마음이 훈훈하고 몽글몽글해졌어.</t>
        </is>
      </c>
      <c r="H850" s="5">
        <f>HYPERLINK("https://www.youtube.com/watch?v=PXK2iOIjICI", "영상 보기 ▶")</f>
        <v/>
      </c>
    </row>
    <row r="851" ht="26" customHeight="1">
      <c r="A851" s="6" t="n">
        <v>850</v>
      </c>
      <c r="B851" s="7" t="inlineStr">
        <is>
          <t>총정리 17탄</t>
        </is>
      </c>
      <c r="C851" s="7" t="inlineStr">
        <is>
          <t>격한 감사</t>
        </is>
      </c>
      <c r="D851" s="8" t="inlineStr">
        <is>
          <t>You're a lifesaver!</t>
        </is>
      </c>
      <c r="E851" s="12" t="inlineStr">
        <is>
          <t>너 덕분에 살았다! 진짜 생명의 은인이야!</t>
        </is>
      </c>
      <c r="F851" s="12" t="inlineStr">
        <is>
          <t>Thank you for lending me your car; you're a true lifesaver!</t>
        </is>
      </c>
      <c r="G851" s="12" t="inlineStr">
        <is>
          <t>차 빌려줘서 정말 고마워, 너 진짜 내 생명의 은인이야!</t>
        </is>
      </c>
      <c r="H851" s="9">
        <f>HYPERLINK("https://www.youtube.com/watch?v=PXK2iOIjICI", "영상 보기 ▶")</f>
        <v/>
      </c>
    </row>
    <row r="852" ht="26" customHeight="1">
      <c r="A852" s="2" t="n">
        <v>851</v>
      </c>
      <c r="B852" s="3" t="inlineStr">
        <is>
          <t>총정리 18탄</t>
        </is>
      </c>
      <c r="C852" s="3" t="inlineStr">
        <is>
          <t>무미건조</t>
        </is>
      </c>
      <c r="D852" s="4" t="inlineStr">
        <is>
          <t>dull</t>
        </is>
      </c>
      <c r="E852" s="11" t="inlineStr">
        <is>
          <t>지루한, 따분한, 흐릿한</t>
        </is>
      </c>
      <c r="F852" s="11" t="inlineStr">
        <is>
          <t>There's never a dull moment in our customer support team.</t>
        </is>
      </c>
      <c r="G852" s="11" t="inlineStr">
        <is>
          <t>우리 고객 지원팀에는 단 1초도 지루할 틈이 없어.</t>
        </is>
      </c>
      <c r="H852" s="5">
        <f>HYPERLINK("https://www.youtube.com/watch?v=twFCjBMtIXA", "영상 보기 ▶")</f>
        <v/>
      </c>
    </row>
    <row r="853" ht="26" customHeight="1">
      <c r="A853" s="6" t="n">
        <v>852</v>
      </c>
      <c r="B853" s="7" t="inlineStr">
        <is>
          <t>총정리 18탄</t>
        </is>
      </c>
      <c r="C853" s="7" t="inlineStr">
        <is>
          <t>법적 무효</t>
        </is>
      </c>
      <c r="D853" s="8" t="inlineStr">
        <is>
          <t>null and void</t>
        </is>
      </c>
      <c r="E853" s="12" t="inlineStr">
        <is>
          <t>법적 효력이 없는, 무효인</t>
        </is>
      </c>
      <c r="F853" s="12" t="inlineStr">
        <is>
          <t>Without authorized signatures, this contract is null and void.</t>
        </is>
      </c>
      <c r="G853" s="12" t="inlineStr">
        <is>
          <t>권한 있는 서명이 없으면 이 계약서는 법적으로 완전히 무효입니다.</t>
        </is>
      </c>
      <c r="H853" s="9">
        <f>HYPERLINK("https://www.youtube.com/watch?v=twFCjBMtIXA", "영상 보기 ▶")</f>
        <v/>
      </c>
    </row>
    <row r="854" ht="26" customHeight="1">
      <c r="A854" s="2" t="n">
        <v>853</v>
      </c>
      <c r="B854" s="3" t="inlineStr">
        <is>
          <t>총정리 18탄</t>
        </is>
      </c>
      <c r="C854" s="3" t="inlineStr">
        <is>
          <t>치밀한 계획</t>
        </is>
      </c>
      <c r="D854" s="4" t="inlineStr">
        <is>
          <t>well-thought-out</t>
        </is>
      </c>
      <c r="E854" s="11" t="inlineStr">
        <is>
          <t>심사숙고한, 치밀하게 잘 짜인</t>
        </is>
      </c>
      <c r="F854" s="11" t="inlineStr">
        <is>
          <t>The proposal was well-thought-out and addressed all risks.</t>
        </is>
      </c>
      <c r="G854" s="11" t="inlineStr">
        <is>
          <t>그 제안서는 대단히 치밀하게 잘 짜였고 모든 위험 요소를 다루었습니다.</t>
        </is>
      </c>
      <c r="H854" s="5">
        <f>HYPERLINK("https://www.youtube.com/watch?v=twFCjBMtIXA", "영상 보기 ▶")</f>
        <v/>
      </c>
    </row>
    <row r="855" ht="26" customHeight="1">
      <c r="A855" s="6" t="n">
        <v>854</v>
      </c>
      <c r="B855" s="7" t="inlineStr">
        <is>
          <t>총정리 18탄</t>
        </is>
      </c>
      <c r="C855" s="7" t="inlineStr">
        <is>
          <t>신속 메모</t>
        </is>
      </c>
      <c r="D855" s="8" t="inlineStr">
        <is>
          <t>jot down</t>
        </is>
      </c>
      <c r="E855" s="12" t="inlineStr">
        <is>
          <t>(잊지 않게) 재빨리 간략히 적어두다</t>
        </is>
      </c>
      <c r="F855" s="12" t="inlineStr">
        <is>
          <t>Let me quickly jot down your phone number before I forget.</t>
        </is>
      </c>
      <c r="G855" s="12" t="inlineStr">
        <is>
          <t>잊어버리기 전에 당신 전화번호를 얼른 메모해 둘게요.</t>
        </is>
      </c>
      <c r="H855" s="9">
        <f>HYPERLINK("https://www.youtube.com/watch?v=twFCjBMtIXA", "영상 보기 ▶")</f>
        <v/>
      </c>
    </row>
    <row r="856" ht="26" customHeight="1">
      <c r="A856" s="2" t="n">
        <v>855</v>
      </c>
      <c r="B856" s="3" t="inlineStr">
        <is>
          <t>총정리 18탄</t>
        </is>
      </c>
      <c r="C856" s="3" t="inlineStr">
        <is>
          <t>마지막 승부수</t>
        </is>
      </c>
      <c r="D856" s="4" t="inlineStr">
        <is>
          <t>Hail Mary</t>
        </is>
      </c>
      <c r="E856" s="11" t="inlineStr">
        <is>
          <t>절체절명의 마지막 승부수, 필사의 시도</t>
        </is>
      </c>
      <c r="F856" s="11" t="inlineStr">
        <is>
          <t>Launching this discounted product was our company's Hail Mary.</t>
        </is>
      </c>
      <c r="G856" s="11" t="inlineStr">
        <is>
          <t>이 할인 제품을 출시한 것은 우리 회사의 절체절명의 마지막 승부수였어.</t>
        </is>
      </c>
      <c r="H856" s="5">
        <f>HYPERLINK("https://www.youtube.com/watch?v=twFCjBMtIXA", "영상 보기 ▶")</f>
        <v/>
      </c>
    </row>
    <row r="857" ht="26" customHeight="1">
      <c r="A857" s="6" t="n">
        <v>856</v>
      </c>
      <c r="B857" s="7" t="inlineStr">
        <is>
          <t>총정리 18탄</t>
        </is>
      </c>
      <c r="C857" s="7" t="inlineStr">
        <is>
          <t>임시 일정</t>
        </is>
      </c>
      <c r="D857" s="8" t="inlineStr">
        <is>
          <t>pencil in</t>
        </is>
      </c>
      <c r="E857" s="12" t="inlineStr">
        <is>
          <t>일단 임시로 일정을 잡아두다</t>
        </is>
      </c>
      <c r="F857" s="12" t="inlineStr">
        <is>
          <t>Let's pencil in a lunch meeting for next Thursday.</t>
        </is>
      </c>
      <c r="G857" s="12" t="inlineStr">
        <is>
          <t>다음 주 목요일로 점심 미팅 일정을 일단 잠정적으로 잡아둡시다.</t>
        </is>
      </c>
      <c r="H857" s="9">
        <f>HYPERLINK("https://www.youtube.com/watch?v=twFCjBMtIXA", "영상 보기 ▶")</f>
        <v/>
      </c>
    </row>
    <row r="858" ht="26" customHeight="1">
      <c r="A858" s="2" t="n">
        <v>857</v>
      </c>
      <c r="B858" s="3" t="inlineStr">
        <is>
          <t>총정리 18탄</t>
        </is>
      </c>
      <c r="C858" s="3" t="inlineStr">
        <is>
          <t>불변/확정</t>
        </is>
      </c>
      <c r="D858" s="4" t="inlineStr">
        <is>
          <t>set in stone</t>
        </is>
      </c>
      <c r="E858" s="11" t="inlineStr">
        <is>
          <t>돌에 새겨진 듯 바꿀 수 없는, 확정된</t>
        </is>
      </c>
      <c r="F858" s="11" t="inlineStr">
        <is>
          <t>These are preliminary ideas; nothing is set in stone yet.</t>
        </is>
      </c>
      <c r="G858" s="11" t="inlineStr">
        <is>
          <t>이것들은 예비 아이디어일 뿐이며, 아직 어떤 것도 확정된 건 없습니다.</t>
        </is>
      </c>
      <c r="H858" s="5">
        <f>HYPERLINK("https://www.youtube.com/watch?v=twFCjBMtIXA", "영상 보기 ▶")</f>
        <v/>
      </c>
    </row>
    <row r="859" ht="26" customHeight="1">
      <c r="A859" s="6" t="n">
        <v>858</v>
      </c>
      <c r="B859" s="7" t="inlineStr">
        <is>
          <t>총정리 18탄</t>
        </is>
      </c>
      <c r="C859" s="7" t="inlineStr">
        <is>
          <t>요약 브리핑</t>
        </is>
      </c>
      <c r="D859" s="8" t="inlineStr">
        <is>
          <t>rundown</t>
        </is>
      </c>
      <c r="E859" s="12" t="inlineStr">
        <is>
          <t>간단한 요약 설명, 브리핑</t>
        </is>
      </c>
      <c r="F859" s="12" t="inlineStr">
        <is>
          <t>Could you give me a quick rundown of what happened in the meeting?</t>
        </is>
      </c>
      <c r="G859" s="12" t="inlineStr">
        <is>
          <t>오늘 회의에서 무슨 논의가 있었는지 간단히 요약 브리핑해 주실 수 있나요?</t>
        </is>
      </c>
      <c r="H859" s="9">
        <f>HYPERLINK("https://www.youtube.com/watch?v=twFCjBMtIXA", "영상 보기 ▶")</f>
        <v/>
      </c>
    </row>
    <row r="860" ht="26" customHeight="1">
      <c r="A860" s="2" t="n">
        <v>859</v>
      </c>
      <c r="B860" s="3" t="inlineStr">
        <is>
          <t>총정리 18탄</t>
        </is>
      </c>
      <c r="C860" s="3" t="inlineStr">
        <is>
          <t>여력/역량</t>
        </is>
      </c>
      <c r="D860" s="4" t="inlineStr">
        <is>
          <t>bandwidth</t>
        </is>
      </c>
      <c r="E860" s="11" t="inlineStr">
        <is>
          <t>(정신적/시간적) 여유, 처리 역량</t>
        </is>
      </c>
      <c r="F860" s="11" t="inlineStr">
        <is>
          <t>I'd love to help, but I just don't have the bandwidth this week.</t>
        </is>
      </c>
      <c r="G860" s="11" t="inlineStr">
        <is>
          <t>도와드리고 싶지만 이번 주엔 제가 시간적/정신적 여력이 도저히 안 돼요.</t>
        </is>
      </c>
      <c r="H860" s="5">
        <f>HYPERLINK("https://www.youtube.com/watch?v=twFCjBMtIXA", "영상 보기 ▶")</f>
        <v/>
      </c>
    </row>
    <row r="861" ht="26" customHeight="1">
      <c r="A861" s="6" t="n">
        <v>860</v>
      </c>
      <c r="B861" s="7" t="inlineStr">
        <is>
          <t>총정리 18탄</t>
        </is>
      </c>
      <c r="C861" s="7" t="inlineStr">
        <is>
          <t>부담 덜어주기</t>
        </is>
      </c>
      <c r="D861" s="8" t="inlineStr">
        <is>
          <t>take (대상) off your plate</t>
        </is>
      </c>
      <c r="E861" s="12" t="inlineStr">
        <is>
          <t>(상대의 부담을 덜어주려) 일감을 대신 맡아주다</t>
        </is>
      </c>
      <c r="F861" s="12" t="inlineStr">
        <is>
          <t>Let me take that report formatting off your plate.</t>
        </is>
      </c>
      <c r="G861" s="12" t="inlineStr">
        <is>
          <t>그 보고서 서식 정리 작업은 제가 맡아서 짐을 덜어드릴게요.</t>
        </is>
      </c>
      <c r="H861" s="9">
        <f>HYPERLINK("https://www.youtube.com/watch?v=twFCjBMtIXA", "영상 보기 ▶")</f>
        <v/>
      </c>
    </row>
    <row r="862" ht="26" customHeight="1">
      <c r="A862" s="2" t="n">
        <v>861</v>
      </c>
      <c r="B862" s="3" t="inlineStr">
        <is>
          <t>총정리 18탄</t>
        </is>
      </c>
      <c r="C862" s="3" t="inlineStr">
        <is>
          <t>시간 배려</t>
        </is>
      </c>
      <c r="D862" s="4" t="inlineStr">
        <is>
          <t>I won't take up too much of your time</t>
        </is>
      </c>
      <c r="E862" s="11" t="inlineStr">
        <is>
          <t>시간 많이 뺏지 않겠습니다</t>
        </is>
      </c>
      <c r="F862" s="11" t="inlineStr">
        <is>
          <t>I have just two questions; I won't take up too much of your time.</t>
        </is>
      </c>
      <c r="G862" s="11" t="inlineStr">
        <is>
          <t>질문 딱 두 가지만 드릴게요, 시간 많이 안 뺏겠습니다.</t>
        </is>
      </c>
      <c r="H862" s="5">
        <f>HYPERLINK("https://www.youtube.com/watch?v=twFCjBMtIXA", "영상 보기 ▶")</f>
        <v/>
      </c>
    </row>
    <row r="863" ht="26" customHeight="1">
      <c r="A863" s="6" t="n">
        <v>862</v>
      </c>
      <c r="B863" s="7" t="inlineStr">
        <is>
          <t>총정리 18탄</t>
        </is>
      </c>
      <c r="C863" s="7" t="inlineStr">
        <is>
          <t>시간 소요</t>
        </is>
      </c>
      <c r="D863" s="8" t="inlineStr">
        <is>
          <t>take a while</t>
        </is>
      </c>
      <c r="E863" s="12" t="inlineStr">
        <is>
          <t>시간이 제법 걸리다</t>
        </is>
      </c>
      <c r="F863" s="12" t="inlineStr">
        <is>
          <t>Reviewing all these financial records will take a while.</t>
        </is>
      </c>
      <c r="G863" s="12" t="inlineStr">
        <is>
          <t>이 모든 재무 기록들을 다 검토하려면 시간이 제법 걸릴 거예요.</t>
        </is>
      </c>
      <c r="H863" s="9">
        <f>HYPERLINK("https://www.youtube.com/watch?v=twFCjBMtIXA", "영상 보기 ▶")</f>
        <v/>
      </c>
    </row>
    <row r="864" ht="26" customHeight="1">
      <c r="A864" s="2" t="n">
        <v>863</v>
      </c>
      <c r="B864" s="3" t="inlineStr">
        <is>
          <t>총정리 18탄</t>
        </is>
      </c>
      <c r="C864" s="3" t="inlineStr">
        <is>
          <t>대타/대체</t>
        </is>
      </c>
      <c r="D864" s="4" t="inlineStr">
        <is>
          <t>fill in for (사람)</t>
        </is>
      </c>
      <c r="E864" s="11" t="inlineStr">
        <is>
          <t>~의 빈자리를 대신하여 대타를 뛰다</t>
        </is>
      </c>
      <c r="F864" s="11" t="inlineStr">
        <is>
          <t>Can you fill in for Mike while he's on paternity leave?</t>
        </is>
      </c>
      <c r="G864" s="11" t="inlineStr">
        <is>
          <t>마이크가 육아휴직 중인 동안 대신 그 역할을 맡아줄 수 있나요?</t>
        </is>
      </c>
      <c r="H864" s="5">
        <f>HYPERLINK("https://www.youtube.com/watch?v=twFCjBMtIXA", "영상 보기 ▶")</f>
        <v/>
      </c>
    </row>
    <row r="865" ht="26" customHeight="1">
      <c r="A865" s="6" t="n">
        <v>864</v>
      </c>
      <c r="B865" s="7" t="inlineStr">
        <is>
          <t>총정리 18탄</t>
        </is>
      </c>
      <c r="C865" s="7" t="inlineStr">
        <is>
          <t>내용 공유</t>
        </is>
      </c>
      <c r="D865" s="8" t="inlineStr">
        <is>
          <t>fill (사람) in on ~</t>
        </is>
      </c>
      <c r="E865" s="12" t="inlineStr">
        <is>
          <t>~에게 ...에 관한 자세한 내용을 알려주다</t>
        </is>
      </c>
      <c r="F865" s="12" t="inlineStr">
        <is>
          <t>Please fill me in on what the client discussed yesterday.</t>
        </is>
      </c>
      <c r="G865" s="12" t="inlineStr">
        <is>
          <t>어제 고객사와 어떤 이야기를 나누었는지 자세히 공유해 주세요.</t>
        </is>
      </c>
      <c r="H865" s="9">
        <f>HYPERLINK("https://www.youtube.com/watch?v=twFCjBMtIXA", "영상 보기 ▶")</f>
        <v/>
      </c>
    </row>
    <row r="866" ht="26" customHeight="1">
      <c r="A866" s="2" t="n">
        <v>865</v>
      </c>
      <c r="B866" s="3" t="inlineStr">
        <is>
          <t>총정리 18탄</t>
        </is>
      </c>
      <c r="C866" s="3" t="inlineStr">
        <is>
          <t>용납 불가</t>
        </is>
      </c>
      <c r="D866" s="4" t="inlineStr">
        <is>
          <t>That's not gonna fly</t>
        </is>
      </c>
      <c r="E866" s="11" t="inlineStr">
        <is>
          <t>그런 식은 전혀 안 통해 / 절대 용납 안 돼</t>
        </is>
      </c>
      <c r="F866" s="11" t="inlineStr">
        <is>
          <t>Submitting poor quality work is not gonna fly with this client.</t>
        </is>
      </c>
      <c r="G866" s="11" t="inlineStr">
        <is>
          <t>이런 형편없는 결과물을 내는 건 이 고객사에게 절대 안 통할 거야.</t>
        </is>
      </c>
      <c r="H866" s="5">
        <f>HYPERLINK("https://www.youtube.com/watch?v=twFCjBMtIXA", "영상 보기 ▶")</f>
        <v/>
      </c>
    </row>
    <row r="867" ht="26" customHeight="1">
      <c r="A867" s="6" t="n">
        <v>866</v>
      </c>
      <c r="B867" s="7" t="inlineStr">
        <is>
          <t>총정리 18탄</t>
        </is>
      </c>
      <c r="C867" s="7" t="inlineStr">
        <is>
          <t>미끼 물기</t>
        </is>
      </c>
      <c r="D867" s="8" t="inlineStr">
        <is>
          <t>I'll bite</t>
        </is>
      </c>
      <c r="E867" s="12" t="inlineStr">
        <is>
          <t>그래, 미끼를 물어줄게 (어디 한번 말해봐)</t>
        </is>
      </c>
      <c r="F867" s="12" t="inlineStr">
        <is>
          <t>You look like you're dying to tell a joke. Okay, I'll bite.</t>
        </is>
      </c>
      <c r="G867" s="12" t="inlineStr">
        <is>
          <t>농담하고 싶어 입이 근질근질한 것 같네. 그래, 어디 한번 들어보자.</t>
        </is>
      </c>
      <c r="H867" s="9">
        <f>HYPERLINK("https://www.youtube.com/watch?v=twFCjBMtIXA", "영상 보기 ▶")</f>
        <v/>
      </c>
    </row>
    <row r="868" ht="26" customHeight="1">
      <c r="A868" s="2" t="n">
        <v>867</v>
      </c>
      <c r="B868" s="3" t="inlineStr">
        <is>
          <t>총정리 18탄</t>
        </is>
      </c>
      <c r="C868" s="3" t="inlineStr">
        <is>
          <t>수상함</t>
        </is>
      </c>
      <c r="D868" s="4" t="inlineStr">
        <is>
          <t>fishy</t>
        </is>
      </c>
      <c r="E868" s="11" t="inlineStr">
        <is>
          <t>수상쩍은, 뭔가 구린 구석이 있는</t>
        </is>
      </c>
      <c r="F868" s="11" t="inlineStr">
        <is>
          <t>His sudden change of story seems very fishy to me.</t>
        </is>
      </c>
      <c r="G868" s="11" t="inlineStr">
        <is>
          <t>갑자기 말을 바꾸는 그의 태도가 내겐 몹시 수상쩍어 보여.</t>
        </is>
      </c>
      <c r="H868" s="5">
        <f>HYPERLINK("https://www.youtube.com/watch?v=twFCjBMtIXA", "영상 보기 ▶")</f>
        <v/>
      </c>
    </row>
    <row r="869" ht="26" customHeight="1">
      <c r="A869" s="6" t="n">
        <v>868</v>
      </c>
      <c r="B869" s="7" t="inlineStr">
        <is>
          <t>총정리 18탄</t>
        </is>
      </c>
      <c r="C869" s="7" t="inlineStr">
        <is>
          <t>안심 유도</t>
        </is>
      </c>
      <c r="D869" s="8" t="inlineStr">
        <is>
          <t>I won't bite</t>
        </is>
      </c>
      <c r="E869" s="12" t="inlineStr">
        <is>
          <t>안 물어뜯으니 겁먹지 마 / 편하게 다가와</t>
        </is>
      </c>
      <c r="F869" s="12" t="inlineStr">
        <is>
          <t>Come on in and have a seat; I won't bite!</t>
        </is>
      </c>
      <c r="G869" s="12" t="inlineStr">
        <is>
          <t>어서 들어와서 편하게 앉아요, 해치지 않으니 겁먹지 말아요!</t>
        </is>
      </c>
      <c r="H869" s="9">
        <f>HYPERLINK("https://www.youtube.com/watch?v=twFCjBMtIXA", "영상 보기 ▶")</f>
        <v/>
      </c>
    </row>
    <row r="870" ht="26" customHeight="1">
      <c r="A870" s="2" t="n">
        <v>869</v>
      </c>
      <c r="B870" s="3" t="inlineStr">
        <is>
          <t>총정리 18탄</t>
        </is>
      </c>
      <c r="C870" s="3" t="inlineStr">
        <is>
          <t>취향 아님</t>
        </is>
      </c>
      <c r="D870" s="4" t="inlineStr">
        <is>
          <t>It's not my thing</t>
        </is>
      </c>
      <c r="E870" s="11" t="inlineStr">
        <is>
          <t>내 취향/스타일이 아니야</t>
        </is>
      </c>
      <c r="F870" s="11" t="inlineStr">
        <is>
          <t>Heavy metal music is just not really my thing.</t>
        </is>
      </c>
      <c r="G870" s="11" t="inlineStr">
        <is>
          <t>헤비메탈 음악은 솔직히 내 취향은 아니야.</t>
        </is>
      </c>
      <c r="H870" s="5">
        <f>HYPERLINK("https://www.youtube.com/watch?v=twFCjBMtIXA", "영상 보기 ▶")</f>
        <v/>
      </c>
    </row>
    <row r="871" ht="26" customHeight="1">
      <c r="A871" s="6" t="n">
        <v>870</v>
      </c>
      <c r="B871" s="7" t="inlineStr">
        <is>
          <t>총정리 18탄</t>
        </is>
      </c>
      <c r="C871" s="7" t="inlineStr">
        <is>
          <t>강한 확신</t>
        </is>
      </c>
      <c r="D871" s="8" t="inlineStr">
        <is>
          <t>I'm telling you</t>
        </is>
      </c>
      <c r="E871" s="12" t="inlineStr">
        <is>
          <t>진짜라니까! 내 말 좀 믿어봐</t>
        </is>
      </c>
      <c r="F871" s="12" t="inlineStr">
        <is>
          <t>I'm telling you, this new marketing tool will save hours!</t>
        </is>
      </c>
      <c r="G871" s="12" t="inlineStr">
        <is>
          <t>진짜라니까! 이 새로운 마케팅 툴 쓰면 몇 시간은 절약된다니까!</t>
        </is>
      </c>
      <c r="H871" s="9">
        <f>HYPERLINK("https://www.youtube.com/watch?v=twFCjBMtIXA", "영상 보기 ▶")</f>
        <v/>
      </c>
    </row>
    <row r="872" ht="26" customHeight="1">
      <c r="A872" s="2" t="n">
        <v>871</v>
      </c>
      <c r="B872" s="3" t="inlineStr">
        <is>
          <t>총정리 18탄</t>
        </is>
      </c>
      <c r="C872" s="3" t="inlineStr">
        <is>
          <t>대립/충돌</t>
        </is>
      </c>
      <c r="D872" s="4" t="inlineStr">
        <is>
          <t>confrontation</t>
        </is>
      </c>
      <c r="E872" s="11" t="inlineStr">
        <is>
          <t>대립, 충돌 (avoid confrontation)</t>
        </is>
      </c>
      <c r="F872" s="11" t="inlineStr">
        <is>
          <t>He always tries to avoid unnecessary confrontation at work.</t>
        </is>
      </c>
      <c r="G872" s="11" t="inlineStr">
        <is>
          <t>그는 직장에서 불필요한 충돌과 대립을 항상 피하려 노력해요.</t>
        </is>
      </c>
      <c r="H872" s="5">
        <f>HYPERLINK("https://www.youtube.com/watch?v=twFCjBMtIXA", "영상 보기 ▶")</f>
        <v/>
      </c>
    </row>
    <row r="873" ht="26" customHeight="1">
      <c r="A873" s="6" t="n">
        <v>872</v>
      </c>
      <c r="B873" s="7" t="inlineStr">
        <is>
          <t>총정리 18탄</t>
        </is>
      </c>
      <c r="C873" s="7" t="inlineStr">
        <is>
          <t>잠정적인</t>
        </is>
      </c>
      <c r="D873" s="8" t="inlineStr">
        <is>
          <t>tentative</t>
        </is>
      </c>
      <c r="E873" s="12" t="inlineStr">
        <is>
          <t>잠정적인, 확정되지 않은</t>
        </is>
      </c>
      <c r="F873" s="12" t="inlineStr">
        <is>
          <t>We agreed on a tentative launch date of November 15th.</t>
        </is>
      </c>
      <c r="G873" s="12" t="inlineStr">
        <is>
          <t>우리는 잠정적인 출시일을 11월 15일로 협의했습니다.</t>
        </is>
      </c>
      <c r="H873" s="9">
        <f>HYPERLINK("https://www.youtube.com/watch?v=twFCjBMtIXA", "영상 보기 ▶")</f>
        <v/>
      </c>
    </row>
    <row r="874" ht="26" customHeight="1">
      <c r="A874" s="2" t="n">
        <v>873</v>
      </c>
      <c r="B874" s="3" t="inlineStr">
        <is>
          <t>총정리 18탄</t>
        </is>
      </c>
      <c r="C874" s="3" t="inlineStr">
        <is>
          <t>당사자 측</t>
        </is>
      </c>
      <c r="D874" s="4" t="inlineStr">
        <is>
          <t>on my end</t>
        </is>
      </c>
      <c r="E874" s="11" t="inlineStr">
        <is>
          <t>내 쪽에서는, 우리 측에서는</t>
        </is>
      </c>
      <c r="F874" s="11" t="inlineStr">
        <is>
          <t>Everything is ready on my end; we can proceed anytime.</t>
        </is>
      </c>
      <c r="G874" s="11" t="inlineStr">
        <is>
          <t>저희 측 준비는 다 끝났으니 언제든 진행하시면 됩니다.</t>
        </is>
      </c>
      <c r="H874" s="5">
        <f>HYPERLINK("https://www.youtube.com/watch?v=twFCjBMtIXA", "영상 보기 ▶")</f>
        <v/>
      </c>
    </row>
    <row r="875" ht="26" customHeight="1">
      <c r="A875" s="6" t="n">
        <v>874</v>
      </c>
      <c r="B875" s="7" t="inlineStr">
        <is>
          <t>총정리 18탄</t>
        </is>
      </c>
      <c r="C875" s="7" t="inlineStr">
        <is>
          <t>완전 한산</t>
        </is>
      </c>
      <c r="D875" s="8" t="inlineStr">
        <is>
          <t>dead (한산함)</t>
        </is>
      </c>
      <c r="E875" s="12" t="inlineStr">
        <is>
          <t>손님이 없어 썰렁한, 파리 날리는</t>
        </is>
      </c>
      <c r="F875" s="12" t="inlineStr">
        <is>
          <t>The restaurant was completely dead on Monday afternoon.</t>
        </is>
      </c>
      <c r="G875" s="12" t="inlineStr">
        <is>
          <t>월요일 오후라 식당에 손님이 전혀 없고 완전히 썰렁했어.</t>
        </is>
      </c>
      <c r="H875" s="9">
        <f>HYPERLINK("https://www.youtube.com/watch?v=twFCjBMtIXA", "영상 보기 ▶")</f>
        <v/>
      </c>
    </row>
    <row r="876" ht="26" customHeight="1">
      <c r="A876" s="2" t="n">
        <v>875</v>
      </c>
      <c r="B876" s="3" t="inlineStr">
        <is>
          <t>총정리 18탄</t>
        </is>
      </c>
      <c r="C876" s="3" t="inlineStr">
        <is>
          <t>생산성</t>
        </is>
      </c>
      <c r="D876" s="4" t="inlineStr">
        <is>
          <t>productive</t>
        </is>
      </c>
      <c r="E876" s="11" t="inlineStr">
        <is>
          <t>생산적인, 결실이 풍성한</t>
        </is>
      </c>
      <c r="F876" s="11" t="inlineStr">
        <is>
          <t>Today was one of the most productive days I've had all year.</t>
        </is>
      </c>
      <c r="G876" s="11" t="inlineStr">
        <is>
          <t>오늘은 올해 들어 가장 알차고 생산적인 하루 중 하나였어.</t>
        </is>
      </c>
      <c r="H876" s="5">
        <f>HYPERLINK("https://www.youtube.com/watch?v=twFCjBMtIXA", "영상 보기 ▶")</f>
        <v/>
      </c>
    </row>
    <row r="877" ht="26" customHeight="1">
      <c r="A877" s="6" t="n">
        <v>876</v>
      </c>
      <c r="B877" s="7" t="inlineStr">
        <is>
          <t>총정리 18탄</t>
        </is>
      </c>
      <c r="C877" s="7" t="inlineStr">
        <is>
          <t>안부/위로</t>
        </is>
      </c>
      <c r="D877" s="8" t="inlineStr">
        <is>
          <t>How are you holding up?</t>
        </is>
      </c>
      <c r="E877" s="12" t="inlineStr">
        <is>
          <t>(힘든 상황인데) 어떻게 잘 버티고 계세요?</t>
        </is>
      </c>
      <c r="F877" s="12" t="inlineStr">
        <is>
          <t>I heard about the project crisis. How are you holding up?</t>
        </is>
      </c>
      <c r="G877" s="12" t="inlineStr">
        <is>
          <t>프로젝트에 큰 위기가 왔다고 들었어요. 마음 추스르고 잘 버티고 계신가요?</t>
        </is>
      </c>
      <c r="H877" s="9">
        <f>HYPERLINK("https://www.youtube.com/watch?v=twFCjBMtIXA", "영상 보기 ▶")</f>
        <v/>
      </c>
    </row>
    <row r="878" ht="26" customHeight="1">
      <c r="A878" s="2" t="n">
        <v>877</v>
      </c>
      <c r="B878" s="3" t="inlineStr">
        <is>
          <t>총정리 18탄</t>
        </is>
      </c>
      <c r="C878" s="3" t="inlineStr">
        <is>
          <t>근근이 버팀</t>
        </is>
      </c>
      <c r="D878" s="4" t="inlineStr">
        <is>
          <t>get by</t>
        </is>
      </c>
      <c r="E878" s="11" t="inlineStr">
        <is>
          <t>그럭저럭 살아가다, 근근이 버티다</t>
        </is>
      </c>
      <c r="F878" s="11" t="inlineStr">
        <is>
          <t>My salary isn't high, but it's enough to get by comfortably.</t>
        </is>
      </c>
      <c r="G878" s="11" t="inlineStr">
        <is>
          <t>월급이 많지는 않지만 그럭저럭 살아가기엔 충분해요.</t>
        </is>
      </c>
      <c r="H878" s="5">
        <f>HYPERLINK("https://www.youtube.com/watch?v=twFCjBMtIXA", "영상 보기 ▶")</f>
        <v/>
      </c>
    </row>
    <row r="879" ht="26" customHeight="1">
      <c r="A879" s="6" t="n">
        <v>878</v>
      </c>
      <c r="B879" s="7" t="inlineStr">
        <is>
          <t>총정리 18탄</t>
        </is>
      </c>
      <c r="C879" s="7" t="inlineStr">
        <is>
          <t>질색하는 것</t>
        </is>
      </c>
      <c r="D879" s="8" t="inlineStr">
        <is>
          <t>pet peeve</t>
        </is>
      </c>
      <c r="E879" s="12" t="inlineStr">
        <is>
          <t>유독 거슬리고 질색하는 버릇/행동</t>
        </is>
      </c>
      <c r="F879" s="12" t="inlineStr">
        <is>
          <t>Chewing loudly with an open mouth is my biggest pet peeve.</t>
        </is>
      </c>
      <c r="G879" s="12" t="inlineStr">
        <is>
          <t>입 벌리고 쩝쩝거리며 먹는 게 내가 가장 질색하는 꼴불견이야.</t>
        </is>
      </c>
      <c r="H879" s="9">
        <f>HYPERLINK("https://www.youtube.com/watch?v=twFCjBMtIXA", "영상 보기 ▶")</f>
        <v/>
      </c>
    </row>
    <row r="880" ht="26" customHeight="1">
      <c r="A880" s="2" t="n">
        <v>879</v>
      </c>
      <c r="B880" s="3" t="inlineStr">
        <is>
          <t>총정리 18탄</t>
        </is>
      </c>
      <c r="C880" s="3" t="inlineStr">
        <is>
          <t>혼선/착오</t>
        </is>
      </c>
      <c r="D880" s="4" t="inlineStr">
        <is>
          <t>mix-up</t>
        </is>
      </c>
      <c r="E880" s="11" t="inlineStr">
        <is>
          <t>착오, 혼선 (a scheduling mix-up)</t>
        </is>
      </c>
      <c r="F880" s="11" t="inlineStr">
        <is>
          <t>There was a mix-up with the reservation dates at the hotel.</t>
        </is>
      </c>
      <c r="G880" s="11" t="inlineStr">
        <is>
          <t>호텔 예약 날짜에 착오와 혼선이 좀 있었습니다.</t>
        </is>
      </c>
      <c r="H880" s="5">
        <f>HYPERLINK("https://www.youtube.com/watch?v=twFCjBMtIXA", "영상 보기 ▶")</f>
        <v/>
      </c>
    </row>
    <row r="881" ht="26" customHeight="1">
      <c r="A881" s="6" t="n">
        <v>880</v>
      </c>
      <c r="B881" s="7" t="inlineStr">
        <is>
          <t>총정리 18탄</t>
        </is>
      </c>
      <c r="C881" s="7" t="inlineStr">
        <is>
          <t>지친 퇴근 바람</t>
        </is>
      </c>
      <c r="D881" s="8" t="inlineStr">
        <is>
          <t>I can't wait for this day to be over</t>
        </is>
      </c>
      <c r="E881" s="12" t="inlineStr">
        <is>
          <t>오늘 하루가 제발 빨리 끝나기만을 바랄 뿐이야</t>
        </is>
      </c>
      <c r="F881" s="12" t="inlineStr">
        <is>
          <t>So many stressful meetings today; I can't wait for this day to be over.</t>
        </is>
      </c>
      <c r="G881" s="12" t="inlineStr">
        <is>
          <t>오늘 스트레스받는 회의가 너무 많아서 하루가 빨리 끝났으면 좋겠어.</t>
        </is>
      </c>
      <c r="H881" s="9">
        <f>HYPERLINK("https://www.youtube.com/watch?v=twFCjBMtIXA", "영상 보기 ▶")</f>
        <v/>
      </c>
    </row>
    <row r="882" ht="26" customHeight="1">
      <c r="A882" s="2" t="n">
        <v>881</v>
      </c>
      <c r="B882" s="3" t="inlineStr">
        <is>
          <t>총정리 18탄</t>
        </is>
      </c>
      <c r="C882" s="3" t="inlineStr">
        <is>
          <t>간소화</t>
        </is>
      </c>
      <c r="D882" s="4" t="inlineStr">
        <is>
          <t>streamline</t>
        </is>
      </c>
      <c r="E882" s="11" t="inlineStr">
        <is>
          <t>(절차를) 간소화하다, 능률화하다</t>
        </is>
      </c>
      <c r="F882" s="11" t="inlineStr">
        <is>
          <t>We introduced software to streamline our invoice approval process.</t>
        </is>
      </c>
      <c r="G882" s="11" t="inlineStr">
        <is>
          <t>송장 결재 절차를 간소화하고 능률을 높이고자 소프트웨어를 도입했습니다.</t>
        </is>
      </c>
      <c r="H882" s="5">
        <f>HYPERLINK("https://www.youtube.com/watch?v=twFCjBMtIXA", "영상 보기 ▶")</f>
        <v/>
      </c>
    </row>
    <row r="883" ht="26" customHeight="1">
      <c r="A883" s="6" t="n">
        <v>882</v>
      </c>
      <c r="B883" s="7" t="inlineStr">
        <is>
          <t>총정리 18탄</t>
        </is>
      </c>
      <c r="C883" s="7" t="inlineStr">
        <is>
          <t>수익원</t>
        </is>
      </c>
      <c r="D883" s="8" t="inlineStr">
        <is>
          <t>revenue stream</t>
        </is>
      </c>
      <c r="E883" s="12" t="inlineStr">
        <is>
          <t>수익원, 매출 창출 경로</t>
        </is>
      </c>
      <c r="F883" s="12" t="inlineStr">
        <is>
          <t>Subscription services provide a steady, reliable revenue stream.</t>
        </is>
      </c>
      <c r="G883" s="12" t="inlineStr">
        <is>
          <t>구독 서비스는 안정적이고 신뢰할 수 있는 수익원을 제공합니다.</t>
        </is>
      </c>
      <c r="H883" s="9">
        <f>HYPERLINK("https://www.youtube.com/watch?v=twFCjBMtIXA", "영상 보기 ▶")</f>
        <v/>
      </c>
    </row>
    <row r="884" ht="26" customHeight="1">
      <c r="A884" s="2" t="n">
        <v>883</v>
      </c>
      <c r="B884" s="3" t="inlineStr">
        <is>
          <t>총정리 18탄</t>
        </is>
      </c>
      <c r="C884" s="3" t="inlineStr">
        <is>
          <t>상대의 손해</t>
        </is>
      </c>
      <c r="D884" s="4" t="inlineStr">
        <is>
          <t>It's their loss</t>
        </is>
      </c>
      <c r="E884" s="11" t="inlineStr">
        <is>
          <t>그들이 아쉬운 거지, 그들 손해지 뭐</t>
        </is>
      </c>
      <c r="F884" s="11" t="inlineStr">
        <is>
          <t>If they don't want to hire you, honestly, it's their loss.</t>
        </is>
      </c>
      <c r="G884" s="11" t="inlineStr">
        <is>
          <t>그들이 너를 채용하지 않는다면, 솔직히 그 회사 손해지 뭐.</t>
        </is>
      </c>
      <c r="H884" s="5">
        <f>HYPERLINK("https://www.youtube.com/watch?v=twFCjBMtIXA", "영상 보기 ▶")</f>
        <v/>
      </c>
    </row>
    <row r="885" ht="26" customHeight="1">
      <c r="A885" s="6" t="n">
        <v>884</v>
      </c>
      <c r="B885" s="7" t="inlineStr">
        <is>
          <t>총정리 18탄</t>
        </is>
      </c>
      <c r="C885" s="7" t="inlineStr">
        <is>
          <t>뜻밖의 전개</t>
        </is>
      </c>
      <c r="D885" s="8" t="inlineStr">
        <is>
          <t>Turns out</t>
        </is>
      </c>
      <c r="E885" s="12" t="inlineStr">
        <is>
          <t>알고 보니까 ~하더라고</t>
        </is>
      </c>
      <c r="F885" s="12" t="inlineStr">
        <is>
          <t>Turns out the rumor about the merger was completely false.</t>
        </is>
      </c>
      <c r="G885" s="12" t="inlineStr">
        <is>
          <t>알고 보니까 합병에 관한 그 소문은 완전히 헛소문이더라고.</t>
        </is>
      </c>
      <c r="H885" s="9">
        <f>HYPERLINK("https://www.youtube.com/watch?v=twFCjBMtIXA", "영상 보기 ▶")</f>
        <v/>
      </c>
    </row>
    <row r="886" ht="26" customHeight="1">
      <c r="A886" s="2" t="n">
        <v>885</v>
      </c>
      <c r="B886" s="3" t="inlineStr">
        <is>
          <t>총정리 18탄</t>
        </is>
      </c>
      <c r="C886" s="3" t="inlineStr">
        <is>
          <t>주선/설정</t>
        </is>
      </c>
      <c r="D886" s="4" t="inlineStr">
        <is>
          <t>set up (미팅 주선)</t>
        </is>
      </c>
      <c r="E886" s="11" t="inlineStr">
        <is>
          <t>(미팅/일정을) 마련하다, 주선하다</t>
        </is>
      </c>
      <c r="F886" s="11" t="inlineStr">
        <is>
          <t>Can you set up a call with the prospective investor?</t>
        </is>
      </c>
      <c r="G886" s="11" t="inlineStr">
        <is>
          <t>잠재 투자자와 통화 일정을 주선해 줄 수 있나요?</t>
        </is>
      </c>
      <c r="H886" s="5">
        <f>HYPERLINK("https://www.youtube.com/watch?v=twFCjBMtIXA", "영상 보기 ▶")</f>
        <v/>
      </c>
    </row>
    <row r="887" ht="26" customHeight="1">
      <c r="A887" s="6" t="n">
        <v>886</v>
      </c>
      <c r="B887" s="7" t="inlineStr">
        <is>
          <t>총정리 18탄</t>
        </is>
      </c>
      <c r="C887" s="7" t="inlineStr">
        <is>
          <t>설치/구축</t>
        </is>
      </c>
      <c r="D887" s="8" t="inlineStr">
        <is>
          <t>set up (설치)</t>
        </is>
      </c>
      <c r="E887" s="12" t="inlineStr">
        <is>
          <t>(장비/시스템을) 설치하다, 준비하다</t>
        </is>
      </c>
      <c r="F887" s="12" t="inlineStr">
        <is>
          <t>He helped me set up my new monitor and dock.</t>
        </is>
      </c>
      <c r="G887" s="12" t="inlineStr">
        <is>
          <t>그가 새 모니터와 도킹 스테이션 설치하는 걸 도와줬어.</t>
        </is>
      </c>
      <c r="H887" s="9">
        <f>HYPERLINK("https://www.youtube.com/watch?v=twFCjBMtIXA", "영상 보기 ▶")</f>
        <v/>
      </c>
    </row>
    <row r="888" ht="26" customHeight="1">
      <c r="A888" s="2" t="n">
        <v>887</v>
      </c>
      <c r="B888" s="3" t="inlineStr">
        <is>
          <t>총정리 18탄</t>
        </is>
      </c>
      <c r="C888" s="3" t="inlineStr">
        <is>
          <t>함정</t>
        </is>
      </c>
      <c r="D888" s="4" t="inlineStr">
        <is>
          <t>set up (함정)</t>
        </is>
      </c>
      <c r="E888" s="11" t="inlineStr">
        <is>
          <t>누명을 씌우다, 함정에 빠뜨리다</t>
        </is>
      </c>
      <c r="F888" s="11" t="inlineStr">
        <is>
          <t>I didn't leak that confidential email; I was set up!</t>
        </is>
      </c>
      <c r="G888" s="11" t="inlineStr">
        <is>
          <t>내가 기밀 메일을 유출한 게 아니야, 난 함정에 빠진 거라고!</t>
        </is>
      </c>
      <c r="H888" s="5">
        <f>HYPERLINK("https://www.youtube.com/watch?v=twFCjBMtIXA", "영상 보기 ▶")</f>
        <v/>
      </c>
    </row>
    <row r="889" ht="26" customHeight="1">
      <c r="A889" s="6" t="n">
        <v>888</v>
      </c>
      <c r="B889" s="7" t="inlineStr">
        <is>
          <t>총정리 18탄</t>
        </is>
      </c>
      <c r="C889" s="7" t="inlineStr">
        <is>
          <t>따로 떼어둠</t>
        </is>
      </c>
      <c r="D889" s="8" t="inlineStr">
        <is>
          <t>set aside (자금 비축)</t>
        </is>
      </c>
      <c r="E889" s="12" t="inlineStr">
        <is>
          <t>(돈이나 시간을) 따로 비축하다, 떼어놓다</t>
        </is>
      </c>
      <c r="F889" s="12" t="inlineStr">
        <is>
          <t>We should set aside at least 10% of profits for R&amp;D.</t>
        </is>
      </c>
      <c r="G889" s="12" t="inlineStr">
        <is>
          <t>우리는 연구개발을 위해 수익의 10% 이상을 따로 떼어두어야 합니다.</t>
        </is>
      </c>
      <c r="H889" s="9">
        <f>HYPERLINK("https://www.youtube.com/watch?v=twFCjBMtIXA", "영상 보기 ▶")</f>
        <v/>
      </c>
    </row>
    <row r="890" ht="26" customHeight="1">
      <c r="A890" s="2" t="n">
        <v>889</v>
      </c>
      <c r="B890" s="3" t="inlineStr">
        <is>
          <t>총정리 18탄</t>
        </is>
      </c>
      <c r="C890" s="3" t="inlineStr">
        <is>
          <t>제쳐둠</t>
        </is>
      </c>
      <c r="D890" s="4" t="inlineStr">
        <is>
          <t>set aside (의견 보류)</t>
        </is>
      </c>
      <c r="E890" s="11" t="inlineStr">
        <is>
          <t>(갈등/차이를) 잠시 제쳐두다</t>
        </is>
      </c>
      <c r="F890" s="11" t="inlineStr">
        <is>
          <t>Let's set aside our personal differences and collaborate.</t>
        </is>
      </c>
      <c r="G890" s="11" t="inlineStr">
        <is>
          <t>개인적인 견해차는 잠시 제쳐두고 함께 협력합시다.</t>
        </is>
      </c>
      <c r="H890" s="5">
        <f>HYPERLINK("https://www.youtube.com/watch?v=twFCjBMtIXA", "영상 보기 ▶")</f>
        <v/>
      </c>
    </row>
    <row r="891" ht="26" customHeight="1">
      <c r="A891" s="6" t="n">
        <v>890</v>
      </c>
      <c r="B891" s="7" t="inlineStr">
        <is>
          <t>총정리 18탄</t>
        </is>
      </c>
      <c r="C891" s="7" t="inlineStr">
        <is>
          <t>차질/비용</t>
        </is>
      </c>
      <c r="D891" s="8" t="inlineStr">
        <is>
          <t>set back</t>
        </is>
      </c>
      <c r="E891" s="12" t="inlineStr">
        <is>
          <t>① 지연시키다 ② 비용이 들게 하다</t>
        </is>
      </c>
      <c r="F891" s="12" t="inlineStr">
        <is>
          <t>This repair will set us back about two thousand dollars.</t>
        </is>
      </c>
      <c r="G891" s="12" t="inlineStr">
        <is>
          <t>이번 수리로 인해 약 2천 달러 정도의 큰 비용이 깨질 거야.</t>
        </is>
      </c>
      <c r="H891" s="9">
        <f>HYPERLINK("https://www.youtube.com/watch?v=twFCjBMtIXA", "영상 보기 ▶")</f>
        <v/>
      </c>
    </row>
    <row r="892" ht="26" customHeight="1">
      <c r="A892" s="2" t="n">
        <v>891</v>
      </c>
      <c r="B892" s="3" t="inlineStr">
        <is>
          <t>총정리 18탄</t>
        </is>
      </c>
      <c r="C892" s="3" t="inlineStr">
        <is>
          <t>헤아림 불가</t>
        </is>
      </c>
      <c r="D892" s="4" t="inlineStr">
        <is>
          <t>fathom</t>
        </is>
      </c>
      <c r="E892" s="11" t="inlineStr">
        <is>
          <t>(이유나 깊이를) 헤아리다, 가늠하다</t>
        </is>
      </c>
      <c r="F892" s="11" t="inlineStr">
        <is>
          <t>I cannot fathom why anyone would make such a foolish decision.</t>
        </is>
      </c>
      <c r="G892" s="11" t="inlineStr">
        <is>
          <t>도대체 왜 그런 어리석은 결정을 내렸는지 도무지 이해할 수가 없어.</t>
        </is>
      </c>
      <c r="H892" s="5">
        <f>HYPERLINK("https://www.youtube.com/watch?v=twFCjBMtIXA", "영상 보기 ▶")</f>
        <v/>
      </c>
    </row>
    <row r="893" ht="26" customHeight="1">
      <c r="A893" s="6" t="n">
        <v>892</v>
      </c>
      <c r="B893" s="7" t="inlineStr">
        <is>
          <t>총정리 18탄</t>
        </is>
      </c>
      <c r="C893" s="7" t="inlineStr">
        <is>
          <t>발맞춤</t>
        </is>
      </c>
      <c r="D893" s="8" t="inlineStr">
        <is>
          <t>align</t>
        </is>
      </c>
      <c r="E893" s="12" t="inlineStr">
        <is>
          <t>(목표나 방침을) 일치시키다, 발을 맞추다</t>
        </is>
      </c>
      <c r="F893" s="12" t="inlineStr">
        <is>
          <t>We need to align our department goals with corporate vision.</t>
        </is>
      </c>
      <c r="G893" s="12" t="inlineStr">
        <is>
          <t>우리 부서의 목표를 전사적 비전과 일치시켜 발을 맞춰야 합니다.</t>
        </is>
      </c>
      <c r="H893" s="9">
        <f>HYPERLINK("https://www.youtube.com/watch?v=twFCjBMtIXA", "영상 보기 ▶")</f>
        <v/>
      </c>
    </row>
    <row r="894" ht="26" customHeight="1">
      <c r="A894" s="2" t="n">
        <v>893</v>
      </c>
      <c r="B894" s="3" t="inlineStr">
        <is>
          <t>총정리 18탄</t>
        </is>
      </c>
      <c r="C894" s="3" t="inlineStr">
        <is>
          <t>궁극적 결론</t>
        </is>
      </c>
      <c r="D894" s="4" t="inlineStr">
        <is>
          <t>At the end of the day</t>
        </is>
      </c>
      <c r="E894" s="11" t="inlineStr">
        <is>
          <t>결국, 궁극적으로 가장 중요한 것은</t>
        </is>
      </c>
      <c r="F894" s="11" t="inlineStr">
        <is>
          <t>At the end of the day, customer satisfaction is what matters most.</t>
        </is>
      </c>
      <c r="G894" s="11" t="inlineStr">
        <is>
          <t>결국 가장 중요한 본질은 고객 만족입니다.</t>
        </is>
      </c>
      <c r="H894" s="5">
        <f>HYPERLINK("https://www.youtube.com/watch?v=twFCjBMtIXA", "영상 보기 ▶")</f>
        <v/>
      </c>
    </row>
    <row r="895" ht="26" customHeight="1">
      <c r="A895" s="6" t="n">
        <v>894</v>
      </c>
      <c r="B895" s="7" t="inlineStr">
        <is>
          <t>총정리 18탄</t>
        </is>
      </c>
      <c r="C895" s="7" t="inlineStr">
        <is>
          <t>일리가 있음</t>
        </is>
      </c>
      <c r="D895" s="8" t="inlineStr">
        <is>
          <t>have a point</t>
        </is>
      </c>
      <c r="E895" s="12" t="inlineStr">
        <is>
          <t>일리가 있다, 맞는 말을 하다</t>
        </is>
      </c>
      <c r="F895" s="12" t="inlineStr">
        <is>
          <t>You definitely have a point; maybe we should reconsider.</t>
        </is>
      </c>
      <c r="G895" s="12" t="inlineStr">
        <is>
          <t>네 말에 확실히 일리가 있어, 어쩌면 우리가 재고해 봐야겠어.</t>
        </is>
      </c>
      <c r="H895" s="9">
        <f>HYPERLINK("https://www.youtube.com/watch?v=twFCjBMtIXA", "영상 보기 ▶")</f>
        <v/>
      </c>
    </row>
    <row r="896" ht="26" customHeight="1">
      <c r="A896" s="2" t="n">
        <v>895</v>
      </c>
      <c r="B896" s="3" t="inlineStr">
        <is>
          <t>총정리 18탄</t>
        </is>
      </c>
      <c r="C896" s="3" t="inlineStr">
        <is>
          <t>방향 제시</t>
        </is>
      </c>
      <c r="D896" s="4" t="inlineStr">
        <is>
          <t>point in the right direction</t>
        </is>
      </c>
      <c r="E896" s="11" t="inlineStr">
        <is>
          <t>올바른 방향을 가리켜주다, 올바르게 인도하다</t>
        </is>
      </c>
      <c r="F896" s="11" t="inlineStr">
        <is>
          <t>Thanks for pointing me in the right direction when I was lost.</t>
        </is>
      </c>
      <c r="G896" s="11" t="inlineStr">
        <is>
          <t>내가 길을 잃고 헤맬 때 올바른 방향을 짚어주셔서 감사합니다.</t>
        </is>
      </c>
      <c r="H896" s="5">
        <f>HYPERLINK("https://www.youtube.com/watch?v=twFCjBMtIXA", "영상 보기 ▶")</f>
        <v/>
      </c>
    </row>
    <row r="897" ht="26" customHeight="1">
      <c r="A897" s="6" t="n">
        <v>896</v>
      </c>
      <c r="B897" s="7" t="inlineStr">
        <is>
          <t>총정리 18탄</t>
        </is>
      </c>
      <c r="C897" s="7" t="inlineStr">
        <is>
          <t>책임 공방</t>
        </is>
      </c>
      <c r="D897" s="8" t="inlineStr">
        <is>
          <t>point fingers</t>
        </is>
      </c>
      <c r="E897" s="12" t="inlineStr">
        <is>
          <t>(잘못에 대해) 남에게 손가락질하다, 탓하다</t>
        </is>
      </c>
      <c r="F897" s="12" t="inlineStr">
        <is>
          <t>Stop pointing fingers and focus on solving the breakdown.</t>
        </is>
      </c>
      <c r="G897" s="12" t="inlineStr">
        <is>
          <t>남 탓하며 손가락질 그만하고 고장 난 문제 해결에 집중해.</t>
        </is>
      </c>
      <c r="H897" s="9">
        <f>HYPERLINK("https://www.youtube.com/watch?v=twFCjBMtIXA", "영상 보기 ▶")</f>
        <v/>
      </c>
    </row>
    <row r="898" ht="26" customHeight="1">
      <c r="A898" s="2" t="n">
        <v>897</v>
      </c>
      <c r="B898" s="3" t="inlineStr">
        <is>
          <t>총정리 18탄</t>
        </is>
      </c>
      <c r="C898" s="3" t="inlineStr">
        <is>
          <t>흥미로운 지적</t>
        </is>
      </c>
      <c r="D898" s="4" t="inlineStr">
        <is>
          <t>an interesting point</t>
        </is>
      </c>
      <c r="E898" s="11" t="inlineStr">
        <is>
          <t>흥미로운 지적, 생각할 만한 의견</t>
        </is>
      </c>
      <c r="F898" s="11" t="inlineStr">
        <is>
          <t>That's an interesting point that hadn't crossed my mind.</t>
        </is>
      </c>
      <c r="G898" s="11" t="inlineStr">
        <is>
          <t>미처 생각지 못했던 대단히 흥미롭고 예리한 지적이네요.</t>
        </is>
      </c>
      <c r="H898" s="5">
        <f>HYPERLINK("https://www.youtube.com/watch?v=twFCjBMtIXA", "영상 보기 ▶")</f>
        <v/>
      </c>
    </row>
    <row r="899" ht="26" customHeight="1">
      <c r="A899" s="6" t="n">
        <v>898</v>
      </c>
      <c r="B899" s="7" t="inlineStr">
        <is>
          <t>총정리 18탄</t>
        </is>
      </c>
      <c r="C899" s="7" t="inlineStr">
        <is>
          <t>요점/본질</t>
        </is>
      </c>
      <c r="D899" s="8" t="inlineStr">
        <is>
          <t>the point</t>
        </is>
      </c>
      <c r="E899" s="12" t="inlineStr">
        <is>
          <t>요점, 본질, 핵심 취지</t>
        </is>
      </c>
      <c r="F899" s="12" t="inlineStr">
        <is>
          <t>You're completely missing the point of my argument.</t>
        </is>
      </c>
      <c r="G899" s="12" t="inlineStr">
        <is>
          <t>너는 내 주장의 핵심 요점을 완전히 잘못 짚고 있어.</t>
        </is>
      </c>
      <c r="H899" s="9">
        <f>HYPERLINK("https://www.youtube.com/watch?v=twFCjBMtIXA", "영상 보기 ▶")</f>
        <v/>
      </c>
    </row>
    <row r="900" ht="26" customHeight="1">
      <c r="A900" s="2" t="n">
        <v>899</v>
      </c>
      <c r="B900" s="3" t="inlineStr">
        <is>
          <t>총정리 18탄</t>
        </is>
      </c>
      <c r="C900" s="3" t="inlineStr">
        <is>
          <t>핵심 강조</t>
        </is>
      </c>
      <c r="D900" s="4" t="inlineStr">
        <is>
          <t>The point is ~</t>
        </is>
      </c>
      <c r="E900" s="11" t="inlineStr">
        <is>
          <t>요점/핵심은 바로 ~라는 거야</t>
        </is>
      </c>
      <c r="F900" s="11" t="inlineStr">
        <is>
          <t>The point is, we need to adapt quickly or we'll fail.</t>
        </is>
      </c>
      <c r="G900" s="11" t="inlineStr">
        <is>
          <t>핵심 요점은, 우리가 빠르게 적응하지 않으면 도태된다는 거야.</t>
        </is>
      </c>
      <c r="H900" s="5">
        <f>HYPERLINK("https://www.youtube.com/watch?v=twFCjBMtIXA", "영상 보기 ▶")</f>
        <v/>
      </c>
    </row>
    <row r="901" ht="26" customHeight="1">
      <c r="A901" s="6" t="n">
        <v>900</v>
      </c>
      <c r="B901" s="7" t="inlineStr">
        <is>
          <t>총정리 18탄</t>
        </is>
      </c>
      <c r="C901" s="7" t="inlineStr">
        <is>
          <t>본론 직행</t>
        </is>
      </c>
      <c r="D901" s="8" t="inlineStr">
        <is>
          <t>get to the point</t>
        </is>
      </c>
      <c r="E901" s="12" t="inlineStr">
        <is>
          <t>본론/핵심으로 들어가다, 단도직입적으로 말하다</t>
        </is>
      </c>
      <c r="F901" s="12" t="inlineStr">
        <is>
          <t>Please stop beating around the bush and get to the point.</t>
        </is>
      </c>
      <c r="G901" s="12" t="inlineStr">
        <is>
          <t>돌려 말하지 말고 제발 단도직입적으로 본론만 말씀해 주세요.</t>
        </is>
      </c>
      <c r="H901" s="9">
        <f>HYPERLINK("https://www.youtube.com/watch?v=twFCjBMtIXA", "영상 보기 ▶")</f>
        <v/>
      </c>
    </row>
    <row r="902" ht="26" customHeight="1">
      <c r="A902" s="2" t="n">
        <v>901</v>
      </c>
      <c r="B902" s="3" t="inlineStr">
        <is>
          <t>총정리 19탄</t>
        </is>
      </c>
      <c r="C902" s="3" t="inlineStr">
        <is>
          <t>중추적 역할</t>
        </is>
      </c>
      <c r="D902" s="4" t="inlineStr">
        <is>
          <t>pivotal</t>
        </is>
      </c>
      <c r="E902" s="11" t="inlineStr">
        <is>
          <t>중추적인, 극히 중요한 (a pivotal role/moment)</t>
        </is>
      </c>
      <c r="F902" s="11" t="inlineStr">
        <is>
          <t>Her leadership played a pivotal role in the project's success.</t>
        </is>
      </c>
      <c r="G902" s="11" t="inlineStr">
        <is>
          <t>그녀의 리더십은 프로젝트 성공에 결정적이고 중추적인 역할을 했습니다.</t>
        </is>
      </c>
      <c r="H902" s="5">
        <f>HYPERLINK("https://www.youtube.com/watch?v=xebpJhFWOaA", "영상 보기 ▶")</f>
        <v/>
      </c>
    </row>
    <row r="903" ht="26" customHeight="1">
      <c r="A903" s="6" t="n">
        <v>902</v>
      </c>
      <c r="B903" s="7" t="inlineStr">
        <is>
          <t>총정리 19탄</t>
        </is>
      </c>
      <c r="C903" s="7" t="inlineStr">
        <is>
          <t>난제 착수</t>
        </is>
      </c>
      <c r="D903" s="8" t="inlineStr">
        <is>
          <t>tackle</t>
        </is>
      </c>
      <c r="E903" s="12" t="inlineStr">
        <is>
          <t>(어려운 문제/과제에) 적극적으로 맞서다, 착수하다</t>
        </is>
      </c>
      <c r="F903" s="12" t="inlineStr">
        <is>
          <t>Let's tackle the most challenging bug first thing tomorrow.</t>
        </is>
      </c>
      <c r="G903" s="12" t="inlineStr">
        <is>
          <t>내일 아침 제일 먼저 가장 까다로운 버그부터 정면으로 해결합시다.</t>
        </is>
      </c>
      <c r="H903" s="9">
        <f>HYPERLINK("https://www.youtube.com/watch?v=xebpJhFWOaA", "영상 보기 ▶")</f>
        <v/>
      </c>
    </row>
    <row r="904" ht="26" customHeight="1">
      <c r="A904" s="2" t="n">
        <v>903</v>
      </c>
      <c r="B904" s="3" t="inlineStr">
        <is>
          <t>총정리 19탄</t>
        </is>
      </c>
      <c r="C904" s="3" t="inlineStr">
        <is>
          <t>희생</t>
        </is>
      </c>
      <c r="D904" s="4" t="inlineStr">
        <is>
          <t>sacrifice</t>
        </is>
      </c>
      <c r="E904" s="11" t="inlineStr">
        <is>
          <t>희생하다, 희생 (make a sacrifice)</t>
        </is>
      </c>
      <c r="F904" s="11" t="inlineStr">
        <is>
          <t>He made countless sacrifices to build this successful business.</t>
        </is>
      </c>
      <c r="G904" s="11" t="inlineStr">
        <is>
          <t>그는 이 성공적인 사업을 일구기 위해 수많은 희생을 감수했습니다.</t>
        </is>
      </c>
      <c r="H904" s="5">
        <f>HYPERLINK("https://www.youtube.com/watch?v=xebpJhFWOaA", "영상 보기 ▶")</f>
        <v/>
      </c>
    </row>
    <row r="905" ht="26" customHeight="1">
      <c r="A905" s="6" t="n">
        <v>904</v>
      </c>
      <c r="B905" s="7" t="inlineStr">
        <is>
          <t>총정리 19탄</t>
        </is>
      </c>
      <c r="C905" s="7" t="inlineStr">
        <is>
          <t>총대 메기</t>
        </is>
      </c>
      <c r="D905" s="8" t="inlineStr">
        <is>
          <t>I'll take one for the team</t>
        </is>
      </c>
      <c r="E905" s="12" t="inlineStr">
        <is>
          <t>내가 팀을 위해 총대 멜게 / 희생할게</t>
        </is>
      </c>
      <c r="F905" s="12" t="inlineStr">
        <is>
          <t>Someone needs to work this holiday? Okay, I'll take one for the team.</t>
        </is>
      </c>
      <c r="G905" s="12" t="inlineStr">
        <is>
          <t>이번 연휴에 당직 설 사람이 필요해? 좋아, 내가 팀을 위해 총대 멜게.</t>
        </is>
      </c>
      <c r="H905" s="9">
        <f>HYPERLINK("https://www.youtube.com/watch?v=xebpJhFWOaA", "영상 보기 ▶")</f>
        <v/>
      </c>
    </row>
    <row r="906" ht="26" customHeight="1">
      <c r="A906" s="2" t="n">
        <v>905</v>
      </c>
      <c r="B906" s="3" t="inlineStr">
        <is>
          <t>총정리 19탄</t>
        </is>
      </c>
      <c r="C906" s="3" t="inlineStr">
        <is>
          <t>기여/공헌</t>
        </is>
      </c>
      <c r="D906" s="4" t="inlineStr">
        <is>
          <t>contribute</t>
        </is>
      </c>
      <c r="E906" s="11" t="inlineStr">
        <is>
          <t>기여하다, 공헌하다, 의견을 내다</t>
        </is>
      </c>
      <c r="F906" s="11" t="inlineStr">
        <is>
          <t>Everyone is encouraged to contribute their ideas freely.</t>
        </is>
      </c>
      <c r="G906" s="11" t="inlineStr">
        <is>
          <t>모든 분이 자유롭게 아이디어를 개진하고 기여하시기를 권장합니다.</t>
        </is>
      </c>
      <c r="H906" s="5">
        <f>HYPERLINK("https://www.youtube.com/watch?v=xebpJhFWOaA", "영상 보기 ▶")</f>
        <v/>
      </c>
    </row>
    <row r="907" ht="26" customHeight="1">
      <c r="A907" s="6" t="n">
        <v>906</v>
      </c>
      <c r="B907" s="7" t="inlineStr">
        <is>
          <t>총정리 19탄</t>
        </is>
      </c>
      <c r="C907" s="7" t="inlineStr">
        <is>
          <t>전혀/조금이라도</t>
        </is>
      </c>
      <c r="D907" s="8" t="inlineStr">
        <is>
          <t>at all</t>
        </is>
      </c>
      <c r="E907" s="12" t="inlineStr">
        <is>
          <t>조금이라도 (의문문) / 전혀 (부정문)</t>
        </is>
      </c>
      <c r="F907" s="12" t="inlineStr">
        <is>
          <t>Do you mind at all if I open the window?</t>
        </is>
      </c>
      <c r="G907" s="12" t="inlineStr">
        <is>
          <t>창문 좀 열어도 혹시 조금이라도 불편하지 않으세요?</t>
        </is>
      </c>
      <c r="H907" s="9">
        <f>HYPERLINK("https://www.youtube.com/watch?v=xebpJhFWOaA", "영상 보기 ▶")</f>
        <v/>
      </c>
    </row>
    <row r="908" ht="26" customHeight="1">
      <c r="A908" s="2" t="n">
        <v>907</v>
      </c>
      <c r="B908" s="3" t="inlineStr">
        <is>
          <t>총정리 19탄</t>
        </is>
      </c>
      <c r="C908" s="3" t="inlineStr">
        <is>
          <t>흔쾌한 수락</t>
        </is>
      </c>
      <c r="D908" s="4" t="inlineStr">
        <is>
          <t>No problem at all</t>
        </is>
      </c>
      <c r="E908" s="11" t="inlineStr">
        <is>
          <t>전혀 문제없습니다 / 천만에요</t>
        </is>
      </c>
      <c r="F908" s="11" t="inlineStr">
        <is>
          <t>Thanks for waiting. - No problem at all!</t>
        </is>
      </c>
      <c r="G908" s="11" t="inlineStr">
        <is>
          <t>기다려주셔서 감사합니다. - 전혀 문제없습니다, 천만에요!</t>
        </is>
      </c>
      <c r="H908" s="5">
        <f>HYPERLINK("https://www.youtube.com/watch?v=xebpJhFWOaA", "영상 보기 ▶")</f>
        <v/>
      </c>
    </row>
    <row r="909" ht="26" customHeight="1">
      <c r="A909" s="6" t="n">
        <v>908</v>
      </c>
      <c r="B909" s="7" t="inlineStr">
        <is>
          <t>총정리 19탄</t>
        </is>
      </c>
      <c r="C909" s="7" t="inlineStr">
        <is>
          <t>가물가물</t>
        </is>
      </c>
      <c r="D909" s="8" t="inlineStr">
        <is>
          <t>It's on the tip of my tongue</t>
        </is>
      </c>
      <c r="E909" s="12" t="inlineStr">
        <is>
          <t>입안에서 맴돌고 기억이 날 듯 말 듯 해</t>
        </is>
      </c>
      <c r="F909" s="12" t="inlineStr">
        <is>
          <t>What was his name again? It's right on the tip of my tongue!</t>
        </is>
      </c>
      <c r="G909" s="12" t="inlineStr">
        <is>
          <t>그 사람 이름이 뭐였더라? 입안에서 맴도는데 기억이 안 나네!</t>
        </is>
      </c>
      <c r="H909" s="9">
        <f>HYPERLINK("https://www.youtube.com/watch?v=xebpJhFWOaA", "영상 보기 ▶")</f>
        <v/>
      </c>
    </row>
    <row r="910" ht="26" customHeight="1">
      <c r="A910" s="2" t="n">
        <v>909</v>
      </c>
      <c r="B910" s="3" t="inlineStr">
        <is>
          <t>총정리 19탄</t>
        </is>
      </c>
      <c r="C910" s="3" t="inlineStr">
        <is>
          <t>편안한 권유</t>
        </is>
      </c>
      <c r="D910" s="4" t="inlineStr">
        <is>
          <t>You're welcome to + 동사원형</t>
        </is>
      </c>
      <c r="E910" s="11" t="inlineStr">
        <is>
          <t>얼마든지 편하게 ~하셔도 좋습니다</t>
        </is>
      </c>
      <c r="F910" s="11" t="inlineStr">
        <is>
          <t>You're welcome to borrow any books from my shelf.</t>
        </is>
      </c>
      <c r="G910" s="11" t="inlineStr">
        <is>
          <t>제 책장에 있는 책들 얼마든지 편하게 빌려 가셔도 좋아요.</t>
        </is>
      </c>
      <c r="H910" s="5">
        <f>HYPERLINK("https://www.youtube.com/watch?v=xebpJhFWOaA", "영상 보기 ▶")</f>
        <v/>
      </c>
    </row>
    <row r="911" ht="26" customHeight="1">
      <c r="A911" s="6" t="n">
        <v>910</v>
      </c>
      <c r="B911" s="7" t="inlineStr">
        <is>
          <t>총정리 19탄</t>
        </is>
      </c>
      <c r="C911" s="7" t="inlineStr">
        <is>
          <t>사양 없는 이용</t>
        </is>
      </c>
      <c r="D911" s="8" t="inlineStr">
        <is>
          <t>You're welcome to (명사)</t>
        </is>
      </c>
      <c r="E911" s="12" t="inlineStr">
        <is>
          <t>마음껏 쓰세요 / 편하게 누리세요</t>
        </is>
      </c>
      <c r="F911" s="12" t="inlineStr">
        <is>
          <t>Help yourself; you're welcome to the refreshments.</t>
        </is>
      </c>
      <c r="G911" s="12" t="inlineStr">
        <is>
          <t>사양 말고 드세요, 다과 얼마든지 마음껏 드셔도 됩니다.</t>
        </is>
      </c>
      <c r="H911" s="9">
        <f>HYPERLINK("https://www.youtube.com/watch?v=xebpJhFWOaA", "영상 보기 ▶")</f>
        <v/>
      </c>
    </row>
    <row r="912" ht="26" customHeight="1">
      <c r="A912" s="2" t="n">
        <v>911</v>
      </c>
      <c r="B912" s="3" t="inlineStr">
        <is>
          <t>총정리 19탄</t>
        </is>
      </c>
      <c r="C912" s="3" t="inlineStr">
        <is>
          <t>무작위</t>
        </is>
      </c>
      <c r="D912" s="4" t="inlineStr">
        <is>
          <t>at random</t>
        </is>
      </c>
      <c r="E912" s="11" t="inlineStr">
        <is>
          <t>무작위로, 닥치는 대로</t>
        </is>
      </c>
      <c r="F912" s="11" t="inlineStr">
        <is>
          <t>The auditor picked sample files completely at random.</t>
        </is>
      </c>
      <c r="G912" s="11" t="inlineStr">
        <is>
          <t>감사관은 완전히 무작위로 표본 파일들을 골라냈습니다.</t>
        </is>
      </c>
      <c r="H912" s="5">
        <f>HYPERLINK("https://www.youtube.com/watch?v=xebpJhFWOaA", "영상 보기 ▶")</f>
        <v/>
      </c>
    </row>
    <row r="913" ht="26" customHeight="1">
      <c r="A913" s="6" t="n">
        <v>912</v>
      </c>
      <c r="B913" s="7" t="inlineStr">
        <is>
          <t>총정리 19탄</t>
        </is>
      </c>
      <c r="C913" s="7" t="inlineStr">
        <is>
          <t>속도 내기</t>
        </is>
      </c>
      <c r="D913" s="8" t="inlineStr">
        <is>
          <t>pick up the pace</t>
        </is>
      </c>
      <c r="E913" s="12" t="inlineStr">
        <is>
          <t>속도를 올리다, 서두르다</t>
        </is>
      </c>
      <c r="F913" s="12" t="inlineStr">
        <is>
          <t>We need to pick up the pace if we want to finish by 5 PM.</t>
        </is>
      </c>
      <c r="G913" s="12" t="inlineStr">
        <is>
          <t>오후 5시까지 끝내려면 작업 속도를 좀 더 올려야 해.</t>
        </is>
      </c>
      <c r="H913" s="9">
        <f>HYPERLINK("https://www.youtube.com/watch?v=xebpJhFWOaA", "영상 보기 ▶")</f>
        <v/>
      </c>
    </row>
    <row r="914" ht="26" customHeight="1">
      <c r="A914" s="2" t="n">
        <v>913</v>
      </c>
      <c r="B914" s="3" t="inlineStr">
        <is>
          <t>총정리 19탄</t>
        </is>
      </c>
      <c r="C914" s="3" t="inlineStr">
        <is>
          <t>회복/호전</t>
        </is>
      </c>
      <c r="D914" s="4" t="inlineStr">
        <is>
          <t>pick up (경기 회복)</t>
        </is>
      </c>
      <c r="E914" s="11" t="inlineStr">
        <is>
          <t>(매출/상황이) 회복되다, 활기를 띠다</t>
        </is>
      </c>
      <c r="F914" s="11" t="inlineStr">
        <is>
          <t>Business usually picks up significantly around the holidays.</t>
        </is>
      </c>
      <c r="G914" s="11" t="inlineStr">
        <is>
          <t>연말연시가 되면 비즈니스는 대개 크게 회복되어 활기를 띱니다.</t>
        </is>
      </c>
      <c r="H914" s="5">
        <f>HYPERLINK("https://www.youtube.com/watch?v=xebpJhFWOaA", "영상 보기 ▶")</f>
        <v/>
      </c>
    </row>
    <row r="915" ht="26" customHeight="1">
      <c r="A915" s="6" t="n">
        <v>914</v>
      </c>
      <c r="B915" s="7" t="inlineStr">
        <is>
          <t>총정리 19탄</t>
        </is>
      </c>
      <c r="C915" s="7" t="inlineStr">
        <is>
          <t>재개</t>
        </is>
      </c>
      <c r="D915" s="8" t="inlineStr">
        <is>
          <t>pick up (이어서 계속)</t>
        </is>
      </c>
      <c r="E915" s="12" t="inlineStr">
        <is>
          <t>(중단된 부분으로 돌아가) 다시 계속하다</t>
        </is>
      </c>
      <c r="F915" s="12" t="inlineStr">
        <is>
          <t>Let's pick this up tomorrow after a good night's sleep.</t>
        </is>
      </c>
      <c r="G915" s="12" t="inlineStr">
        <is>
          <t>오늘 푹 자고 내일 이 부분부터 다시 이어서 계속합시다.</t>
        </is>
      </c>
      <c r="H915" s="9">
        <f>HYPERLINK("https://www.youtube.com/watch?v=xebpJhFWOaA", "영상 보기 ▶")</f>
        <v/>
      </c>
    </row>
    <row r="916" ht="26" customHeight="1">
      <c r="A916" s="2" t="n">
        <v>915</v>
      </c>
      <c r="B916" s="3" t="inlineStr">
        <is>
          <t>총정리 19탄</t>
        </is>
      </c>
      <c r="C916" s="3" t="inlineStr">
        <is>
          <t>체득</t>
        </is>
      </c>
      <c r="D916" s="4" t="inlineStr">
        <is>
          <t>pick up (익히다)</t>
        </is>
      </c>
      <c r="E916" s="11" t="inlineStr">
        <is>
          <t>(자연스럽게 보고 들으며) 요령을 익히다</t>
        </is>
      </c>
      <c r="F916" s="11" t="inlineStr">
        <is>
          <t>Kids pick up new languages remarkably fast.</t>
        </is>
      </c>
      <c r="G916" s="11" t="inlineStr">
        <is>
          <t>아이들은 새로운 언어를 놀라울 정도로 빠르게 체득해.</t>
        </is>
      </c>
      <c r="H916" s="5">
        <f>HYPERLINK("https://www.youtube.com/watch?v=xebpJhFWOaA", "영상 보기 ▶")</f>
        <v/>
      </c>
    </row>
    <row r="917" ht="26" customHeight="1">
      <c r="A917" s="6" t="n">
        <v>916</v>
      </c>
      <c r="B917" s="7" t="inlineStr">
        <is>
          <t>총정리 19탄</t>
        </is>
      </c>
      <c r="C917" s="7" t="inlineStr">
        <is>
          <t>간단 구매</t>
        </is>
      </c>
      <c r="D917" s="8" t="inlineStr">
        <is>
          <t>pick up (사오다)</t>
        </is>
      </c>
      <c r="E917" s="12" t="inlineStr">
        <is>
          <t>(장소에 들러) 간단히 사 오다, 찾다</t>
        </is>
      </c>
      <c r="F917" s="12" t="inlineStr">
        <is>
          <t>Could you pick up some milk on your way home?</t>
        </is>
      </c>
      <c r="G917" s="12" t="inlineStr">
        <is>
          <t>퇴근하는 길에 우유 좀 간단히 사 올 수 있어?</t>
        </is>
      </c>
      <c r="H917" s="9">
        <f>HYPERLINK("https://www.youtube.com/watch?v=xebpJhFWOaA", "영상 보기 ▶")</f>
        <v/>
      </c>
    </row>
    <row r="918" ht="26" customHeight="1">
      <c r="A918" s="2" t="n">
        <v>917</v>
      </c>
      <c r="B918" s="3" t="inlineStr">
        <is>
          <t>총정리 19탄</t>
        </is>
      </c>
      <c r="C918" s="3" t="inlineStr">
        <is>
          <t>최상의 찬사</t>
        </is>
      </c>
      <c r="D918" s="4" t="inlineStr">
        <is>
          <t>couldn't have p.p.</t>
        </is>
      </c>
      <c r="E918" s="11" t="inlineStr">
        <is>
          <t>더할 나위 없이 완벽했다 (더 잘할 수 없었을 정도)</t>
        </is>
      </c>
      <c r="F918" s="11" t="inlineStr">
        <is>
          <t>You did an incredible job; it couldn't have gone better.</t>
        </is>
      </c>
      <c r="G918" s="11" t="inlineStr">
        <is>
          <t>정말 훌륭하게 해냈어, 이보다 더 완벽하게 잘 풀릴 순 없었을 거야.</t>
        </is>
      </c>
      <c r="H918" s="5">
        <f>HYPERLINK("https://www.youtube.com/watch?v=xebpJhFWOaA", "영상 보기 ▶")</f>
        <v/>
      </c>
    </row>
    <row r="919" ht="26" customHeight="1">
      <c r="A919" s="6" t="n">
        <v>918</v>
      </c>
      <c r="B919" s="7" t="inlineStr">
        <is>
          <t>총정리 19탄</t>
        </is>
      </c>
      <c r="C919" s="7" t="inlineStr">
        <is>
          <t>홈런/대성공</t>
        </is>
      </c>
      <c r="D919" s="8" t="inlineStr">
        <is>
          <t>home run</t>
        </is>
      </c>
      <c r="E919" s="12" t="inlineStr">
        <is>
          <t>대성공, 완벽한 대박 (hit a home run)</t>
        </is>
      </c>
      <c r="F919" s="12" t="inlineStr">
        <is>
          <t>Your creative product campaign was an absolute home run!</t>
        </is>
      </c>
      <c r="G919" s="12" t="inlineStr">
        <is>
          <t>네가 기획한 크리에이티브 제품 캠페인은 그야말로 대박 홈런이었어!</t>
        </is>
      </c>
      <c r="H919" s="9">
        <f>HYPERLINK("https://www.youtube.com/watch?v=xebpJhFWOaA", "영상 보기 ▶")</f>
        <v/>
      </c>
    </row>
    <row r="920" ht="26" customHeight="1">
      <c r="A920" s="2" t="n">
        <v>919</v>
      </c>
      <c r="B920" s="3" t="inlineStr">
        <is>
          <t>총정리 19탄</t>
        </is>
      </c>
      <c r="C920" s="3" t="inlineStr">
        <is>
          <t>소신 견해</t>
        </is>
      </c>
      <c r="D920" s="4" t="inlineStr">
        <is>
          <t>As far as I'm concerned</t>
        </is>
      </c>
      <c r="E920" s="11" t="inlineStr">
        <is>
          <t>내 소견으로는, 내가 보기에는</t>
        </is>
      </c>
      <c r="F920" s="11" t="inlineStr">
        <is>
          <t>As far as I'm concerned, quality is non-negotiable.</t>
        </is>
      </c>
      <c r="G920" s="11" t="inlineStr">
        <is>
          <t>제 소견으로는 품질은 결코 타협할 수 없는 절대 가치입니다.</t>
        </is>
      </c>
      <c r="H920" s="5">
        <f>HYPERLINK("https://www.youtube.com/watch?v=xebpJhFWOaA", "영상 보기 ▶")</f>
        <v/>
      </c>
    </row>
    <row r="921" ht="26" customHeight="1">
      <c r="A921" s="6" t="n">
        <v>920</v>
      </c>
      <c r="B921" s="7" t="inlineStr">
        <is>
          <t>총정리 19탄</t>
        </is>
      </c>
      <c r="C921" s="7" t="inlineStr">
        <is>
          <t>눈치챔</t>
        </is>
      </c>
      <c r="D921" s="8" t="inlineStr">
        <is>
          <t>pick up on</t>
        </is>
      </c>
      <c r="E921" s="12" t="inlineStr">
        <is>
          <t>(뉘앙스나 신호를) 눈치채다, 알아채다</t>
        </is>
      </c>
      <c r="F921" s="12" t="inlineStr">
        <is>
          <t>She immediately picked up on his anxious tone of voice.</t>
        </is>
      </c>
      <c r="G921" s="12" t="inlineStr">
        <is>
          <t>그녀는 그의 불안해하는 목소리 톤을 단번에 눈치챘어.</t>
        </is>
      </c>
      <c r="H921" s="9">
        <f>HYPERLINK("https://www.youtube.com/watch?v=xebpJhFWOaA", "영상 보기 ▶")</f>
        <v/>
      </c>
    </row>
    <row r="922" ht="26" customHeight="1">
      <c r="A922" s="2" t="n">
        <v>921</v>
      </c>
      <c r="B922" s="3" t="inlineStr">
        <is>
          <t>총정리 19탄</t>
        </is>
      </c>
      <c r="C922" s="3" t="inlineStr">
        <is>
          <t>선별</t>
        </is>
      </c>
      <c r="D922" s="4" t="inlineStr">
        <is>
          <t>pick out</t>
        </is>
      </c>
      <c r="E922" s="11" t="inlineStr">
        <is>
          <t>골라내다, 선택하다</t>
        </is>
      </c>
      <c r="F922" s="11" t="inlineStr">
        <is>
          <t>Help me pick out a suitable necktie for the interview.</t>
        </is>
      </c>
      <c r="G922" s="11" t="inlineStr">
        <is>
          <t>면접에 어울릴 만한 넥타이 좀 골라줘.</t>
        </is>
      </c>
      <c r="H922" s="5">
        <f>HYPERLINK("https://www.youtube.com/watch?v=xebpJhFWOaA", "영상 보기 ▶")</f>
        <v/>
      </c>
    </row>
    <row r="923" ht="26" customHeight="1">
      <c r="A923" s="6" t="n">
        <v>922</v>
      </c>
      <c r="B923" s="7" t="inlineStr">
        <is>
          <t>총정리 19탄</t>
        </is>
      </c>
      <c r="C923" s="7" t="inlineStr">
        <is>
          <t>괴롭힘/표적</t>
        </is>
      </c>
      <c r="D923" s="8" t="inlineStr">
        <is>
          <t>pick on</t>
        </is>
      </c>
      <c r="E923" s="12" t="inlineStr">
        <is>
          <t>~를 유독 괴롭히다, 꼬투리 잡다</t>
        </is>
      </c>
      <c r="F923" s="12" t="inlineStr">
        <is>
          <t>Why does the manager always pick on me for small things?</t>
        </is>
      </c>
      <c r="G923" s="12" t="inlineStr">
        <is>
          <t>부장님은 왜 사소한 일로 항상 나한테만 꼬투리를 잡으실까?</t>
        </is>
      </c>
      <c r="H923" s="9">
        <f>HYPERLINK("https://www.youtube.com/watch?v=xebpJhFWOaA", "영상 보기 ▶")</f>
        <v/>
      </c>
    </row>
    <row r="924" ht="26" customHeight="1">
      <c r="A924" s="2" t="n">
        <v>923</v>
      </c>
      <c r="B924" s="3" t="inlineStr">
        <is>
          <t>총정리 19탄</t>
        </is>
      </c>
      <c r="C924" s="3" t="inlineStr">
        <is>
          <t>심층 탐구</t>
        </is>
      </c>
      <c r="D924" s="4" t="inlineStr">
        <is>
          <t>delve into</t>
        </is>
      </c>
      <c r="E924" s="11" t="inlineStr">
        <is>
          <t>깊이 파고들다, 철저히 조사하다</t>
        </is>
      </c>
      <c r="F924" s="11" t="inlineStr">
        <is>
          <t>The investigative journalist delved into the corporate scandal.</t>
        </is>
      </c>
      <c r="G924" s="11" t="inlineStr">
        <is>
          <t>그 탐사보도 기자는 기업 비리 스캔들을 깊이 파고들었습니다.</t>
        </is>
      </c>
      <c r="H924" s="5">
        <f>HYPERLINK("https://www.youtube.com/watch?v=xebpJhFWOaA", "영상 보기 ▶")</f>
        <v/>
      </c>
    </row>
    <row r="925" ht="26" customHeight="1">
      <c r="A925" s="6" t="n">
        <v>924</v>
      </c>
      <c r="B925" s="7" t="inlineStr">
        <is>
          <t>총정리 19탄</t>
        </is>
      </c>
      <c r="C925" s="7" t="inlineStr">
        <is>
          <t>열정적 몰입</t>
        </is>
      </c>
      <c r="D925" s="8" t="inlineStr">
        <is>
          <t>dive in</t>
        </is>
      </c>
      <c r="E925" s="12" t="inlineStr">
        <is>
          <t>망설임 없이 뛰어들다, 몰입하다</t>
        </is>
      </c>
      <c r="F925" s="12" t="inlineStr">
        <is>
          <t>Instead of hesitating, dive in with an open mind.</t>
        </is>
      </c>
      <c r="G925" s="12" t="inlineStr">
        <is>
          <t>망설이지 말고 열린 마음으로 과감하게 뛰어들어 보세요.</t>
        </is>
      </c>
      <c r="H925" s="9">
        <f>HYPERLINK("https://www.youtube.com/watch?v=xebpJhFWOaA", "영상 보기 ▶")</f>
        <v/>
      </c>
    </row>
    <row r="926" ht="26" customHeight="1">
      <c r="A926" s="2" t="n">
        <v>925</v>
      </c>
      <c r="B926" s="3" t="inlineStr">
        <is>
          <t>총정리 19탄</t>
        </is>
      </c>
      <c r="C926" s="3" t="inlineStr">
        <is>
          <t>바이럴/입소문</t>
        </is>
      </c>
      <c r="D926" s="4" t="inlineStr">
        <is>
          <t>go viral</t>
        </is>
      </c>
      <c r="E926" s="11" t="inlineStr">
        <is>
          <t>인터넷상에서 엄청나게 화제가 되다/입소문을 타다</t>
        </is>
      </c>
      <c r="F926" s="11" t="inlineStr">
        <is>
          <t>Their funny promotional video went viral overnight.</t>
        </is>
      </c>
      <c r="G926" s="11" t="inlineStr">
        <is>
          <t>그들의 재미있는 홍보 영상이 하룻밤 사이에 엄청나게 바이럴을 탔어.</t>
        </is>
      </c>
      <c r="H926" s="5">
        <f>HYPERLINK("https://www.youtube.com/watch?v=xebpJhFWOaA", "영상 보기 ▶")</f>
        <v/>
      </c>
    </row>
    <row r="927" ht="26" customHeight="1">
      <c r="A927" s="6" t="n">
        <v>926</v>
      </c>
      <c r="B927" s="7" t="inlineStr">
        <is>
          <t>총정리 19탄</t>
        </is>
      </c>
      <c r="C927" s="7" t="inlineStr">
        <is>
          <t>자신감 제안</t>
        </is>
      </c>
      <c r="D927" s="8" t="inlineStr">
        <is>
          <t>Try me</t>
        </is>
      </c>
      <c r="E927" s="12" t="inlineStr">
        <is>
          <t>어디 한번 말해봐, 나 다 이해하고 감당할 수 있어</t>
        </is>
      </c>
      <c r="F927" s="12" t="inlineStr">
        <is>
          <t>You think I don't understand coding? Try me.</t>
        </is>
      </c>
      <c r="G927" s="12" t="inlineStr">
        <is>
          <t>내가 코딩 모를 것 같아? 어디 한번 질문해 봐, 다 맞출 테니.</t>
        </is>
      </c>
      <c r="H927" s="9">
        <f>HYPERLINK("https://www.youtube.com/watch?v=xebpJhFWOaA", "영상 보기 ▶")</f>
        <v/>
      </c>
    </row>
    <row r="928" ht="26" customHeight="1">
      <c r="A928" s="2" t="n">
        <v>927</v>
      </c>
      <c r="B928" s="3" t="inlineStr">
        <is>
          <t>총정리 19탄</t>
        </is>
      </c>
      <c r="C928" s="3" t="inlineStr">
        <is>
          <t>경고</t>
        </is>
      </c>
      <c r="D928" s="4" t="inlineStr">
        <is>
          <t>Try me (경고)</t>
        </is>
      </c>
      <c r="E928" s="11" t="inlineStr">
        <is>
          <t>덤벼봐 어디, 진짜 가만 안 둔다 (경고)</t>
        </is>
      </c>
      <c r="F928" s="11" t="inlineStr">
        <is>
          <t>Don't test my patience; try me and you'll regret it.</t>
        </is>
      </c>
      <c r="G928" s="11" t="inlineStr">
        <is>
          <t>내 인내심 시험하지 마, 어디 한번 선 넘어봐, 후회하게 될 테니.</t>
        </is>
      </c>
      <c r="H928" s="5">
        <f>HYPERLINK("https://www.youtube.com/watch?v=xebpJhFWOaA", "영상 보기 ▶")</f>
        <v/>
      </c>
    </row>
    <row r="929" ht="26" customHeight="1">
      <c r="A929" s="6" t="n">
        <v>928</v>
      </c>
      <c r="B929" s="7" t="inlineStr">
        <is>
          <t>총정리 19탄</t>
        </is>
      </c>
      <c r="C929" s="7" t="inlineStr">
        <is>
          <t>공식 절차</t>
        </is>
      </c>
      <c r="D929" s="8" t="inlineStr">
        <is>
          <t>procedure</t>
        </is>
      </c>
      <c r="E929" s="12" t="inlineStr">
        <is>
          <t>정식 절차, 수순 (follow proper procedure)</t>
        </is>
      </c>
      <c r="F929" s="12" t="inlineStr">
        <is>
          <t>Please follow the standard refund procedure outlined here.</t>
        </is>
      </c>
      <c r="G929" s="12" t="inlineStr">
        <is>
          <t>여기에 명시된 표준 환불 정식 절차를 준수해 주시기 바랍니다.</t>
        </is>
      </c>
      <c r="H929" s="9">
        <f>HYPERLINK("https://www.youtube.com/watch?v=xebpJhFWOaA", "영상 보기 ▶")</f>
        <v/>
      </c>
    </row>
    <row r="930" ht="26" customHeight="1">
      <c r="A930" s="2" t="n">
        <v>929</v>
      </c>
      <c r="B930" s="3" t="inlineStr">
        <is>
          <t>총정리 19탄</t>
        </is>
      </c>
      <c r="C930" s="3" t="inlineStr">
        <is>
          <t>육성/조성</t>
        </is>
      </c>
      <c r="D930" s="4" t="inlineStr">
        <is>
          <t>foster</t>
        </is>
      </c>
      <c r="E930" s="11" t="inlineStr">
        <is>
          <t>(좋은 분위기/관계를) 발전시키다, 육성하다</t>
        </is>
      </c>
      <c r="F930" s="11" t="inlineStr">
        <is>
          <t>We strive to foster a culture of open communication.</t>
        </is>
      </c>
      <c r="G930" s="11" t="inlineStr">
        <is>
          <t>우리는 열린 소통의 조직 문화를 육성하고자 부단히 노력합니다.</t>
        </is>
      </c>
      <c r="H930" s="5">
        <f>HYPERLINK("https://www.youtube.com/watch?v=xebpJhFWOaA", "영상 보기 ▶")</f>
        <v/>
      </c>
    </row>
    <row r="931" ht="26" customHeight="1">
      <c r="A931" s="6" t="n">
        <v>930</v>
      </c>
      <c r="B931" s="7" t="inlineStr">
        <is>
          <t>총정리 19탄</t>
        </is>
      </c>
      <c r="C931" s="7" t="inlineStr">
        <is>
          <t>촉발/스파크</t>
        </is>
      </c>
      <c r="D931" s="8" t="inlineStr">
        <is>
          <t>spark</t>
        </is>
      </c>
      <c r="E931" s="12" t="inlineStr">
        <is>
          <t>불꽃을 일으키다, 흥미나 영감을 촉발하다</t>
        </is>
      </c>
      <c r="F931" s="12" t="inlineStr">
        <is>
          <t>Her insightful comment sparked a lively debate in the room.</t>
        </is>
      </c>
      <c r="G931" s="12" t="inlineStr">
        <is>
          <t>그녀의 통찰력 있는 한마디가 회의실 안에 열띤 토론의 불을 지폈어.</t>
        </is>
      </c>
      <c r="H931" s="9">
        <f>HYPERLINK("https://www.youtube.com/watch?v=xebpJhFWOaA", "영상 보기 ▶")</f>
        <v/>
      </c>
    </row>
    <row r="932" ht="26" customHeight="1">
      <c r="A932" s="2" t="n">
        <v>931</v>
      </c>
      <c r="B932" s="3" t="inlineStr">
        <is>
          <t>총정리 19탄</t>
        </is>
      </c>
      <c r="C932" s="3" t="inlineStr">
        <is>
          <t>어색함</t>
        </is>
      </c>
      <c r="D932" s="4" t="inlineStr">
        <is>
          <t>awkward</t>
        </is>
      </c>
      <c r="E932" s="11" t="inlineStr">
        <is>
          <t>어색한, 서투른, 난처한</t>
        </is>
      </c>
      <c r="F932" s="11" t="inlineStr">
        <is>
          <t>There was an awkward silence when nobody knew the answer.</t>
        </is>
      </c>
      <c r="G932" s="11" t="inlineStr">
        <is>
          <t>아무도 정답을 모르는 어색한 침묵이 감돌았어.</t>
        </is>
      </c>
      <c r="H932" s="5">
        <f>HYPERLINK("https://www.youtube.com/watch?v=xebpJhFWOaA", "영상 보기 ▶")</f>
        <v/>
      </c>
    </row>
    <row r="933" ht="26" customHeight="1">
      <c r="A933" s="6" t="n">
        <v>932</v>
      </c>
      <c r="B933" s="7" t="inlineStr">
        <is>
          <t>총정리 19탄</t>
        </is>
      </c>
      <c r="C933" s="7" t="inlineStr">
        <is>
          <t>완급 조절</t>
        </is>
      </c>
      <c r="D933" s="8" t="inlineStr">
        <is>
          <t>Pace yourself</t>
        </is>
      </c>
      <c r="E933" s="12" t="inlineStr">
        <is>
          <t>너무 무리하지 말고 자기 페이스를 조절해</t>
        </is>
      </c>
      <c r="F933" s="12" t="inlineStr">
        <is>
          <t>It's a marathon, not a sprint. Pace yourself!</t>
        </is>
      </c>
      <c r="G933" s="12" t="inlineStr">
        <is>
          <t>단거리 달리기가 아니라 마라톤이야. 너무 무리 말고 완급 조절해!</t>
        </is>
      </c>
      <c r="H933" s="9">
        <f>HYPERLINK("https://www.youtube.com/watch?v=xebpJhFWOaA", "영상 보기 ▶")</f>
        <v/>
      </c>
    </row>
    <row r="934" ht="26" customHeight="1">
      <c r="A934" s="2" t="n">
        <v>933</v>
      </c>
      <c r="B934" s="3" t="inlineStr">
        <is>
          <t>총정리 19탄</t>
        </is>
      </c>
      <c r="C934" s="3" t="inlineStr">
        <is>
          <t>치팅데이</t>
        </is>
      </c>
      <c r="D934" s="4" t="inlineStr">
        <is>
          <t>It's my cheat day</t>
        </is>
      </c>
      <c r="E934" s="11" t="inlineStr">
        <is>
          <t>오늘 내 치팅데이야! (마음껏 먹는 날)</t>
        </is>
      </c>
      <c r="F934" s="11" t="inlineStr">
        <is>
          <t>I'm having a huge double cheeseburger; it's my cheat day!</t>
        </is>
      </c>
      <c r="G934" s="11" t="inlineStr">
        <is>
          <t>나 오늘 더블 치즈버거 먹을 거야, 오늘 내 치팅데이라고!</t>
        </is>
      </c>
      <c r="H934" s="5">
        <f>HYPERLINK("https://www.youtube.com/watch?v=xebpJhFWOaA", "영상 보기 ▶")</f>
        <v/>
      </c>
    </row>
    <row r="935" ht="26" customHeight="1">
      <c r="A935" s="6" t="n">
        <v>934</v>
      </c>
      <c r="B935" s="7" t="inlineStr">
        <is>
          <t>총정리 19탄</t>
        </is>
      </c>
      <c r="C935" s="7" t="inlineStr">
        <is>
          <t>치팅 메뉴</t>
        </is>
      </c>
      <c r="D935" s="8" t="inlineStr">
        <is>
          <t>what I'm having on my cheat day</t>
        </is>
      </c>
      <c r="E935" s="12" t="inlineStr">
        <is>
          <t>치팅데이에 내가 꼭 먹을 메뉴</t>
        </is>
      </c>
      <c r="F935" s="12" t="inlineStr">
        <is>
          <t>Crispy fried chicken is definitely what I'm having on my cheat day.</t>
        </is>
      </c>
      <c r="G935" s="12" t="inlineStr">
        <is>
          <t>바삭한 프라이드치킨은 내 치팅데이에 무조건 먹을 원픽 메뉴야.</t>
        </is>
      </c>
      <c r="H935" s="9">
        <f>HYPERLINK("https://www.youtube.com/watch?v=xebpJhFWOaA", "영상 보기 ▶")</f>
        <v/>
      </c>
    </row>
    <row r="936" ht="26" customHeight="1">
      <c r="A936" s="2" t="n">
        <v>935</v>
      </c>
      <c r="B936" s="3" t="inlineStr">
        <is>
          <t>총정리 19탄</t>
        </is>
      </c>
      <c r="C936" s="3" t="inlineStr">
        <is>
          <t>완곡한 만류</t>
        </is>
      </c>
      <c r="D936" s="4" t="inlineStr">
        <is>
          <t>You don't wanna ~</t>
        </is>
      </c>
      <c r="E936" s="11" t="inlineStr">
        <is>
          <t>~하지 않는 게 좋을 거야 (부드러운 충고)</t>
        </is>
      </c>
      <c r="F936" s="11" t="inlineStr">
        <is>
          <t>You don't wanna miss the opening keynote tomorrow.</t>
        </is>
      </c>
      <c r="G936" s="11" t="inlineStr">
        <is>
          <t>내일 오프닝 기조연설은 웬만하면 안 놓치는 게 좋을 거야.</t>
        </is>
      </c>
      <c r="H936" s="5">
        <f>HYPERLINK("https://www.youtube.com/watch?v=xebpJhFWOaA", "영상 보기 ▶")</f>
        <v/>
      </c>
    </row>
    <row r="937" ht="26" customHeight="1">
      <c r="A937" s="6" t="n">
        <v>936</v>
      </c>
      <c r="B937" s="7" t="inlineStr">
        <is>
          <t>총정리 19탄</t>
        </is>
      </c>
      <c r="C937" s="7" t="inlineStr">
        <is>
          <t>조심스런 제안</t>
        </is>
      </c>
      <c r="D937" s="8" t="inlineStr">
        <is>
          <t>You might wanna ~</t>
        </is>
      </c>
      <c r="E937" s="12" t="inlineStr">
        <is>
          <t>~해보시는 것도 좋을 것 같아요 (부드러운 권유)</t>
        </is>
      </c>
      <c r="F937" s="12" t="inlineStr">
        <is>
          <t>You might wanna double-check the recipient's email address.</t>
        </is>
      </c>
      <c r="G937" s="12" t="inlineStr">
        <is>
          <t>받는 분 이메일 주소를 한 번 더 확인해 보시는 게 좋을 듯해요.</t>
        </is>
      </c>
      <c r="H937" s="9">
        <f>HYPERLINK("https://www.youtube.com/watch?v=xebpJhFWOaA", "영상 보기 ▶")</f>
        <v/>
      </c>
    </row>
    <row r="938" ht="26" customHeight="1">
      <c r="A938" s="2" t="n">
        <v>937</v>
      </c>
      <c r="B938" s="3" t="inlineStr">
        <is>
          <t>총정리 19탄</t>
        </is>
      </c>
      <c r="C938" s="3" t="inlineStr">
        <is>
          <t>맥락 팔로우</t>
        </is>
      </c>
      <c r="D938" s="4" t="inlineStr">
        <is>
          <t>follow (흐름)</t>
        </is>
      </c>
      <c r="E938" s="11" t="inlineStr">
        <is>
          <t>내용의 흐름을 잘 따라오다</t>
        </is>
      </c>
      <c r="F938" s="11" t="inlineStr">
        <is>
          <t>I couldn't quite follow his rapid line of reasoning.</t>
        </is>
      </c>
      <c r="G938" s="11" t="inlineStr">
        <is>
          <t>그의 너무 빠른 논리 전개를 온전히 따라가기가 힘들었어.</t>
        </is>
      </c>
      <c r="H938" s="5">
        <f>HYPERLINK("https://www.youtube.com/watch?v=xebpJhFWOaA", "영상 보기 ▶")</f>
        <v/>
      </c>
    </row>
    <row r="939" ht="26" customHeight="1">
      <c r="A939" s="6" t="n">
        <v>938</v>
      </c>
      <c r="B939" s="7" t="inlineStr">
        <is>
          <t>총정리 19탄</t>
        </is>
      </c>
      <c r="C939" s="7" t="inlineStr">
        <is>
          <t>어조 완화</t>
        </is>
      </c>
      <c r="D939" s="8" t="inlineStr">
        <is>
          <t>soften</t>
        </is>
      </c>
      <c r="E939" s="12" t="inlineStr">
        <is>
          <t>(비판이나 어조를) 부드럽게 완화하다</t>
        </is>
      </c>
      <c r="F939" s="12" t="inlineStr">
        <is>
          <t>You might want to soften your wording so as not to sound harsh.</t>
        </is>
      </c>
      <c r="G939" s="12" t="inlineStr">
        <is>
          <t>너무 날카롭게 들리지 않도록 표현을 좀 부드럽게 완화하는 게 좋겠어요.</t>
        </is>
      </c>
      <c r="H939" s="9">
        <f>HYPERLINK("https://www.youtube.com/watch?v=xebpJhFWOaA", "영상 보기 ▶")</f>
        <v/>
      </c>
    </row>
    <row r="940" ht="26" customHeight="1">
      <c r="A940" s="2" t="n">
        <v>939</v>
      </c>
      <c r="B940" s="3" t="inlineStr">
        <is>
          <t>총정리 19탄</t>
        </is>
      </c>
      <c r="C940" s="3" t="inlineStr">
        <is>
          <t>자기 보폭</t>
        </is>
      </c>
      <c r="D940" s="4" t="inlineStr">
        <is>
          <t>at your own pace</t>
        </is>
      </c>
      <c r="E940" s="11" t="inlineStr">
        <is>
          <t>남 신경 쓰지 않고 자기만의 속도로</t>
        </is>
      </c>
      <c r="F940" s="11" t="inlineStr">
        <is>
          <t>Don't rush through the tutorial; learn at your own pace.</t>
        </is>
      </c>
      <c r="G940" s="11" t="inlineStr">
        <is>
          <t>서두르지 말고 자기만의 보폭과 속도에 맞춰 차근차근 배워.</t>
        </is>
      </c>
      <c r="H940" s="5">
        <f>HYPERLINK("https://www.youtube.com/watch?v=xebpJhFWOaA", "영상 보기 ▶")</f>
        <v/>
      </c>
    </row>
    <row r="941" ht="26" customHeight="1">
      <c r="A941" s="6" t="n">
        <v>940</v>
      </c>
      <c r="B941" s="7" t="inlineStr">
        <is>
          <t>총정리 19탄</t>
        </is>
      </c>
      <c r="C941" s="7" t="inlineStr">
        <is>
          <t>간발의 차이</t>
        </is>
      </c>
      <c r="D941" s="8" t="inlineStr">
        <is>
          <t>close (아슬아슬)</t>
        </is>
      </c>
      <c r="E941" s="12" t="inlineStr">
        <is>
          <t>아슬아슬한, 간발의 차이인</t>
        </is>
      </c>
      <c r="F941" s="12" t="inlineStr">
        <is>
          <t>Phew, that was close! We almost missed our boarding call.</t>
        </is>
      </c>
      <c r="G941" s="12" t="inlineStr">
        <is>
          <t>휴, 진짜 아슬아슬했다! 탑승 마감 놓칠 뻔했잖아.</t>
        </is>
      </c>
      <c r="H941" s="9">
        <f>HYPERLINK("https://www.youtube.com/watch?v=xebpJhFWOaA", "영상 보기 ▶")</f>
        <v/>
      </c>
    </row>
    <row r="942" ht="26" customHeight="1">
      <c r="A942" s="2" t="n">
        <v>941</v>
      </c>
      <c r="B942" s="3" t="inlineStr">
        <is>
          <t>총정리 19탄</t>
        </is>
      </c>
      <c r="C942" s="3" t="inlineStr">
        <is>
          <t>장악/관리</t>
        </is>
      </c>
      <c r="D942" s="4" t="inlineStr">
        <is>
          <t>stay on top of</t>
        </is>
      </c>
      <c r="E942" s="11" t="inlineStr">
        <is>
          <t>상황을 완벽하게 꿰뚫고 관리하다</t>
        </is>
      </c>
      <c r="F942" s="11" t="inlineStr">
        <is>
          <t>Use a daily checklist to stay on top of all deadlines.</t>
        </is>
      </c>
      <c r="G942" s="11" t="inlineStr">
        <is>
          <t>모든 마감 기한을 빈틈없이 챙기려면 매일 체크리스트를 활용하세요.</t>
        </is>
      </c>
      <c r="H942" s="5">
        <f>HYPERLINK("https://www.youtube.com/watch?v=xebpJhFWOaA", "영상 보기 ▶")</f>
        <v/>
      </c>
    </row>
    <row r="943" ht="26" customHeight="1">
      <c r="A943" s="6" t="n">
        <v>942</v>
      </c>
      <c r="B943" s="7" t="inlineStr">
        <is>
          <t>총정리 19탄</t>
        </is>
      </c>
      <c r="C943" s="7" t="inlineStr">
        <is>
          <t>변동 공유</t>
        </is>
      </c>
      <c r="D943" s="8" t="inlineStr">
        <is>
          <t>Let me know if anything changes</t>
        </is>
      </c>
      <c r="E943" s="12" t="inlineStr">
        <is>
          <t>변동 사항이 생기면 언제든 바로 알려주세요</t>
        </is>
      </c>
      <c r="F943" s="12" t="inlineStr">
        <is>
          <t>The schedule looks good for now; let me know if anything changes.</t>
        </is>
      </c>
      <c r="G943" s="12" t="inlineStr">
        <is>
          <t>현재로선 일정 괜찮아 보입니다. 변동 사항 생기면 바로 알려주세요.</t>
        </is>
      </c>
      <c r="H943" s="9">
        <f>HYPERLINK("https://www.youtube.com/watch?v=xebpJhFWOaA", "영상 보기 ▶")</f>
        <v/>
      </c>
    </row>
    <row r="944" ht="26" customHeight="1">
      <c r="A944" s="2" t="n">
        <v>943</v>
      </c>
      <c r="B944" s="3" t="inlineStr">
        <is>
          <t>총정리 19탄</t>
        </is>
      </c>
      <c r="C944" s="3" t="inlineStr">
        <is>
          <t>눈에 띄지 않음</t>
        </is>
      </c>
      <c r="D944" s="4" t="inlineStr">
        <is>
          <t>Nothing stood out to me</t>
        </is>
      </c>
      <c r="E944" s="11" t="inlineStr">
        <is>
          <t>딱히 인상적이거나 눈에 띄는 것은 없었어</t>
        </is>
      </c>
      <c r="F944" s="11" t="inlineStr">
        <is>
          <t>I reviewed all ten applicants, but nothing stood out to me.</t>
        </is>
      </c>
      <c r="G944" s="11" t="inlineStr">
        <is>
          <t>지원자 10명을 다 검토해 봤는데 딱히 눈에 띄는 인재는 없었어.</t>
        </is>
      </c>
      <c r="H944" s="5">
        <f>HYPERLINK("https://www.youtube.com/watch?v=xebpJhFWOaA", "영상 보기 ▶")</f>
        <v/>
      </c>
    </row>
    <row r="945" ht="26" customHeight="1">
      <c r="A945" s="6" t="n">
        <v>944</v>
      </c>
      <c r="B945" s="7" t="inlineStr">
        <is>
          <t>총정리 19탄</t>
        </is>
      </c>
      <c r="C945" s="7" t="inlineStr">
        <is>
          <t>평범/그저 그런</t>
        </is>
      </c>
      <c r="D945" s="8" t="inlineStr">
        <is>
          <t>mediocre</t>
        </is>
      </c>
      <c r="E945" s="12" t="inlineStr">
        <is>
          <t>그저 그런, 평범한, 이류의</t>
        </is>
      </c>
      <c r="F945" s="12" t="inlineStr">
        <is>
          <t>The service was mediocre despite the exorbitant prices.</t>
        </is>
      </c>
      <c r="G945" s="12" t="inlineStr">
        <is>
          <t>턱없이 비싼 가격에 비해 서비스 품질은 영 그저 그랬어.</t>
        </is>
      </c>
      <c r="H945" s="9">
        <f>HYPERLINK("https://www.youtube.com/watch?v=xebpJhFWOaA", "영상 보기 ▶")</f>
        <v/>
      </c>
    </row>
    <row r="946" ht="26" customHeight="1">
      <c r="A946" s="2" t="n">
        <v>945</v>
      </c>
      <c r="B946" s="3" t="inlineStr">
        <is>
          <t>총정리 19탄</t>
        </is>
      </c>
      <c r="C946" s="3" t="inlineStr">
        <is>
          <t>발전 여지</t>
        </is>
      </c>
      <c r="D946" s="4" t="inlineStr">
        <is>
          <t>room for improvement</t>
        </is>
      </c>
      <c r="E946" s="11" t="inlineStr">
        <is>
          <t>발전/개선의 여지</t>
        </is>
      </c>
      <c r="F946" s="11" t="inlineStr">
        <is>
          <t>Good initial draft, but there's definitely room for improvement.</t>
        </is>
      </c>
      <c r="G946" s="11" t="inlineStr">
        <is>
          <t>첫 초안치곤 괜찮지만, 분명 개선의 여지가 있는 부분들이 보여.</t>
        </is>
      </c>
      <c r="H946" s="5">
        <f>HYPERLINK("https://www.youtube.com/watch?v=xebpJhFWOaA", "영상 보기 ▶")</f>
        <v/>
      </c>
    </row>
    <row r="947" ht="26" customHeight="1">
      <c r="A947" s="6" t="n">
        <v>946</v>
      </c>
      <c r="B947" s="7" t="inlineStr">
        <is>
          <t>총정리 19탄</t>
        </is>
      </c>
      <c r="C947" s="7" t="inlineStr">
        <is>
          <t>기껏해야</t>
        </is>
      </c>
      <c r="D947" s="8" t="inlineStr">
        <is>
          <t>at best</t>
        </is>
      </c>
      <c r="E947" s="12" t="inlineStr">
        <is>
          <t>기껏해야, 가장 낙관적으로 보아도</t>
        </is>
      </c>
      <c r="F947" s="12" t="inlineStr">
        <is>
          <t>If everything goes perfectly, we'll break even at best.</t>
        </is>
      </c>
      <c r="G947" s="12" t="inlineStr">
        <is>
          <t>모든 게 완벽히 풀려도 기껏해야 손익분기점을 맞추는 수준일 거야.</t>
        </is>
      </c>
      <c r="H947" s="9">
        <f>HYPERLINK("https://www.youtube.com/watch?v=xebpJhFWOaA", "영상 보기 ▶")</f>
        <v/>
      </c>
    </row>
    <row r="948" ht="26" customHeight="1">
      <c r="A948" s="2" t="n">
        <v>947</v>
      </c>
      <c r="B948" s="3" t="inlineStr">
        <is>
          <t>총정리 19탄</t>
        </is>
      </c>
      <c r="C948" s="3" t="inlineStr">
        <is>
          <t>선점 우위</t>
        </is>
      </c>
      <c r="D948" s="4" t="inlineStr">
        <is>
          <t>head start</t>
        </is>
      </c>
      <c r="E948" s="11" t="inlineStr">
        <is>
          <t>남보다 앞선 유리한 출발, 선점 우위</t>
        </is>
      </c>
      <c r="F948" s="11" t="inlineStr">
        <is>
          <t>Early market entry gave our brand a huge head start.</t>
        </is>
      </c>
      <c r="G948" s="11" t="inlineStr">
        <is>
          <t>시장에 일찍 진입한 덕분에 우리 브랜드는 대단히 유리한 선점 우위를 누렸어.</t>
        </is>
      </c>
      <c r="H948" s="5">
        <f>HYPERLINK("https://www.youtube.com/watch?v=xebpJhFWOaA", "영상 보기 ▶")</f>
        <v/>
      </c>
    </row>
    <row r="949" ht="26" customHeight="1">
      <c r="A949" s="6" t="n">
        <v>948</v>
      </c>
      <c r="B949" s="7" t="inlineStr">
        <is>
          <t>총정리 19탄</t>
        </is>
      </c>
      <c r="C949" s="7" t="inlineStr">
        <is>
          <t>허세/엄포</t>
        </is>
      </c>
      <c r="D949" s="8" t="inlineStr">
        <is>
          <t>bluff</t>
        </is>
      </c>
      <c r="E949" s="12" t="inlineStr">
        <is>
          <t>허세, 엄포를 놓다 (call one's bluff)</t>
        </is>
      </c>
      <c r="F949" s="12" t="inlineStr">
        <is>
          <t>He threatened to cancel the deal, but it was just a bluff.</t>
        </is>
      </c>
      <c r="G949" s="12" t="inlineStr">
        <is>
          <t>그는 계약을 파기하겠다고 위협했지만 그냥 엄포용 허세였어.</t>
        </is>
      </c>
      <c r="H949" s="9">
        <f>HYPERLINK("https://www.youtube.com/watch?v=xebpJhFWOaA", "영상 보기 ▶")</f>
        <v/>
      </c>
    </row>
    <row r="950" ht="26" customHeight="1">
      <c r="A950" s="2" t="n">
        <v>949</v>
      </c>
      <c r="B950" s="3" t="inlineStr">
        <is>
          <t>총정리 19탄</t>
        </is>
      </c>
      <c r="C950" s="3" t="inlineStr">
        <is>
          <t>공감 경청</t>
        </is>
      </c>
      <c r="D950" s="4" t="inlineStr">
        <is>
          <t>I hear you</t>
        </is>
      </c>
      <c r="E950" s="11" t="inlineStr">
        <is>
          <t>무슨 말인지 잘 알아, 네 심정 충분히 이해해</t>
        </is>
      </c>
      <c r="F950" s="11" t="inlineStr">
        <is>
          <t>I hear you, and I completely share your frustration.</t>
        </is>
      </c>
      <c r="G950" s="11" t="inlineStr">
        <is>
          <t>무슨 말씀인지 잘 압니다, 저 역시 그 답답함에 깊이 공감해요.</t>
        </is>
      </c>
      <c r="H950" s="5">
        <f>HYPERLINK("https://www.youtube.com/watch?v=xebpJhFWOaA", "영상 보기 ▶")</f>
        <v/>
      </c>
    </row>
    <row r="951" ht="26" customHeight="1">
      <c r="A951" s="6" t="n">
        <v>950</v>
      </c>
      <c r="B951" s="7" t="inlineStr">
        <is>
          <t>총정리 19탄</t>
        </is>
      </c>
      <c r="C951" s="7" t="inlineStr">
        <is>
          <t>너그러움</t>
        </is>
      </c>
      <c r="D951" s="8" t="inlineStr">
        <is>
          <t>cut (사람) slack</t>
        </is>
      </c>
      <c r="E951" s="12" t="inlineStr">
        <is>
          <t>~를 너무 옥죄지 않고 융통성 있게 봐주다</t>
        </is>
      </c>
      <c r="F951" s="12" t="inlineStr">
        <is>
          <t>Give him a break and cut him some slack today.</t>
        </is>
      </c>
      <c r="G951" s="12" t="inlineStr">
        <is>
          <t>오늘만큼은 그 친구 너무 옥죄지 말고 좀 너그럽게 봐줘.</t>
        </is>
      </c>
      <c r="H951" s="9">
        <f>HYPERLINK("https://www.youtube.com/watch?v=xebpJhFWOaA", "영상 보기 ▶")</f>
        <v/>
      </c>
    </row>
    <row r="952" ht="26" customHeight="1">
      <c r="A952" s="2" t="n">
        <v>951</v>
      </c>
      <c r="B952" s="3" t="inlineStr">
        <is>
          <t>총정리 20탄</t>
        </is>
      </c>
      <c r="C952" s="3" t="inlineStr">
        <is>
          <t>사전 발품</t>
        </is>
      </c>
      <c r="D952" s="4" t="inlineStr">
        <is>
          <t>legwork</t>
        </is>
      </c>
      <c r="E952" s="11" t="inlineStr">
        <is>
          <t>발품 파는 수고, 사전 현장 조사/준비 작업</t>
        </is>
      </c>
      <c r="F952" s="11" t="inlineStr">
        <is>
          <t>I spent the entire week doing the legwork for this contract.</t>
        </is>
      </c>
      <c r="G952" s="11" t="inlineStr">
        <is>
          <t>이 계약을 따내기 위해 일주일 내내 발품 팔며 밑작업을 다 해뒀어.</t>
        </is>
      </c>
      <c r="H952" s="5">
        <f>HYPERLINK("https://www.youtube.com/watch?v=yPBRoGqCefg", "영상 보기 ▶")</f>
        <v/>
      </c>
    </row>
    <row r="953" ht="26" customHeight="1">
      <c r="A953" s="6" t="n">
        <v>952</v>
      </c>
      <c r="B953" s="7" t="inlineStr">
        <is>
          <t>총정리 20탄</t>
        </is>
      </c>
      <c r="C953" s="7" t="inlineStr">
        <is>
          <t>결과 초래</t>
        </is>
      </c>
      <c r="D953" s="8" t="inlineStr">
        <is>
          <t>lead to</t>
        </is>
      </c>
      <c r="E953" s="12" t="inlineStr">
        <is>
          <t>~로 이어지다, 초래하다</t>
        </is>
      </c>
      <c r="F953" s="12" t="inlineStr">
        <is>
          <t>Careful preparation will naturally lead to successful results.</t>
        </is>
      </c>
      <c r="G953" s="12" t="inlineStr">
        <is>
          <t>철저한 준비는 자연스럽게 성공적인 결과로 이어집니다.</t>
        </is>
      </c>
      <c r="H953" s="9">
        <f>HYPERLINK("https://www.youtube.com/watch?v=yPBRoGqCefg", "영상 보기 ▶")</f>
        <v/>
      </c>
    </row>
    <row r="954" ht="26" customHeight="1">
      <c r="A954" s="2" t="n">
        <v>953</v>
      </c>
      <c r="B954" s="3" t="inlineStr">
        <is>
          <t>총정리 20탄</t>
        </is>
      </c>
      <c r="C954" s="3" t="inlineStr">
        <is>
          <t>공감대 형성</t>
        </is>
      </c>
      <c r="D954" s="4" t="inlineStr">
        <is>
          <t>relate to</t>
        </is>
      </c>
      <c r="E954" s="11" t="inlineStr">
        <is>
          <t>~의 마음에 깊이 공감하다, 동질감을 느끼다</t>
        </is>
      </c>
      <c r="F954" s="11" t="inlineStr">
        <is>
          <t>Her heartfelt story was easy for everyone to relate to.</t>
        </is>
      </c>
      <c r="G954" s="11" t="inlineStr">
        <is>
          <t>그녀의 진솔한 이야기는 모든 사람이 쉽게 공감할 수 있었어.</t>
        </is>
      </c>
      <c r="H954" s="5">
        <f>HYPERLINK("https://www.youtube.com/watch?v=yPBRoGqCefg", "영상 보기 ▶")</f>
        <v/>
      </c>
    </row>
    <row r="955" ht="26" customHeight="1">
      <c r="A955" s="6" t="n">
        <v>954</v>
      </c>
      <c r="B955" s="7" t="inlineStr">
        <is>
          <t>총정리 20탄</t>
        </is>
      </c>
      <c r="C955" s="7" t="inlineStr">
        <is>
          <t>깊은 울림</t>
        </is>
      </c>
      <c r="D955" s="8" t="inlineStr">
        <is>
          <t>resonate</t>
        </is>
      </c>
      <c r="E955" s="12" t="inlineStr">
        <is>
          <t>(마음에) 깊은 울림을 주다, 큰 공감을 얻다</t>
        </is>
      </c>
      <c r="F955" s="12" t="inlineStr">
        <is>
          <t>The founder's philosophy resonated deeply with young consumers.</t>
        </is>
      </c>
      <c r="G955" s="12" t="inlineStr">
        <is>
          <t>창업자의 철학은 젊은 소비자들의 마음에 깊은 울림과 공감을 주었습니다.</t>
        </is>
      </c>
      <c r="H955" s="9">
        <f>HYPERLINK("https://www.youtube.com/watch?v=yPBRoGqCefg", "영상 보기 ▶")</f>
        <v/>
      </c>
    </row>
    <row r="956" ht="26" customHeight="1">
      <c r="A956" s="2" t="n">
        <v>955</v>
      </c>
      <c r="B956" s="3" t="inlineStr">
        <is>
          <t>총정리 20탄</t>
        </is>
      </c>
      <c r="C956" s="3" t="inlineStr">
        <is>
          <t>경솔함</t>
        </is>
      </c>
      <c r="D956" s="4" t="inlineStr">
        <is>
          <t>rash</t>
        </is>
      </c>
      <c r="E956" s="11" t="inlineStr">
        <is>
          <t>성급한, 경솔한 (a rash decision)</t>
        </is>
      </c>
      <c r="F956" s="11" t="inlineStr">
        <is>
          <t>Don't make any rash decisions when you are emotional.</t>
        </is>
      </c>
      <c r="G956" s="11" t="inlineStr">
        <is>
          <t>감정적인 상태일 때 성급하고 경솔한 결정을 내리지 마세요.</t>
        </is>
      </c>
      <c r="H956" s="5">
        <f>HYPERLINK("https://www.youtube.com/watch?v=yPBRoGqCefg", "영상 보기 ▶")</f>
        <v/>
      </c>
    </row>
    <row r="957" ht="26" customHeight="1">
      <c r="A957" s="6" t="n">
        <v>956</v>
      </c>
      <c r="B957" s="7" t="inlineStr">
        <is>
          <t>총정리 20탄</t>
        </is>
      </c>
      <c r="C957" s="7" t="inlineStr">
        <is>
          <t>분별력 훈계</t>
        </is>
      </c>
      <c r="D957" s="8" t="inlineStr">
        <is>
          <t>You should know better than ~</t>
        </is>
      </c>
      <c r="E957" s="12" t="inlineStr">
        <is>
          <t>알 만한 사람이 그러면 안 되지, 분별력을 가져야지</t>
        </is>
      </c>
      <c r="F957" s="12" t="inlineStr">
        <is>
          <t>You should know better than to believe unverified rumors.</t>
        </is>
      </c>
      <c r="G957" s="12" t="inlineStr">
        <is>
          <t>검증되지도 않은 헛소문을 믿다니, 알 만한 사람이 왜 그래.</t>
        </is>
      </c>
      <c r="H957" s="9">
        <f>HYPERLINK("https://www.youtube.com/watch?v=yPBRoGqCefg", "영상 보기 ▶")</f>
        <v/>
      </c>
    </row>
    <row r="958" ht="26" customHeight="1">
      <c r="A958" s="2" t="n">
        <v>957</v>
      </c>
      <c r="B958" s="3" t="inlineStr">
        <is>
          <t>총정리 20탄</t>
        </is>
      </c>
      <c r="C958" s="3" t="inlineStr">
        <is>
          <t>성숙한 처신</t>
        </is>
      </c>
      <c r="D958" s="4" t="inlineStr">
        <is>
          <t>I know better than that</t>
        </is>
      </c>
      <c r="E958" s="11" t="inlineStr">
        <is>
          <t>나도 그 정도 사리분별은 있어 (그런 어리석은 짓 안 해)</t>
        </is>
      </c>
      <c r="F958" s="11" t="inlineStr">
        <is>
          <t>I won't argue with angry clients; I know better than that.</t>
        </is>
      </c>
      <c r="G958" s="11" t="inlineStr">
        <is>
          <t>화난 고객과 말싸움하지 않아요, 저도 그 정도 사리분별은 있습니다.</t>
        </is>
      </c>
      <c r="H958" s="5">
        <f>HYPERLINK("https://www.youtube.com/watch?v=yPBRoGqCefg", "영상 보기 ▶")</f>
        <v/>
      </c>
    </row>
    <row r="959" ht="26" customHeight="1">
      <c r="A959" s="6" t="n">
        <v>958</v>
      </c>
      <c r="B959" s="7" t="inlineStr">
        <is>
          <t>총정리 20탄</t>
        </is>
      </c>
      <c r="C959" s="7" t="inlineStr">
        <is>
          <t>시간 망각</t>
        </is>
      </c>
      <c r="D959" s="8" t="inlineStr">
        <is>
          <t>I lost track of time</t>
        </is>
      </c>
      <c r="E959" s="12" t="inlineStr">
        <is>
          <t>시간 가는 줄 까맣게 몰랐어</t>
        </is>
      </c>
      <c r="F959" s="12" t="inlineStr">
        <is>
          <t>I was so immersed in writing that I lost track of time.</t>
        </is>
      </c>
      <c r="G959" s="12" t="inlineStr">
        <is>
          <t>글 쓰는 데 너무 몰입해서 시간 가는 줄 까맣게 몰랐어.</t>
        </is>
      </c>
      <c r="H959" s="9">
        <f>HYPERLINK("https://www.youtube.com/watch?v=yPBRoGqCefg", "영상 보기 ▶")</f>
        <v/>
      </c>
    </row>
    <row r="960" ht="26" customHeight="1">
      <c r="A960" s="2" t="n">
        <v>959</v>
      </c>
      <c r="B960" s="3" t="inlineStr">
        <is>
          <t>총정리 20탄</t>
        </is>
      </c>
      <c r="C960" s="3" t="inlineStr">
        <is>
          <t>습관 경계</t>
        </is>
      </c>
      <c r="D960" s="4" t="inlineStr">
        <is>
          <t>Don't make a habit of it</t>
        </is>
      </c>
      <c r="E960" s="11" t="inlineStr">
        <is>
          <t>습관 들이지는 마 (이번 한 번만 봐주는 거야)</t>
        </is>
      </c>
      <c r="F960" s="11" t="inlineStr">
        <is>
          <t>I'll let you slide today, but don't make a habit of it.</t>
        </is>
      </c>
      <c r="G960" s="11" t="inlineStr">
        <is>
          <t>오늘은 그냥 넘어가 주겠지만, 습관 들여선 절대 안 돼.</t>
        </is>
      </c>
      <c r="H960" s="5">
        <f>HYPERLINK("https://www.youtube.com/watch?v=yPBRoGqCefg", "영상 보기 ▶")</f>
        <v/>
      </c>
    </row>
    <row r="961" ht="26" customHeight="1">
      <c r="A961" s="6" t="n">
        <v>960</v>
      </c>
      <c r="B961" s="7" t="inlineStr">
        <is>
          <t>총정리 20탄</t>
        </is>
      </c>
      <c r="C961" s="7" t="inlineStr">
        <is>
          <t>너그러운 환영</t>
        </is>
      </c>
      <c r="D961" s="8" t="inlineStr">
        <is>
          <t>It's okay. You're here now</t>
        </is>
      </c>
      <c r="E961" s="12" t="inlineStr">
        <is>
          <t>괜찮아, 지금이라도 도착했으니 됐어</t>
        </is>
      </c>
      <c r="F961" s="12" t="inlineStr">
        <is>
          <t>Sorry for being late! - It's okay. You're here now.</t>
        </is>
      </c>
      <c r="G961" s="12" t="inlineStr">
        <is>
          <t>늦어서 죄송합니다! - 괜찮아요, 지금이라도 왔으니 됐어요.</t>
        </is>
      </c>
      <c r="H961" s="9">
        <f>HYPERLINK("https://www.youtube.com/watch?v=yPBRoGqCefg", "영상 보기 ▶")</f>
        <v/>
      </c>
    </row>
    <row r="962" ht="26" customHeight="1">
      <c r="A962" s="2" t="n">
        <v>961</v>
      </c>
      <c r="B962" s="3" t="inlineStr">
        <is>
          <t>총정리 20탄</t>
        </is>
      </c>
      <c r="C962" s="3" t="inlineStr">
        <is>
          <t>관계 개선</t>
        </is>
      </c>
      <c r="D962" s="4" t="inlineStr">
        <is>
          <t>mend fences</t>
        </is>
      </c>
      <c r="E962" s="11" t="inlineStr">
        <is>
          <t>(틀어진) 관계를 회복하다, 개선하다</t>
        </is>
      </c>
      <c r="F962" s="11" t="inlineStr">
        <is>
          <t>It's time for the two executives to sit down and mend fences.</t>
        </is>
      </c>
      <c r="G962" s="11" t="inlineStr">
        <is>
          <t>두 임원이 마주 앉아 틀어진 관계를 개선하고 화해할 때입니다.</t>
        </is>
      </c>
      <c r="H962" s="5">
        <f>HYPERLINK("https://www.youtube.com/watch?v=yPBRoGqCefg", "영상 보기 ▶")</f>
        <v/>
      </c>
    </row>
    <row r="963" ht="26" customHeight="1">
      <c r="A963" s="6" t="n">
        <v>962</v>
      </c>
      <c r="B963" s="7" t="inlineStr">
        <is>
          <t>총정리 20탄</t>
        </is>
      </c>
      <c r="C963" s="7" t="inlineStr">
        <is>
          <t>가치 인정</t>
        </is>
      </c>
      <c r="D963" s="8" t="inlineStr">
        <is>
          <t>value</t>
        </is>
      </c>
      <c r="E963" s="12" t="inlineStr">
        <is>
          <t>소중히 여기다, 높이 평가하다</t>
        </is>
      </c>
      <c r="F963" s="12" t="inlineStr">
        <is>
          <t>We truly value your continued partnership and loyalty.</t>
        </is>
      </c>
      <c r="G963" s="12" t="inlineStr">
        <is>
          <t>저희는 귀사의 지속적인 협력과 신뢰를 대단히 소중하게 여깁니다.</t>
        </is>
      </c>
      <c r="H963" s="9">
        <f>HYPERLINK("https://www.youtube.com/watch?v=yPBRoGqCefg", "영상 보기 ▶")</f>
        <v/>
      </c>
    </row>
    <row r="964" ht="26" customHeight="1">
      <c r="A964" s="2" t="n">
        <v>963</v>
      </c>
      <c r="B964" s="3" t="inlineStr">
        <is>
          <t>총정리 20탄</t>
        </is>
      </c>
      <c r="C964" s="3" t="inlineStr">
        <is>
          <t>값을 매길 수 없음</t>
        </is>
      </c>
      <c r="D964" s="4" t="inlineStr">
        <is>
          <t>invaluable</t>
        </is>
      </c>
      <c r="E964" s="11" t="inlineStr">
        <is>
          <t>값을 매길 수 없을 만큼 매우 귀중한</t>
        </is>
      </c>
      <c r="F964" s="11" t="inlineStr">
        <is>
          <t>Her advice proved to be invaluable during the negotiation.</t>
        </is>
      </c>
      <c r="G964" s="11" t="inlineStr">
        <is>
          <t>협상 과정에서 그녀의 조언은 값을 매길 수 없을 만큼 귀중했습니다.</t>
        </is>
      </c>
      <c r="H964" s="5">
        <f>HYPERLINK("https://www.youtube.com/watch?v=yPBRoGqCefg", "영상 보기 ▶")</f>
        <v/>
      </c>
    </row>
    <row r="965" ht="26" customHeight="1">
      <c r="A965" s="6" t="n">
        <v>964</v>
      </c>
      <c r="B965" s="7" t="inlineStr">
        <is>
          <t>총정리 20탄</t>
        </is>
      </c>
      <c r="C965" s="7" t="inlineStr">
        <is>
          <t>연락 소원</t>
        </is>
      </c>
      <c r="D965" s="8" t="inlineStr">
        <is>
          <t>lose touch</t>
        </is>
      </c>
      <c r="E965" s="12" t="inlineStr">
        <is>
          <t>(오랫동안) 연락이 끊기다, 소원해지다</t>
        </is>
      </c>
      <c r="F965" s="12" t="inlineStr">
        <is>
          <t>We used to be inseparable, but we lost touch after graduation.</t>
        </is>
      </c>
      <c r="G965" s="12" t="inlineStr">
        <is>
          <t>우리 둘도 없는 단짝이었는데 졸업하고 나서 연락이 끊겼어.</t>
        </is>
      </c>
      <c r="H965" s="9">
        <f>HYPERLINK("https://www.youtube.com/watch?v=yPBRoGqCefg", "영상 보기 ▶")</f>
        <v/>
      </c>
    </row>
    <row r="966" ht="26" customHeight="1">
      <c r="A966" s="2" t="n">
        <v>965</v>
      </c>
      <c r="B966" s="3" t="inlineStr">
        <is>
          <t>총정리 20탄</t>
        </is>
      </c>
      <c r="C966" s="3" t="inlineStr">
        <is>
          <t>재량 부재</t>
        </is>
      </c>
      <c r="D966" s="4" t="inlineStr">
        <is>
          <t>My hands are tied</t>
        </is>
      </c>
      <c r="E966" s="11" t="inlineStr">
        <is>
          <t>손이 묶여 있어서 어쩔 수가 없어 (권한/규정상 한계)</t>
        </is>
      </c>
      <c r="F966" s="11" t="inlineStr">
        <is>
          <t>I wish I could offer a bigger discount, but my hands are tied.</t>
        </is>
      </c>
      <c r="G966" s="11" t="inlineStr">
        <is>
          <t>더 큰 할인을 해드리고 싶지만 규정상 제 손이 묶여 있어 어쩔 수가 없습니다.</t>
        </is>
      </c>
      <c r="H966" s="5">
        <f>HYPERLINK("https://www.youtube.com/watch?v=yPBRoGqCefg", "영상 보기 ▶")</f>
        <v/>
      </c>
    </row>
    <row r="967" ht="26" customHeight="1">
      <c r="A967" s="6" t="n">
        <v>966</v>
      </c>
      <c r="B967" s="7" t="inlineStr">
        <is>
          <t>총정리 20탄</t>
        </is>
      </c>
      <c r="C967" s="7" t="inlineStr">
        <is>
          <t>입장 곤란</t>
        </is>
      </c>
      <c r="D967" s="8" t="inlineStr">
        <is>
          <t>I'm not in a position to + 동사원형</t>
        </is>
      </c>
      <c r="E967" s="12" t="inlineStr">
        <is>
          <t>제가 ~할 처지/입장이 아닙니다</t>
        </is>
      </c>
      <c r="F967" s="12" t="inlineStr">
        <is>
          <t>I'm not in a position to comment on ongoing personnel matters.</t>
        </is>
      </c>
      <c r="G967" s="12" t="inlineStr">
        <is>
          <t>제가 현재 진행 중인 인사 문제에 대해 언급할 입장이 아닙니다.</t>
        </is>
      </c>
      <c r="H967" s="9">
        <f>HYPERLINK("https://www.youtube.com/watch?v=yPBRoGqCefg", "영상 보기 ▶")</f>
        <v/>
      </c>
    </row>
    <row r="968" ht="26" customHeight="1">
      <c r="A968" s="2" t="n">
        <v>967</v>
      </c>
      <c r="B968" s="3" t="inlineStr">
        <is>
          <t>총정리 20탄</t>
        </is>
      </c>
      <c r="C968" s="3" t="inlineStr">
        <is>
          <t>심한 고민</t>
        </is>
      </c>
      <c r="D968" s="4" t="inlineStr">
        <is>
          <t>agonize over</t>
        </is>
      </c>
      <c r="E968" s="11" t="inlineStr">
        <is>
          <t>~ 때문에 끙끙 앓다, 몹시 괴로워하다</t>
        </is>
      </c>
      <c r="F968" s="11" t="inlineStr">
        <is>
          <t>Stop agonizing over past mistakes; look ahead.</t>
        </is>
      </c>
      <c r="G968" s="11" t="inlineStr">
        <is>
          <t>지나간 실수 때문에 끙끙 앓지 말고 앞을 봐.</t>
        </is>
      </c>
      <c r="H968" s="5">
        <f>HYPERLINK("https://www.youtube.com/watch?v=yPBRoGqCefg", "영상 보기 ▶")</f>
        <v/>
      </c>
    </row>
    <row r="969" ht="26" customHeight="1">
      <c r="A969" s="6" t="n">
        <v>968</v>
      </c>
      <c r="B969" s="7" t="inlineStr">
        <is>
          <t>총정리 20탄</t>
        </is>
      </c>
      <c r="C969" s="7" t="inlineStr">
        <is>
          <t>연결 주선</t>
        </is>
      </c>
      <c r="D969" s="8" t="inlineStr">
        <is>
          <t>put (사람) in touch with ~</t>
        </is>
      </c>
      <c r="E969" s="12" t="inlineStr">
        <is>
          <t>~와 연락이 닿도록 다리를 놓아주다</t>
        </is>
      </c>
      <c r="F969" s="12" t="inlineStr">
        <is>
          <t>Let me put you in touch with our lead architect.</t>
        </is>
      </c>
      <c r="G969" s="12" t="inlineStr">
        <is>
          <t>저희 수석 설계자와 연락이 닿으시도록 직접 연결해 드릴게요.</t>
        </is>
      </c>
      <c r="H969" s="9">
        <f>HYPERLINK("https://www.youtube.com/watch?v=yPBRoGqCefg", "영상 보기 ▶")</f>
        <v/>
      </c>
    </row>
    <row r="970" ht="26" customHeight="1">
      <c r="A970" s="2" t="n">
        <v>969</v>
      </c>
      <c r="B970" s="3" t="inlineStr">
        <is>
          <t>총정리 20탄</t>
        </is>
      </c>
      <c r="C970" s="3" t="inlineStr">
        <is>
          <t>손발 묶임</t>
        </is>
      </c>
      <c r="D970" s="4" t="inlineStr">
        <is>
          <t>be tied up</t>
        </is>
      </c>
      <c r="E970" s="11" t="inlineStr">
        <is>
          <t>일이 밀려 손발이 묶여 있다, 꼼짝 못 하다</t>
        </is>
      </c>
      <c r="F970" s="11" t="inlineStr">
        <is>
          <t>I'm tied up in conference calls all morning.</t>
        </is>
      </c>
      <c r="G970" s="11" t="inlineStr">
        <is>
          <t>오전 내내 화상 회의에 묶여 있어서 꼼짝도 못 하고 있어.</t>
        </is>
      </c>
      <c r="H970" s="5">
        <f>HYPERLINK("https://www.youtube.com/watch?v=yPBRoGqCefg", "영상 보기 ▶")</f>
        <v/>
      </c>
    </row>
    <row r="971" ht="26" customHeight="1">
      <c r="A971" s="6" t="n">
        <v>970</v>
      </c>
      <c r="B971" s="7" t="inlineStr">
        <is>
          <t>총정리 20탄</t>
        </is>
      </c>
      <c r="C971" s="7" t="inlineStr">
        <is>
          <t>뜻밖의 행운</t>
        </is>
      </c>
      <c r="D971" s="8" t="inlineStr">
        <is>
          <t>happy accident</t>
        </is>
      </c>
      <c r="E971" s="12" t="inlineStr">
        <is>
          <t>우연이 빚어낸 뜻밖의 좋은 결과/행운</t>
        </is>
      </c>
      <c r="F971" s="12" t="inlineStr">
        <is>
          <t>Discovering this charming bistro was a purely happy accident.</t>
        </is>
      </c>
      <c r="G971" s="12" t="inlineStr">
        <is>
          <t>이 매력적인 비스트로를 발견한 건 완전히 뜻밖의 기분 좋은 우연이었어.</t>
        </is>
      </c>
      <c r="H971" s="9">
        <f>HYPERLINK("https://www.youtube.com/watch?v=yPBRoGqCefg", "영상 보기 ▶")</f>
        <v/>
      </c>
    </row>
    <row r="972" ht="26" customHeight="1">
      <c r="A972" s="2" t="n">
        <v>971</v>
      </c>
      <c r="B972" s="3" t="inlineStr">
        <is>
          <t>총정리 20탄</t>
        </is>
      </c>
      <c r="C972" s="3" t="inlineStr">
        <is>
          <t>물거품</t>
        </is>
      </c>
      <c r="D972" s="4" t="inlineStr">
        <is>
          <t>There goes (대상)</t>
        </is>
      </c>
      <c r="E972" s="11" t="inlineStr">
        <is>
          <t>아이고, ~는 날아갔네/끝장났네</t>
        </is>
      </c>
      <c r="F972" s="11" t="inlineStr">
        <is>
          <t>There goes our quiet weekend; the client just called.</t>
        </is>
      </c>
      <c r="G972" s="11" t="inlineStr">
        <is>
          <t>아이고, 평화로운 주말은 다 날아갔네, 고객사에서 방금 전화 왔어.</t>
        </is>
      </c>
      <c r="H972" s="5">
        <f>HYPERLINK("https://www.youtube.com/watch?v=yPBRoGqCefg", "영상 보기 ▶")</f>
        <v/>
      </c>
    </row>
    <row r="973" ht="26" customHeight="1">
      <c r="A973" s="6" t="n">
        <v>972</v>
      </c>
      <c r="B973" s="7" t="inlineStr">
        <is>
          <t>총정리 20탄</t>
        </is>
      </c>
      <c r="C973" s="7" t="inlineStr">
        <is>
          <t>공개 감사</t>
        </is>
      </c>
      <c r="D973" s="8" t="inlineStr">
        <is>
          <t>give a shout-out</t>
        </is>
      </c>
      <c r="E973" s="12" t="inlineStr">
        <is>
          <t>공개적으로 감사의 마음/응원을 전하다</t>
        </is>
      </c>
      <c r="F973" s="12" t="inlineStr">
        <is>
          <t>I want to give a special shout-out to our design intern.</t>
        </is>
      </c>
      <c r="G973" s="12" t="inlineStr">
        <is>
          <t>우리 디자인 인턴에게 특별한 감사와 응원의 박수를 보내고 싶습니다.</t>
        </is>
      </c>
      <c r="H973" s="9">
        <f>HYPERLINK("https://www.youtube.com/watch?v=yPBRoGqCefg", "영상 보기 ▶")</f>
        <v/>
      </c>
    </row>
    <row r="974" ht="26" customHeight="1">
      <c r="A974" s="2" t="n">
        <v>973</v>
      </c>
      <c r="B974" s="3" t="inlineStr">
        <is>
          <t>총정리 20탄</t>
        </is>
      </c>
      <c r="C974" s="3" t="inlineStr">
        <is>
          <t>과도함</t>
        </is>
      </c>
      <c r="D974" s="4" t="inlineStr">
        <is>
          <t>outrageous</t>
        </is>
      </c>
      <c r="E974" s="11" t="inlineStr">
        <is>
          <t>터무니없이 충격적인, 상식을 벗어난</t>
        </is>
      </c>
      <c r="F974" s="11" t="inlineStr">
        <is>
          <t>Demanding a full refund after six months is simply outrageous.</t>
        </is>
      </c>
      <c r="G974" s="11" t="inlineStr">
        <is>
          <t>6개월이 지나 전액 환불을 요구하는 건 정말 상식 밖의 터무니없는 짓이야.</t>
        </is>
      </c>
      <c r="H974" s="5">
        <f>HYPERLINK("https://www.youtube.com/watch?v=yPBRoGqCefg", "영상 보기 ▶")</f>
        <v/>
      </c>
    </row>
    <row r="975" ht="26" customHeight="1">
      <c r="A975" s="6" t="n">
        <v>974</v>
      </c>
      <c r="B975" s="7" t="inlineStr">
        <is>
          <t>총정리 20탄</t>
        </is>
      </c>
      <c r="C975" s="7" t="inlineStr">
        <is>
          <t>가성비 우수</t>
        </is>
      </c>
      <c r="D975" s="8" t="inlineStr">
        <is>
          <t>good value</t>
        </is>
      </c>
      <c r="E975" s="12" t="inlineStr">
        <is>
          <t>가격 대비 가치가 훌륭한, 가성비 좋은</t>
        </is>
      </c>
      <c r="F975" s="12" t="inlineStr">
        <is>
          <t>This lunch set is exceptionally good value for money.</t>
        </is>
      </c>
      <c r="G975" s="12" t="inlineStr">
        <is>
          <t>이 점심 세트 메뉴는 가격 대비 구성이 정말 훌륭해.</t>
        </is>
      </c>
      <c r="H975" s="9">
        <f>HYPERLINK("https://www.youtube.com/watch?v=yPBRoGqCefg", "영상 보기 ▶")</f>
        <v/>
      </c>
    </row>
    <row r="976" ht="26" customHeight="1">
      <c r="A976" s="2" t="n">
        <v>975</v>
      </c>
      <c r="B976" s="3" t="inlineStr">
        <is>
          <t>총정리 20탄</t>
        </is>
      </c>
      <c r="C976" s="3" t="inlineStr">
        <is>
          <t>요식 행위</t>
        </is>
      </c>
      <c r="D976" s="4" t="inlineStr">
        <is>
          <t>It's just a formality</t>
        </is>
      </c>
      <c r="E976" s="11" t="inlineStr">
        <is>
          <t>단순한 형식/요식 행위일 뿐이야 (형식적 절차)</t>
        </is>
      </c>
      <c r="F976" s="11" t="inlineStr">
        <is>
          <t>Don't worry about the background check; it's just a formality.</t>
        </is>
      </c>
      <c r="G976" s="11" t="inlineStr">
        <is>
          <t>신원 조회 너무 걱정하지 마, 그건 그냥 통상적인 형식일 뿐이야.</t>
        </is>
      </c>
      <c r="H976" s="5">
        <f>HYPERLINK("https://www.youtube.com/watch?v=yPBRoGqCefg", "영상 보기 ▶")</f>
        <v/>
      </c>
    </row>
    <row r="977" ht="26" customHeight="1">
      <c r="A977" s="6" t="n">
        <v>976</v>
      </c>
      <c r="B977" s="7" t="inlineStr">
        <is>
          <t>총정리 20탄</t>
        </is>
      </c>
      <c r="C977" s="7" t="inlineStr">
        <is>
          <t>단서 조항</t>
        </is>
      </c>
      <c r="D977" s="8" t="inlineStr">
        <is>
          <t>caveat</t>
        </is>
      </c>
      <c r="E977" s="12" t="inlineStr">
        <is>
          <t>(주의해야 할) 단서 조항, 경고 사항</t>
        </is>
      </c>
      <c r="F977" s="12" t="inlineStr">
        <is>
          <t>The offer is fantastic, but with one important caveat.</t>
        </is>
      </c>
      <c r="G977" s="12" t="inlineStr">
        <is>
          <t>제안은 환상적이지만, 한 가지 중요한 단서 조항이 붙어 있습니다.</t>
        </is>
      </c>
      <c r="H977" s="9">
        <f>HYPERLINK("https://www.youtube.com/watch?v=yPBRoGqCefg", "영상 보기 ▶")</f>
        <v/>
      </c>
    </row>
    <row r="978" ht="26" customHeight="1">
      <c r="A978" s="2" t="n">
        <v>977</v>
      </c>
      <c r="B978" s="3" t="inlineStr">
        <is>
          <t>총정리 20탄</t>
        </is>
      </c>
      <c r="C978" s="3" t="inlineStr">
        <is>
          <t>최우선 처리</t>
        </is>
      </c>
      <c r="D978" s="4" t="inlineStr">
        <is>
          <t>first thing tomorrow</t>
        </is>
      </c>
      <c r="E978" s="11" t="inlineStr">
        <is>
          <t>내일 아침 출근하자마자 맨 먼저</t>
        </is>
      </c>
      <c r="F978" s="11" t="inlineStr">
        <is>
          <t>I will deliver the signed agreement first thing tomorrow.</t>
        </is>
      </c>
      <c r="G978" s="11" t="inlineStr">
        <is>
          <t>내일 아침 첫 일과로 서명된 합의서를 가장 먼저 전달하겠습니다.</t>
        </is>
      </c>
      <c r="H978" s="5">
        <f>HYPERLINK("https://www.youtube.com/watch?v=yPBRoGqCefg", "영상 보기 ▶")</f>
        <v/>
      </c>
    </row>
    <row r="979" ht="26" customHeight="1">
      <c r="A979" s="6" t="n">
        <v>978</v>
      </c>
      <c r="B979" s="7" t="inlineStr">
        <is>
          <t>총정리 20탄</t>
        </is>
      </c>
      <c r="C979" s="7" t="inlineStr">
        <is>
          <t>투명성</t>
        </is>
      </c>
      <c r="D979" s="8" t="inlineStr">
        <is>
          <t>transparent</t>
        </is>
      </c>
      <c r="E979" s="12" t="inlineStr">
        <is>
          <t>투명한, 솔직하고 명백한</t>
        </is>
      </c>
      <c r="F979" s="12" t="inlineStr">
        <is>
          <t>We are committed to maintaining completely transparent pricing.</t>
        </is>
      </c>
      <c r="G979" s="12" t="inlineStr">
        <is>
          <t>저희는 완전히 투명하고 명백한 가격 정책을 유지할 것을 약속합니다.</t>
        </is>
      </c>
      <c r="H979" s="9">
        <f>HYPERLINK("https://www.youtube.com/watch?v=yPBRoGqCefg", "영상 보기 ▶")</f>
        <v/>
      </c>
    </row>
    <row r="980" ht="26" customHeight="1">
      <c r="A980" s="2" t="n">
        <v>979</v>
      </c>
      <c r="B980" s="3" t="inlineStr">
        <is>
          <t>총정리 20탄</t>
        </is>
      </c>
      <c r="C980" s="3" t="inlineStr">
        <is>
          <t>변동</t>
        </is>
      </c>
      <c r="D980" s="4" t="inlineStr">
        <is>
          <t>fluctuate</t>
        </is>
      </c>
      <c r="E980" s="11" t="inlineStr">
        <is>
          <t>(수치/기온이) 끊임없이 요동치다, 오르내리다</t>
        </is>
      </c>
      <c r="F980" s="11" t="inlineStr">
        <is>
          <t>Fuel prices continue to fluctuate wildly due to market tension.</t>
        </is>
      </c>
      <c r="G980" s="11" t="inlineStr">
        <is>
          <t>시장 긴장으로 인해 유가가 계속해서 널뛰듯 요동치고 있습니다.</t>
        </is>
      </c>
      <c r="H980" s="5">
        <f>HYPERLINK("https://www.youtube.com/watch?v=yPBRoGqCefg", "영상 보기 ▶")</f>
        <v/>
      </c>
    </row>
    <row r="981" ht="26" customHeight="1">
      <c r="A981" s="6" t="n">
        <v>980</v>
      </c>
      <c r="B981" s="7" t="inlineStr">
        <is>
          <t>총정리 20탄</t>
        </is>
      </c>
      <c r="C981" s="7" t="inlineStr">
        <is>
          <t>주눅 들게 함</t>
        </is>
      </c>
      <c r="D981" s="8" t="inlineStr">
        <is>
          <t>intimidating</t>
        </is>
      </c>
      <c r="E981" s="12" t="inlineStr">
        <is>
          <t>위압감을 주는, 기가 죽게 만드는</t>
        </is>
      </c>
      <c r="F981" s="12" t="inlineStr">
        <is>
          <t>Speaking before five hundred executives can be quite intimidating.</t>
        </is>
      </c>
      <c r="G981" s="12" t="inlineStr">
        <is>
          <t>500명의 임원들 앞에서 발표하는 것은 꽤 위압적이고 떨릴 수 있습니다.</t>
        </is>
      </c>
      <c r="H981" s="9">
        <f>HYPERLINK("https://www.youtube.com/watch?v=yPBRoGqCefg", "영상 보기 ▶")</f>
        <v/>
      </c>
    </row>
    <row r="982" ht="26" customHeight="1">
      <c r="A982" s="2" t="n">
        <v>981</v>
      </c>
      <c r="B982" s="3" t="inlineStr">
        <is>
          <t>총정리 20탄</t>
        </is>
      </c>
      <c r="C982" s="3" t="inlineStr">
        <is>
          <t>확신 넘치는 일임</t>
        </is>
      </c>
      <c r="D982" s="4" t="inlineStr">
        <is>
          <t>Leave it to me</t>
        </is>
      </c>
      <c r="E982" s="11" t="inlineStr">
        <is>
          <t>나한테 맡겨둬, 내가 완벽히 처리할게</t>
        </is>
      </c>
      <c r="F982" s="11" t="inlineStr">
        <is>
          <t>You handle the client; leave the technical demo to me.</t>
        </is>
      </c>
      <c r="G982" s="11" t="inlineStr">
        <is>
          <t>너는 고객 응대해, 기술 시연은 나한테 맡겨두면 내가 알아서 할게.</t>
        </is>
      </c>
      <c r="H982" s="5">
        <f>HYPERLINK("https://www.youtube.com/watch?v=yPBRoGqCefg", "영상 보기 ▶")</f>
        <v/>
      </c>
    </row>
    <row r="983" ht="26" customHeight="1">
      <c r="A983" s="6" t="n">
        <v>982</v>
      </c>
      <c r="B983" s="7" t="inlineStr">
        <is>
          <t>총정리 20탄</t>
        </is>
      </c>
      <c r="C983" s="7" t="inlineStr">
        <is>
          <t>현재 향유</t>
        </is>
      </c>
      <c r="D983" s="8" t="inlineStr">
        <is>
          <t>We should enjoy it while it lasts</t>
        </is>
      </c>
      <c r="E983" s="12" t="inlineStr">
        <is>
          <t>좋을 때 한껏 즐겨둬야지 (영원하진 않으니)</t>
        </is>
      </c>
      <c r="F983" s="12" t="inlineStr">
        <is>
          <t>This mild autumn weather won't linger; let's enjoy it while it lasts.</t>
        </is>
      </c>
      <c r="G983" s="12" t="inlineStr">
        <is>
          <t>이 포근한 가을 날씨도 오래 안 갈 테니 좋을 때 한껏 만끽하자.</t>
        </is>
      </c>
      <c r="H983" s="9">
        <f>HYPERLINK("https://www.youtube.com/watch?v=yPBRoGqCefg", "영상 보기 ▶")</f>
        <v/>
      </c>
    </row>
    <row r="984" ht="26" customHeight="1">
      <c r="A984" s="2" t="n">
        <v>983</v>
      </c>
      <c r="B984" s="3" t="inlineStr">
        <is>
          <t>총정리 20탄</t>
        </is>
      </c>
      <c r="C984" s="3" t="inlineStr">
        <is>
          <t>동등 비교</t>
        </is>
      </c>
      <c r="D984" s="4" t="inlineStr">
        <is>
          <t>as ... as</t>
        </is>
      </c>
      <c r="E984" s="11" t="inlineStr">
        <is>
          <t>~만큼 ...한 (as soon as possible, as much as)</t>
        </is>
      </c>
      <c r="F984" s="11" t="inlineStr">
        <is>
          <t>Please deliver the revised mockups as soon as possible.</t>
        </is>
      </c>
      <c r="G984" s="11" t="inlineStr">
        <is>
          <t>가능한 한 신속하게 수정된 목업을 전달해 주세요.</t>
        </is>
      </c>
      <c r="H984" s="5">
        <f>HYPERLINK("https://www.youtube.com/watch?v=yPBRoGqCefg", "영상 보기 ▶")</f>
        <v/>
      </c>
    </row>
    <row r="985" ht="26" customHeight="1">
      <c r="A985" s="6" t="n">
        <v>984</v>
      </c>
      <c r="B985" s="7" t="inlineStr">
        <is>
          <t>총정리 20탄</t>
        </is>
      </c>
      <c r="C985" s="7" t="inlineStr">
        <is>
          <t>과감한 행보</t>
        </is>
      </c>
      <c r="D985" s="8" t="inlineStr">
        <is>
          <t>bold move</t>
        </is>
      </c>
      <c r="E985" s="12" t="inlineStr">
        <is>
          <t>대담하고 과감한 결단/조치</t>
        </is>
      </c>
      <c r="F985" s="12" t="inlineStr">
        <is>
          <t>Acquiring their main competitor was a very bold move.</t>
        </is>
      </c>
      <c r="G985" s="12" t="inlineStr">
        <is>
          <t>주요 경쟁사를 인수한 것은 대단히 과감하고 대담한 승부수였어.</t>
        </is>
      </c>
      <c r="H985" s="9">
        <f>HYPERLINK("https://www.youtube.com/watch?v=yPBRoGqCefg", "영상 보기 ▶")</f>
        <v/>
      </c>
    </row>
    <row r="986" ht="26" customHeight="1">
      <c r="A986" s="2" t="n">
        <v>985</v>
      </c>
      <c r="B986" s="3" t="inlineStr">
        <is>
          <t>총정리 20탄</t>
        </is>
      </c>
      <c r="C986" s="3" t="inlineStr">
        <is>
          <t>마음 진정</t>
        </is>
      </c>
      <c r="D986" s="4" t="inlineStr">
        <is>
          <t>soothing</t>
        </is>
      </c>
      <c r="E986" s="11" t="inlineStr">
        <is>
          <t>마음을 차분하게 가라앉혀 주는, 달래주는</t>
        </is>
      </c>
      <c r="F986" s="11" t="inlineStr">
        <is>
          <t>Listening to acoustic music has a soothing effect on stressed minds.</t>
        </is>
      </c>
      <c r="G986" s="11" t="inlineStr">
        <is>
          <t>어쿠스틱 음악을 듣는 것은 스트레스받은 마음에 마음을 차분히 달래주는 효과가 있어.</t>
        </is>
      </c>
      <c r="H986" s="5">
        <f>HYPERLINK("https://www.youtube.com/watch?v=yPBRoGqCefg", "영상 보기 ▶")</f>
        <v/>
      </c>
    </row>
    <row r="987" ht="26" customHeight="1">
      <c r="A987" s="6" t="n">
        <v>986</v>
      </c>
      <c r="B987" s="7" t="inlineStr">
        <is>
          <t>총정리 20탄</t>
        </is>
      </c>
      <c r="C987" s="7" t="inlineStr">
        <is>
          <t>조건부 수용</t>
        </is>
      </c>
      <c r="D987" s="8" t="inlineStr">
        <is>
          <t>I hear you, (but)</t>
        </is>
      </c>
      <c r="E987" s="12" t="inlineStr">
        <is>
          <t>무슨 말씀인지 잘 알겠습니다만, (반론 도입)</t>
        </is>
      </c>
      <c r="F987" s="12" t="inlineStr">
        <is>
          <t>I hear you, but we simply don't have the budget this quarter.</t>
        </is>
      </c>
      <c r="G987" s="12" t="inlineStr">
        <is>
          <t>무슨 말씀인지 잘 알겠습니다만, 이번 분기엔 예산이 도저히 없습니다.</t>
        </is>
      </c>
      <c r="H987" s="9">
        <f>HYPERLINK("https://www.youtube.com/watch?v=yPBRoGqCefg", "영상 보기 ▶")</f>
        <v/>
      </c>
    </row>
    <row r="988" ht="26" customHeight="1">
      <c r="A988" s="2" t="n">
        <v>987</v>
      </c>
      <c r="B988" s="3" t="inlineStr">
        <is>
          <t>총정리 20탄</t>
        </is>
      </c>
      <c r="C988" s="3" t="inlineStr">
        <is>
          <t>과장 경계</t>
        </is>
      </c>
      <c r="D988" s="4" t="inlineStr">
        <is>
          <t>I wouldn't go that far</t>
        </is>
      </c>
      <c r="E988" s="11" t="inlineStr">
        <is>
          <t>그렇게까지 극단적으로 말하고 싶진 않아</t>
        </is>
      </c>
      <c r="F988" s="11" t="inlineStr">
        <is>
          <t>He made a mistake, but I wouldn't go that far as calling him dishonest.</t>
        </is>
      </c>
      <c r="G988" s="11" t="inlineStr">
        <is>
          <t>그가 실수를 하긴 했지만, 정직하지 못하다고까지 몰아세우고 싶진 않아.</t>
        </is>
      </c>
      <c r="H988" s="5">
        <f>HYPERLINK("https://www.youtube.com/watch?v=yPBRoGqCefg", "영상 보기 ▶")</f>
        <v/>
      </c>
    </row>
    <row r="989" ht="26" customHeight="1">
      <c r="A989" s="6" t="n">
        <v>988</v>
      </c>
      <c r="B989" s="7" t="inlineStr">
        <is>
          <t>총정리 20탄</t>
        </is>
      </c>
      <c r="C989" s="7" t="inlineStr">
        <is>
          <t>화제 제기</t>
        </is>
      </c>
      <c r="D989" s="8" t="inlineStr">
        <is>
          <t>bring up</t>
        </is>
      </c>
      <c r="E989" s="12" t="inlineStr">
        <is>
          <t>(대화/회의에서 안건을) 꺼내다, 제기하다</t>
        </is>
      </c>
      <c r="F989" s="12" t="inlineStr">
        <is>
          <t>I hate to bring this up, but we have an unresolved billing issue.</t>
        </is>
      </c>
      <c r="G989" s="12" t="inlineStr">
        <is>
          <t>이런 말 꺼내기 유감스럽지만, 아직 해결되지 않은 청구서 문제가 있어요.</t>
        </is>
      </c>
      <c r="H989" s="9">
        <f>HYPERLINK("https://www.youtube.com/watch?v=yPBRoGqCefg", "영상 보기 ▶")</f>
        <v/>
      </c>
    </row>
    <row r="990" ht="26" customHeight="1">
      <c r="A990" s="2" t="n">
        <v>989</v>
      </c>
      <c r="B990" s="3" t="inlineStr">
        <is>
          <t>총정리 20탄</t>
        </is>
      </c>
      <c r="C990" s="3" t="inlineStr">
        <is>
          <t>현황 브리핑</t>
        </is>
      </c>
      <c r="D990" s="4" t="inlineStr">
        <is>
          <t>bring (사람) up to speed</t>
        </is>
      </c>
      <c r="E990" s="11" t="inlineStr">
        <is>
          <t>~에게 최신 현황을 설명하여 이해시키다</t>
        </is>
      </c>
      <c r="F990" s="11" t="inlineStr">
        <is>
          <t>Let me bring you up to speed before the client arrives.</t>
        </is>
      </c>
      <c r="G990" s="11" t="inlineStr">
        <is>
          <t>고객이 도착하기 전에 최신 현황을 간략히 브리핑해 드릴게요.</t>
        </is>
      </c>
      <c r="H990" s="5">
        <f>HYPERLINK("https://www.youtube.com/watch?v=yPBRoGqCefg", "영상 보기 ▶")</f>
        <v/>
      </c>
    </row>
    <row r="991" ht="26" customHeight="1">
      <c r="A991" s="6" t="n">
        <v>990</v>
      </c>
      <c r="B991" s="7" t="inlineStr">
        <is>
          <t>총정리 20탄</t>
        </is>
      </c>
      <c r="C991" s="7" t="inlineStr">
        <is>
          <t>자기 보상</t>
        </is>
      </c>
      <c r="D991" s="8" t="inlineStr">
        <is>
          <t>Treat yourself</t>
        </is>
      </c>
      <c r="E991" s="12" t="inlineStr">
        <is>
          <t>너 자신에게 근사하게 한턱 쏴/보상해 줘</t>
        </is>
      </c>
      <c r="F991" s="12" t="inlineStr">
        <is>
          <t>You worked so hard this month; go treat yourself to a nice meal!</t>
        </is>
      </c>
      <c r="G991" s="12" t="inlineStr">
        <is>
          <t>이번 달에 정말 고생 많았잖아, 가서 너 자신에게 근사한 식사 한 끼 쏴!</t>
        </is>
      </c>
      <c r="H991" s="9">
        <f>HYPERLINK("https://www.youtube.com/watch?v=yPBRoGqCefg", "영상 보기 ▶")</f>
        <v/>
      </c>
    </row>
    <row r="992" ht="26" customHeight="1">
      <c r="A992" s="2" t="n">
        <v>991</v>
      </c>
      <c r="B992" s="3" t="inlineStr">
        <is>
          <t>총정리 20탄</t>
        </is>
      </c>
      <c r="C992" s="3" t="inlineStr">
        <is>
          <t>변함없는 칭찬</t>
        </is>
      </c>
      <c r="D992" s="4" t="inlineStr">
        <is>
          <t>You're as ____ as ever</t>
        </is>
      </c>
      <c r="E992" s="11" t="inlineStr">
        <is>
          <t>너는 여전히 변함없이 ~하구나</t>
        </is>
      </c>
      <c r="F992" s="11" t="inlineStr">
        <is>
          <t>It's so great to see you; you're as charming as ever!</t>
        </is>
      </c>
      <c r="G992" s="11" t="inlineStr">
        <is>
          <t>다시 만나서 정말 반가워, 넌 여전히 변함없이 매력적이구나!</t>
        </is>
      </c>
      <c r="H992" s="5">
        <f>HYPERLINK("https://www.youtube.com/watch?v=yPBRoGqCefg", "영상 보기 ▶")</f>
        <v/>
      </c>
    </row>
    <row r="993" ht="26" customHeight="1">
      <c r="A993" s="6" t="n">
        <v>992</v>
      </c>
      <c r="B993" s="7" t="inlineStr">
        <is>
          <t>총정리 20탄</t>
        </is>
      </c>
      <c r="C993" s="7" t="inlineStr">
        <is>
          <t>정중한 태도</t>
        </is>
      </c>
      <c r="D993" s="8" t="inlineStr">
        <is>
          <t>civil</t>
        </is>
      </c>
      <c r="E993" s="12" t="inlineStr">
        <is>
          <t>예의 바른, 정중한 (keep it civil)</t>
        </is>
      </c>
      <c r="F993" s="12" t="inlineStr">
        <is>
          <t>We may disagree strongly, but let's please keep things civil.</t>
        </is>
      </c>
      <c r="G993" s="12" t="inlineStr">
        <is>
          <t>서로 강하게 의견이 대립하더라도 제발 예의는 지키며 대화합시다.</t>
        </is>
      </c>
      <c r="H993" s="9">
        <f>HYPERLINK("https://www.youtube.com/watch?v=yPBRoGqCefg", "영상 보기 ▶")</f>
        <v/>
      </c>
    </row>
    <row r="994" ht="26" customHeight="1">
      <c r="A994" s="2" t="n">
        <v>993</v>
      </c>
      <c r="B994" s="3" t="inlineStr">
        <is>
          <t>총정리 20탄</t>
        </is>
      </c>
      <c r="C994" s="3" t="inlineStr">
        <is>
          <t>생생한 조언</t>
        </is>
      </c>
      <c r="D994" s="4" t="inlineStr">
        <is>
          <t>Take it from me</t>
        </is>
      </c>
      <c r="E994" s="11" t="inlineStr">
        <is>
          <t>내 말 믿어봐, 내가 직접 겪어봐서 잘 알아</t>
        </is>
      </c>
      <c r="F994" s="11" t="inlineStr">
        <is>
          <t>Take it from me, rushing into a startup without savings is dangerous.</t>
        </is>
      </c>
      <c r="G994" s="11" t="inlineStr">
        <is>
          <t>내 말 새겨들어, 저축도 없이 무작정 창업에 뛰어드는 건 진짜 위험해.</t>
        </is>
      </c>
      <c r="H994" s="5">
        <f>HYPERLINK("https://www.youtube.com/watch?v=yPBRoGqCefg", "영상 보기 ▶")</f>
        <v/>
      </c>
    </row>
    <row r="995" ht="26" customHeight="1">
      <c r="A995" s="6" t="n">
        <v>994</v>
      </c>
      <c r="B995" s="7" t="inlineStr">
        <is>
          <t>총정리 20탄</t>
        </is>
      </c>
      <c r="C995" s="7" t="inlineStr">
        <is>
          <t>역린/아픈 구석</t>
        </is>
      </c>
      <c r="D995" s="8" t="inlineStr">
        <is>
          <t>sore spot</t>
        </is>
      </c>
      <c r="E995" s="12" t="inlineStr">
        <is>
          <t>건드리면 아픈 상처, 아킬레스건, 역린</t>
        </is>
      </c>
      <c r="F995" s="12" t="inlineStr">
        <is>
          <t>Don't ask about his failed venture; it's a real sore spot.</t>
        </is>
      </c>
      <c r="G995" s="12" t="inlineStr">
        <is>
          <t>그의 실패한 사업 이야기는 묻지 마, 그 사람에겐 진짜 아픈 역린이야.</t>
        </is>
      </c>
      <c r="H995" s="9">
        <f>HYPERLINK("https://www.youtube.com/watch?v=yPBRoGqCefg", "영상 보기 ▶")</f>
        <v/>
      </c>
    </row>
    <row r="996" ht="26" customHeight="1">
      <c r="A996" s="2" t="n">
        <v>995</v>
      </c>
      <c r="B996" s="3" t="inlineStr">
        <is>
          <t>총정리 20탄</t>
        </is>
      </c>
      <c r="C996" s="3" t="inlineStr">
        <is>
          <t>주시/감시</t>
        </is>
      </c>
      <c r="D996" s="4" t="inlineStr">
        <is>
          <t>Keep an eye on</t>
        </is>
      </c>
      <c r="E996" s="11" t="inlineStr">
        <is>
          <t>~를 유심히 지켜보다, 눈여겨보다</t>
        </is>
      </c>
      <c r="F996" s="11" t="inlineStr">
        <is>
          <t>Please keep an eye on the soup while I answer the phone.</t>
        </is>
      </c>
      <c r="G996" s="11" t="inlineStr">
        <is>
          <t>나 전화 받는 동안 냄비에 국 좀 유심히 지켜봐 줘.</t>
        </is>
      </c>
      <c r="H996" s="5">
        <f>HYPERLINK("https://www.youtube.com/watch?v=yPBRoGqCefg", "영상 보기 ▶")</f>
        <v/>
      </c>
    </row>
    <row r="997" ht="26" customHeight="1">
      <c r="A997" s="6" t="n">
        <v>996</v>
      </c>
      <c r="B997" s="7" t="inlineStr">
        <is>
          <t>총정리 20탄</t>
        </is>
      </c>
      <c r="C997" s="7" t="inlineStr">
        <is>
          <t>격앙된 분위기</t>
        </is>
      </c>
      <c r="D997" s="8" t="inlineStr">
        <is>
          <t>heated</t>
        </is>
      </c>
      <c r="E997" s="12" t="inlineStr">
        <is>
          <t>격앙된, 뜨겁게 달아오른 (a heated debate)</t>
        </is>
      </c>
      <c r="F997" s="12" t="inlineStr">
        <is>
          <t>The debate grew heated as both sides refused to back down.</t>
        </is>
      </c>
      <c r="G997" s="12" t="inlineStr">
        <is>
          <t>양측 모두 물러서기를 거부하면서 토론은 점점 격앙되었습니다.</t>
        </is>
      </c>
      <c r="H997" s="9">
        <f>HYPERLINK("https://www.youtube.com/watch?v=yPBRoGqCefg", "영상 보기 ▶")</f>
        <v/>
      </c>
    </row>
    <row r="998" ht="26" customHeight="1">
      <c r="A998" s="2" t="n">
        <v>997</v>
      </c>
      <c r="B998" s="3" t="inlineStr">
        <is>
          <t>총정리 20탄</t>
        </is>
      </c>
      <c r="C998" s="3" t="inlineStr">
        <is>
          <t>보편적 현상</t>
        </is>
      </c>
      <c r="D998" s="4" t="inlineStr">
        <is>
          <t>It's perfectly normal to ~</t>
        </is>
      </c>
      <c r="E998" s="11" t="inlineStr">
        <is>
          <t>~하는 것은 지극히 당연하고 보편적인 일이야</t>
        </is>
      </c>
      <c r="F998" s="11" t="inlineStr">
        <is>
          <t>It's perfectly normal to feel overwhelmed during your first week.</t>
        </is>
      </c>
      <c r="G998" s="11" t="inlineStr">
        <is>
          <t>첫 주에 부담감으로 벅차게 느껴지는 것은 지극히 당연한 정상입니다.</t>
        </is>
      </c>
      <c r="H998" s="5">
        <f>HYPERLINK("https://www.youtube.com/watch?v=yPBRoGqCefg", "영상 보기 ▶")</f>
        <v/>
      </c>
    </row>
    <row r="999" ht="26" customHeight="1">
      <c r="A999" s="6" t="n">
        <v>998</v>
      </c>
      <c r="B999" s="7" t="inlineStr">
        <is>
          <t>총정리 20탄</t>
        </is>
      </c>
      <c r="C999" s="7" t="inlineStr">
        <is>
          <t>타협 불가</t>
        </is>
      </c>
      <c r="D999" s="8" t="inlineStr">
        <is>
          <t>non-negotiable</t>
        </is>
      </c>
      <c r="E999" s="12" t="inlineStr">
        <is>
          <t>절대 타협/협상할 수 없는 절대 원칙인</t>
        </is>
      </c>
      <c r="F999" s="12" t="inlineStr">
        <is>
          <t>Safety compliance is completely non-negotiable for our factory.</t>
        </is>
      </c>
      <c r="G999" s="12" t="inlineStr">
        <is>
          <t>우리 공장에서 안전 규정 준수는 결코 타협할 수 없는 절대 원칙입니다.</t>
        </is>
      </c>
      <c r="H999" s="9">
        <f>HYPERLINK("https://www.youtube.com/watch?v=yPBRoGqCefg", "영상 보기 ▶")</f>
        <v/>
      </c>
    </row>
    <row r="1000" ht="26" customHeight="1">
      <c r="A1000" s="2" t="n">
        <v>999</v>
      </c>
      <c r="B1000" s="3" t="inlineStr">
        <is>
          <t>총정리 20탄</t>
        </is>
      </c>
      <c r="C1000" s="3" t="inlineStr">
        <is>
          <t>절대적 마감</t>
        </is>
      </c>
      <c r="D1000" s="4" t="inlineStr">
        <is>
          <t>hard deadline</t>
        </is>
      </c>
      <c r="E1000" s="11" t="inlineStr">
        <is>
          <t>엄격한 절대적 마감 기한 (연장 불가)</t>
        </is>
      </c>
      <c r="F1000" s="11" t="inlineStr">
        <is>
          <t>Midnight tonight is a hard deadline; the submission portal closes.</t>
        </is>
      </c>
      <c r="G1000" s="11" t="inlineStr">
        <is>
          <t>오늘 자정은 절대 마감입니다, 제출 포털이 칼같이 닫힙니다.</t>
        </is>
      </c>
      <c r="H1000" s="5">
        <f>HYPERLINK("https://www.youtube.com/watch?v=yPBRoGqCefg", "영상 보기 ▶")</f>
        <v/>
      </c>
    </row>
    <row r="1001" ht="26" customHeight="1">
      <c r="A1001" s="6" t="n">
        <v>1000</v>
      </c>
      <c r="B1001" s="7" t="inlineStr">
        <is>
          <t>총정리 20탄</t>
        </is>
      </c>
      <c r="C1001" s="7" t="inlineStr">
        <is>
          <t>타협/절충</t>
        </is>
      </c>
      <c r="D1001" s="8" t="inlineStr">
        <is>
          <t>compromise</t>
        </is>
      </c>
      <c r="E1001" s="12" t="inlineStr">
        <is>
          <t>절충하다, 타협하다, 상호 양보하다 (1,000개 완결!)</t>
        </is>
      </c>
      <c r="F1001" s="12" t="inlineStr">
        <is>
          <t>To reach a consensus, both teams had to compromise on features.</t>
        </is>
      </c>
      <c r="G1001" s="12" t="inlineStr">
        <is>
          <t>합의에 도달하기 위해 양 팀 모두 기능 구현에서 절충하고 양보해야 했습니다.</t>
        </is>
      </c>
      <c r="H1001" s="9">
        <f>HYPERLINK("https://www.youtube.com/watch?v=yPBRoGqCefg", "영상 보기 ▶")</f>
        <v/>
      </c>
    </row>
    <row r="1002" ht="26" customHeight="1">
      <c r="A1002" s="2" t="n">
        <v>1001</v>
      </c>
      <c r="B1002" s="3" t="inlineStr">
        <is>
          <t>총정리 21탄</t>
        </is>
      </c>
      <c r="C1002" s="3" t="inlineStr">
        <is>
          <t>협상/조정</t>
        </is>
      </c>
      <c r="D1002" s="4" t="inlineStr">
        <is>
          <t>wiggle room</t>
        </is>
      </c>
      <c r="E1002" s="11" t="inlineStr">
        <is>
          <t>조정의 여지, 재량권 (일정/가격 등의 융통성)</t>
        </is>
      </c>
      <c r="F1002" s="11" t="inlineStr">
        <is>
          <t>Is there any wiggle room on the delivery date?</t>
        </is>
      </c>
      <c r="G1002" s="11" t="inlineStr">
        <is>
          <t>납품 일정에 조금이라도 조정할 수 있는 여지가 있을까요?</t>
        </is>
      </c>
      <c r="H1002" s="5">
        <f>HYPERLINK("https://www.youtube.com/watch?v=pc6UmwZD-KU", "영상 보기 ▶")</f>
        <v/>
      </c>
    </row>
    <row r="1003" ht="26" customHeight="1">
      <c r="A1003" s="6" t="n">
        <v>1002</v>
      </c>
      <c r="B1003" s="7" t="inlineStr">
        <is>
          <t>총정리 21탄</t>
        </is>
      </c>
      <c r="C1003" s="7" t="inlineStr">
        <is>
          <t>인내/과정</t>
        </is>
      </c>
      <c r="D1003" s="8" t="inlineStr">
        <is>
          <t>It's a process</t>
        </is>
      </c>
      <c r="E1003" s="12" t="inlineStr">
        <is>
          <t>하루아침에 되는 게 아니야, 차근차근 시간이 걸리는 과정이야</t>
        </is>
      </c>
      <c r="F1003" s="12" t="inlineStr">
        <is>
          <t>Don't get discouraged; learning a new skill is a process.</t>
        </is>
      </c>
      <c r="G1003" s="12" t="inlineStr">
        <is>
          <t>낙담하지 마, 새로운 기술을 배우는 건 차근차근 시간이 걸리는 과정이야.</t>
        </is>
      </c>
      <c r="H1003" s="9">
        <f>HYPERLINK("https://www.youtube.com/watch?v=pc6UmwZD-KU", "영상 보기 ▶")</f>
        <v/>
      </c>
    </row>
    <row r="1004" ht="26" customHeight="1">
      <c r="A1004" s="2" t="n">
        <v>1003</v>
      </c>
      <c r="B1004" s="3" t="inlineStr">
        <is>
          <t>총정리 21탄</t>
        </is>
      </c>
      <c r="C1004" s="3" t="inlineStr">
        <is>
          <t>정보 과부하</t>
        </is>
      </c>
      <c r="D1004" s="4" t="inlineStr">
        <is>
          <t>It's a lot to process</t>
        </is>
      </c>
      <c r="E1004" s="11" t="inlineStr">
        <is>
          <t>한 번에 소화하기엔 너무 많은 내용/충격이야</t>
        </is>
      </c>
      <c r="F1004" s="11" t="inlineStr">
        <is>
          <t>Thank you for the detailed briefing; it's a lot to process.</t>
        </is>
      </c>
      <c r="G1004" s="11" t="inlineStr">
        <is>
          <t>상세한 브리핑 감사합니다. 한 번에 소화하고 이해하기엔 양이 꽤 많네요.</t>
        </is>
      </c>
      <c r="H1004" s="5">
        <f>HYPERLINK("https://www.youtube.com/watch?v=pc6UmwZD-KU", "영상 보기 ▶")</f>
        <v/>
      </c>
    </row>
    <row r="1005" ht="26" customHeight="1">
      <c r="A1005" s="6" t="n">
        <v>1004</v>
      </c>
      <c r="B1005" s="7" t="inlineStr">
        <is>
          <t>총정리 21탄</t>
        </is>
      </c>
      <c r="C1005" s="7" t="inlineStr">
        <is>
          <t>탁월함/미결</t>
        </is>
      </c>
      <c r="D1005" s="8" t="inlineStr">
        <is>
          <t>outstanding</t>
        </is>
      </c>
      <c r="E1005" s="12" t="inlineStr">
        <is>
          <t>① 뛰어난, 훌륭한 ② 미결제의, 처리되지 않은</t>
        </is>
      </c>
      <c r="F1005" s="12" t="inlineStr">
        <is>
          <t>She did an outstanding job on the presentation.</t>
        </is>
      </c>
      <c r="G1005" s="12" t="inlineStr">
        <is>
          <t>그녀는 이번 발표에서 대단히 훌륭하고 뛰어난 성과를 냈어.</t>
        </is>
      </c>
      <c r="H1005" s="9">
        <f>HYPERLINK("https://www.youtube.com/watch?v=pc6UmwZD-KU", "영상 보기 ▶")</f>
        <v/>
      </c>
    </row>
    <row r="1006" ht="26" customHeight="1">
      <c r="A1006" s="2" t="n">
        <v>1005</v>
      </c>
      <c r="B1006" s="3" t="inlineStr">
        <is>
          <t>총정리 21탄</t>
        </is>
      </c>
      <c r="C1006" s="3" t="inlineStr">
        <is>
          <t>철야 작업</t>
        </is>
      </c>
      <c r="D1006" s="4" t="inlineStr">
        <is>
          <t>work around the clock</t>
        </is>
      </c>
      <c r="E1006" s="11" t="inlineStr">
        <is>
          <t>밤낮없이 24시간 내내 쉬지 않고 일하다</t>
        </is>
      </c>
      <c r="F1006" s="11" t="inlineStr">
        <is>
          <t>The emergency repair crew worked around the clock.</t>
        </is>
      </c>
      <c r="G1006" s="11" t="inlineStr">
        <is>
          <t>긴급 복구팀은 밤낮없이 24시간 내내 쉬지 않고 일했습니다.</t>
        </is>
      </c>
      <c r="H1006" s="5">
        <f>HYPERLINK("https://www.youtube.com/watch?v=pc6UmwZD-KU", "영상 보기 ▶")</f>
        <v/>
      </c>
    </row>
    <row r="1007" ht="26" customHeight="1">
      <c r="A1007" s="6" t="n">
        <v>1006</v>
      </c>
      <c r="B1007" s="7" t="inlineStr">
        <is>
          <t>총정리 21탄</t>
        </is>
      </c>
      <c r="C1007" s="7" t="inlineStr">
        <is>
          <t>타당한 지적</t>
        </is>
      </c>
      <c r="D1007" s="8" t="inlineStr">
        <is>
          <t>That's a fair question</t>
        </is>
      </c>
      <c r="E1007" s="12" t="inlineStr">
        <is>
          <t>충분히 하실 수 있는 타당한 질문입니다</t>
        </is>
      </c>
      <c r="F1007" s="12" t="inlineStr">
        <is>
          <t>That's a fair question; let me explain our pricing model.</t>
        </is>
      </c>
      <c r="G1007" s="12" t="inlineStr">
        <is>
          <t>충분히 제기하실 만한 타당한 질문입니다. 저희 가격 책정 모델을 설명해 드릴게요.</t>
        </is>
      </c>
      <c r="H1007" s="9">
        <f>HYPERLINK("https://www.youtube.com/watch?v=pc6UmwZD-KU", "영상 보기 ▶")</f>
        <v/>
      </c>
    </row>
    <row r="1008" ht="26" customHeight="1">
      <c r="A1008" s="2" t="n">
        <v>1007</v>
      </c>
      <c r="B1008" s="3" t="inlineStr">
        <is>
          <t>총정리 21탄</t>
        </is>
      </c>
      <c r="C1008" s="3" t="inlineStr">
        <is>
          <t>납득/수용</t>
        </is>
      </c>
      <c r="D1008" s="4" t="inlineStr">
        <is>
          <t>Fair enough</t>
        </is>
      </c>
      <c r="E1008" s="11" t="inlineStr">
        <is>
          <t>그럴 만하네, 알겠어, 충분히 수긍이 가</t>
        </is>
      </c>
      <c r="F1008" s="11" t="inlineStr">
        <is>
          <t>If you're too exhausted to drive, fair enough; I'll drive.</t>
        </is>
      </c>
      <c r="G1008" s="11" t="inlineStr">
        <is>
          <t>운전하기에 너무 피곤하다면 그럴 만하지, 내가 운전할게.</t>
        </is>
      </c>
      <c r="H1008" s="5">
        <f>HYPERLINK("https://www.youtube.com/watch?v=pc6UmwZD-KU", "영상 보기 ▶")</f>
        <v/>
      </c>
    </row>
    <row r="1009" ht="26" customHeight="1">
      <c r="A1009" s="6" t="n">
        <v>1008</v>
      </c>
      <c r="B1009" s="7" t="inlineStr">
        <is>
          <t>총정리 21탄</t>
        </is>
      </c>
      <c r="C1009" s="7" t="inlineStr">
        <is>
          <t>공정성</t>
        </is>
      </c>
      <c r="D1009" s="8" t="inlineStr">
        <is>
          <t>fair</t>
        </is>
      </c>
      <c r="E1009" s="12" t="inlineStr">
        <is>
          <t>공정한, 타당한 (a fair deal/assessment)</t>
        </is>
      </c>
      <c r="F1009" s="12" t="inlineStr">
        <is>
          <t>We need to ensure a fair evaluation for all candidates.</t>
        </is>
      </c>
      <c r="G1009" s="12" t="inlineStr">
        <is>
          <t>모든 지원자에게 공정한 평가가 이뤄지도록 보장해야 합니다.</t>
        </is>
      </c>
      <c r="H1009" s="9">
        <f>HYPERLINK("https://www.youtube.com/watch?v=pc6UmwZD-KU", "영상 보기 ▶")</f>
        <v/>
      </c>
    </row>
    <row r="1010" ht="26" customHeight="1">
      <c r="A1010" s="2" t="n">
        <v>1009</v>
      </c>
      <c r="B1010" s="3" t="inlineStr">
        <is>
          <t>총정리 21탄</t>
        </is>
      </c>
      <c r="C1010" s="3" t="inlineStr">
        <is>
          <t>동의/합류</t>
        </is>
      </c>
      <c r="D1010" s="4" t="inlineStr">
        <is>
          <t>be on board</t>
        </is>
      </c>
      <c r="E1010" s="11" t="inlineStr">
        <is>
          <t>동의하다, 찬성하여 동참하다</t>
        </is>
      </c>
      <c r="F1010" s="11" t="inlineStr">
        <is>
          <t>Is the legal team on board with the revised terms?</t>
        </is>
      </c>
      <c r="G1010" s="11" t="inlineStr">
        <is>
          <t>법무팀도 수정된 계약 조항에 동의하고 함께 가나요?</t>
        </is>
      </c>
      <c r="H1010" s="5">
        <f>HYPERLINK("https://www.youtube.com/watch?v=pc6UmwZD-KU", "영상 보기 ▶")</f>
        <v/>
      </c>
    </row>
    <row r="1011" ht="26" customHeight="1">
      <c r="A1011" s="6" t="n">
        <v>1010</v>
      </c>
      <c r="B1011" s="7" t="inlineStr">
        <is>
          <t>총정리 21탄</t>
        </is>
      </c>
      <c r="C1011" s="7" t="inlineStr">
        <is>
          <t>호흡 일치</t>
        </is>
      </c>
      <c r="D1011" s="8" t="inlineStr">
        <is>
          <t>be on the same page</t>
        </is>
      </c>
      <c r="E1011" s="12" t="inlineStr">
        <is>
          <t>이해와 목표가 완벽히 일치하다</t>
        </is>
      </c>
      <c r="F1011" s="12" t="inlineStr">
        <is>
          <t>Let's review the timeline so we're all on the same page.</t>
        </is>
      </c>
      <c r="G1011" s="12" t="inlineStr">
        <is>
          <t>모두가 한마음으로 손발을 맞출 수 있도록 일정을 함께 점검합시다.</t>
        </is>
      </c>
      <c r="H1011" s="9">
        <f>HYPERLINK("https://www.youtube.com/watch?v=pc6UmwZD-KU", "영상 보기 ▶")</f>
        <v/>
      </c>
    </row>
    <row r="1012" ht="26" customHeight="1">
      <c r="A1012" s="2" t="n">
        <v>1011</v>
      </c>
      <c r="B1012" s="3" t="inlineStr">
        <is>
          <t>총정리 21탄</t>
        </is>
      </c>
      <c r="C1012" s="3" t="inlineStr">
        <is>
          <t>도달 격려</t>
        </is>
      </c>
      <c r="D1012" s="4" t="inlineStr">
        <is>
          <t>You'll get there</t>
        </is>
      </c>
      <c r="E1012" s="11" t="inlineStr">
        <is>
          <t>포기하지 마, 결국엔 다 도달하게 될 거야</t>
        </is>
      </c>
      <c r="F1012" s="11" t="inlineStr">
        <is>
          <t>It feels overwhelming now, but keep practicing; you'll get there.</t>
        </is>
      </c>
      <c r="G1012" s="11" t="inlineStr">
        <is>
          <t>지금은 벅차게 느껴지겠지만 꾸준히 연습해 봐, 결국엔 다 잘 해내게 될 거야.</t>
        </is>
      </c>
      <c r="H1012" s="5">
        <f>HYPERLINK("https://www.youtube.com/watch?v=pc6UmwZD-KU", "영상 보기 ▶")</f>
        <v/>
      </c>
    </row>
    <row r="1013" ht="26" customHeight="1">
      <c r="A1013" s="6" t="n">
        <v>1012</v>
      </c>
      <c r="B1013" s="7" t="inlineStr">
        <is>
          <t>총정리 21탄</t>
        </is>
      </c>
      <c r="C1013" s="7" t="inlineStr">
        <is>
          <t>계약 성사</t>
        </is>
      </c>
      <c r="D1013" s="8" t="inlineStr">
        <is>
          <t>close a deal</t>
        </is>
      </c>
      <c r="E1013" s="12" t="inlineStr">
        <is>
          <t>계약을 최종 체결하다, 성사시키다</t>
        </is>
      </c>
      <c r="F1013" s="12" t="inlineStr">
        <is>
          <t>Our sales team managed to close a multimillion-dollar deal.</t>
        </is>
      </c>
      <c r="G1013" s="12" t="inlineStr">
        <is>
          <t>저희 영업팀은 수백만 달러 규모의 계약을 성공적으로 체결했습니다.</t>
        </is>
      </c>
      <c r="H1013" s="9">
        <f>HYPERLINK("https://www.youtube.com/watch?v=pc6UmwZD-KU", "영상 보기 ▶")</f>
        <v/>
      </c>
    </row>
    <row r="1014" ht="26" customHeight="1">
      <c r="A1014" s="2" t="n">
        <v>1013</v>
      </c>
      <c r="B1014" s="3" t="inlineStr">
        <is>
          <t>총정리 21탄</t>
        </is>
      </c>
      <c r="C1014" s="3" t="inlineStr">
        <is>
          <t>진도 우위</t>
        </is>
      </c>
      <c r="D1014" s="4" t="inlineStr">
        <is>
          <t>be further along than ~</t>
        </is>
      </c>
      <c r="E1014" s="11" t="inlineStr">
        <is>
          <t>~보다 진도가 더 많이 나가다/진척되다</t>
        </is>
      </c>
      <c r="F1014" s="11" t="inlineStr">
        <is>
          <t>We are much further along than we were last month.</t>
        </is>
      </c>
      <c r="G1014" s="11" t="inlineStr">
        <is>
          <t>우리는 지난달에 비하면 진도가 훨씬 더 많이 앞서 나가 있습니다.</t>
        </is>
      </c>
      <c r="H1014" s="5">
        <f>HYPERLINK("https://www.youtube.com/watch?v=pc6UmwZD-KU", "영상 보기 ▶")</f>
        <v/>
      </c>
    </row>
    <row r="1015" ht="26" customHeight="1">
      <c r="A1015" s="6" t="n">
        <v>1014</v>
      </c>
      <c r="B1015" s="7" t="inlineStr">
        <is>
          <t>총정리 21탄</t>
        </is>
      </c>
      <c r="C1015" s="7" t="inlineStr">
        <is>
          <t>현재 시점</t>
        </is>
      </c>
      <c r="D1015" s="8" t="inlineStr">
        <is>
          <t>by now</t>
        </is>
      </c>
      <c r="E1015" s="12" t="inlineStr">
        <is>
          <t>지금쯤이면, 현재 시점에는 벌써</t>
        </is>
      </c>
      <c r="F1015" s="12" t="inlineStr">
        <is>
          <t>The package should have arrived by now.</t>
        </is>
      </c>
      <c r="G1015" s="12" t="inlineStr">
        <is>
          <t>소포가 지금쯤이면 벌써 도착했어야 정상인데.</t>
        </is>
      </c>
      <c r="H1015" s="9">
        <f>HYPERLINK("https://www.youtube.com/watch?v=pc6UmwZD-KU", "영상 보기 ▶")</f>
        <v/>
      </c>
    </row>
    <row r="1016" ht="26" customHeight="1">
      <c r="A1016" s="2" t="n">
        <v>1015</v>
      </c>
      <c r="B1016" s="3" t="inlineStr">
        <is>
          <t>총정리 21탄</t>
        </is>
      </c>
      <c r="C1016" s="3" t="inlineStr">
        <is>
          <t>강조 반복</t>
        </is>
      </c>
      <c r="D1016" s="4" t="inlineStr">
        <is>
          <t>reiterate</t>
        </is>
      </c>
      <c r="E1016" s="11" t="inlineStr">
        <is>
          <t>강조하기 위해 다시 한번 말하다/되풀이하다</t>
        </is>
      </c>
      <c r="F1016" s="11" t="inlineStr">
        <is>
          <t>Allow me to reiterate the core goals of this initiative.</t>
        </is>
      </c>
      <c r="G1016" s="11" t="inlineStr">
        <is>
          <t>이 사업의 핵심 목표를 다시 한번 강조해 말씀드리겠습니다.</t>
        </is>
      </c>
      <c r="H1016" s="5">
        <f>HYPERLINK("https://www.youtube.com/watch?v=pc6UmwZD-KU", "영상 보기 ▶")</f>
        <v/>
      </c>
    </row>
    <row r="1017" ht="26" customHeight="1">
      <c r="A1017" s="6" t="n">
        <v>1016</v>
      </c>
      <c r="B1017" s="7" t="inlineStr">
        <is>
          <t>총정리 21탄</t>
        </is>
      </c>
      <c r="C1017" s="7" t="inlineStr">
        <is>
          <t>화제 제기</t>
        </is>
      </c>
      <c r="D1017" s="8" t="inlineStr">
        <is>
          <t>bring up</t>
        </is>
      </c>
      <c r="E1017" s="12" t="inlineStr">
        <is>
          <t>(회의나 대화에서 문제를) 꺼내다, 제기하다</t>
        </is>
      </c>
      <c r="F1017" s="12" t="inlineStr">
        <is>
          <t>I'm glad you brought up that crucial topic.</t>
        </is>
      </c>
      <c r="G1017" s="12" t="inlineStr">
        <is>
          <t>그 중요한 주제를 먼저 안건으로 꺼내주셔서 대단히 반갑습니다.</t>
        </is>
      </c>
      <c r="H1017" s="9">
        <f>HYPERLINK("https://www.youtube.com/watch?v=pc6UmwZD-KU", "영상 보기 ▶")</f>
        <v/>
      </c>
    </row>
    <row r="1018" ht="26" customHeight="1">
      <c r="A1018" s="2" t="n">
        <v>1017</v>
      </c>
      <c r="B1018" s="3" t="inlineStr">
        <is>
          <t>총정리 21탄</t>
        </is>
      </c>
      <c r="C1018" s="3" t="inlineStr">
        <is>
          <t>주제 고수</t>
        </is>
      </c>
      <c r="D1018" s="4" t="inlineStr">
        <is>
          <t>stick to</t>
        </is>
      </c>
      <c r="E1018" s="11" t="inlineStr">
        <is>
          <t>벗어나지 않고 지키다, 고수하다</t>
        </is>
      </c>
      <c r="F1018" s="11" t="inlineStr">
        <is>
          <t>Please stick to the allocated time for your presentation.</t>
        </is>
      </c>
      <c r="G1018" s="11" t="inlineStr">
        <is>
          <t>발표 시 배정된 제한 시간을 엄격히 지켜주시기 바랍니다.</t>
        </is>
      </c>
      <c r="H1018" s="5">
        <f>HYPERLINK("https://www.youtube.com/watch?v=pc6UmwZD-KU", "영상 보기 ▶")</f>
        <v/>
      </c>
    </row>
    <row r="1019" ht="26" customHeight="1">
      <c r="A1019" s="6" t="n">
        <v>1018</v>
      </c>
      <c r="B1019" s="7" t="inlineStr">
        <is>
          <t>총정리 21탄</t>
        </is>
      </c>
      <c r="C1019" s="7" t="inlineStr">
        <is>
          <t>교차 검토</t>
        </is>
      </c>
      <c r="D1019" s="8" t="inlineStr">
        <is>
          <t>get another set/pair of eyes</t>
        </is>
      </c>
      <c r="E1019" s="12" t="inlineStr">
        <is>
          <t>다른 사람에게 꼼꼼히 교차 검토를 받다</t>
        </is>
      </c>
      <c r="F1019" s="12" t="inlineStr">
        <is>
          <t>Before printing, let's get another pair of eyes on the draft.</t>
        </is>
      </c>
      <c r="G1019" s="12" t="inlineStr">
        <is>
          <t>인쇄하기 전에 다른 사람에게 초안을 한 번 더 꼼꼼히 봐달라고 하자.</t>
        </is>
      </c>
      <c r="H1019" s="9">
        <f>HYPERLINK("https://www.youtube.com/watch?v=pc6UmwZD-KU", "영상 보기 ▶")</f>
        <v/>
      </c>
    </row>
    <row r="1020" ht="26" customHeight="1">
      <c r="A1020" s="2" t="n">
        <v>1019</v>
      </c>
      <c r="B1020" s="3" t="inlineStr">
        <is>
          <t>총정리 21탄</t>
        </is>
      </c>
      <c r="C1020" s="3" t="inlineStr">
        <is>
          <t>필요/간절</t>
        </is>
      </c>
      <c r="D1020" s="4" t="inlineStr">
        <is>
          <t>I could use ~</t>
        </is>
      </c>
      <c r="E1020" s="11" t="inlineStr">
        <is>
          <t>~가 절실히 필요해, ~하면 딱 좋겠어</t>
        </is>
      </c>
      <c r="F1020" s="11" t="inlineStr">
        <is>
          <t>I could really use a cup of strong coffee right now.</t>
        </is>
      </c>
      <c r="G1020" s="11" t="inlineStr">
        <is>
          <t>나 지금 진한 커피 한 잔 마시면 진짜 딱 살 것 같아.</t>
        </is>
      </c>
      <c r="H1020" s="5">
        <f>HYPERLINK("https://www.youtube.com/watch?v=pc6UmwZD-KU", "영상 보기 ▶")</f>
        <v/>
      </c>
    </row>
    <row r="1021" ht="26" customHeight="1">
      <c r="A1021" s="6" t="n">
        <v>1020</v>
      </c>
      <c r="B1021" s="7" t="inlineStr">
        <is>
          <t>총정리 21탄</t>
        </is>
      </c>
      <c r="C1021" s="7" t="inlineStr">
        <is>
          <t>최고 수준</t>
        </is>
      </c>
      <c r="D1021" s="8" t="inlineStr">
        <is>
          <t>top-notch</t>
        </is>
      </c>
      <c r="E1021" s="12" t="inlineStr">
        <is>
          <t>최고 수준의, 일류의 (top-notch service/quality)</t>
        </is>
      </c>
      <c r="F1021" s="12" t="inlineStr">
        <is>
          <t>The customer service at this hotel is absolutely top-notch.</t>
        </is>
      </c>
      <c r="G1021" s="12" t="inlineStr">
        <is>
          <t>이 호텔의 고객 서비스는 정말이지 자타공인 최고 수준이야.</t>
        </is>
      </c>
      <c r="H1021" s="9">
        <f>HYPERLINK("https://www.youtube.com/watch?v=pc6UmwZD-KU", "영상 보기 ▶")</f>
        <v/>
      </c>
    </row>
    <row r="1022" ht="26" customHeight="1">
      <c r="A1022" s="2" t="n">
        <v>1021</v>
      </c>
      <c r="B1022" s="3" t="inlineStr">
        <is>
          <t>총정리 21탄</t>
        </is>
      </c>
      <c r="C1022" s="3" t="inlineStr">
        <is>
          <t>객관성/목표</t>
        </is>
      </c>
      <c r="D1022" s="4" t="inlineStr">
        <is>
          <t>objective</t>
        </is>
      </c>
      <c r="E1022" s="11" t="inlineStr">
        <is>
          <t>① 객관적인 ② 목표, 목적</t>
        </is>
      </c>
      <c r="F1022" s="11" t="inlineStr">
        <is>
          <t>We need an objective evaluation from an outside auditor.</t>
        </is>
      </c>
      <c r="G1022" s="11" t="inlineStr">
        <is>
          <t>외부 감사관으로부터 객관적인 평가를 받아볼 필요가 있습니다.</t>
        </is>
      </c>
      <c r="H1022" s="5">
        <f>HYPERLINK("https://www.youtube.com/watch?v=pc6UmwZD-KU", "영상 보기 ▶")</f>
        <v/>
      </c>
    </row>
    <row r="1023" ht="26" customHeight="1">
      <c r="A1023" s="6" t="n">
        <v>1022</v>
      </c>
      <c r="B1023" s="7" t="inlineStr">
        <is>
          <t>총정리 21탄</t>
        </is>
      </c>
      <c r="C1023" s="7" t="inlineStr">
        <is>
          <t>진정/자제</t>
        </is>
      </c>
      <c r="D1023" s="8" t="inlineStr">
        <is>
          <t>take it down a notch</t>
        </is>
      </c>
      <c r="E1023" s="12" t="inlineStr">
        <is>
          <t>(언성이나 흥분을) 한 단계 낮추다, 진정하다</t>
        </is>
      </c>
      <c r="F1023" s="12" t="inlineStr">
        <is>
          <t>Everyone is getting too loud; let's take it down a notch.</t>
        </is>
      </c>
      <c r="G1023" s="12" t="inlineStr">
        <is>
          <t>다들 목소리가 너무 커지고 있어요, 조금만 차분히 톤을 낮춥시다.</t>
        </is>
      </c>
      <c r="H1023" s="9">
        <f>HYPERLINK("https://www.youtube.com/watch?v=pc6UmwZD-KU", "영상 보기 ▶")</f>
        <v/>
      </c>
    </row>
    <row r="1024" ht="26" customHeight="1">
      <c r="A1024" s="2" t="n">
        <v>1023</v>
      </c>
      <c r="B1024" s="3" t="inlineStr">
        <is>
          <t>총정리 21탄</t>
        </is>
      </c>
      <c r="C1024" s="3" t="inlineStr">
        <is>
          <t>수준 향상</t>
        </is>
      </c>
      <c r="D1024" s="4" t="inlineStr">
        <is>
          <t>take it up a notch</t>
        </is>
      </c>
      <c r="E1024" s="11" t="inlineStr">
        <is>
          <t>한 단계 더 높은 수준으로 끌어올리다</t>
        </is>
      </c>
      <c r="F1024" s="11" t="inlineStr">
        <is>
          <t>To beat the competition, we need to take our marketing up a notch.</t>
        </is>
      </c>
      <c r="G1024" s="11" t="inlineStr">
        <is>
          <t>경쟁사를 이기려면 마케팅 수준을 한 단계 더 끌어올려야 합니다.</t>
        </is>
      </c>
      <c r="H1024" s="5">
        <f>HYPERLINK("https://www.youtube.com/watch?v=pc6UmwZD-KU", "영상 보기 ▶")</f>
        <v/>
      </c>
    </row>
    <row r="1025" ht="26" customHeight="1">
      <c r="A1025" s="6" t="n">
        <v>1024</v>
      </c>
      <c r="B1025" s="7" t="inlineStr">
        <is>
          <t>총정리 21탄</t>
        </is>
      </c>
      <c r="C1025" s="7" t="inlineStr">
        <is>
          <t>누락/제외</t>
        </is>
      </c>
      <c r="D1025" s="8" t="inlineStr">
        <is>
          <t>leave out</t>
        </is>
      </c>
      <c r="E1025" s="12" t="inlineStr">
        <is>
          <t>빠뜨리다, 빼놓다, 제외하다</t>
        </is>
      </c>
      <c r="F1025" s="12" t="inlineStr">
        <is>
          <t>Make sure you don't leave out any important details.</t>
        </is>
      </c>
      <c r="G1025" s="12" t="inlineStr">
        <is>
          <t>어떤 중요한 세부 사항도 빠뜨리지 않도록 꼭 명심하세요.</t>
        </is>
      </c>
      <c r="H1025" s="9">
        <f>HYPERLINK("https://www.youtube.com/watch?v=pc6UmwZD-KU", "영상 보기 ▶")</f>
        <v/>
      </c>
    </row>
    <row r="1026" ht="26" customHeight="1">
      <c r="A1026" s="2" t="n">
        <v>1025</v>
      </c>
      <c r="B1026" s="3" t="inlineStr">
        <is>
          <t>총정리 21탄</t>
        </is>
      </c>
      <c r="C1026" s="3" t="inlineStr">
        <is>
          <t>즉흥 대처</t>
        </is>
      </c>
      <c r="D1026" s="4" t="inlineStr">
        <is>
          <t>wing it</t>
        </is>
      </c>
      <c r="E1026" s="11" t="inlineStr">
        <is>
          <t>사전 준비 없이 즉흥적으로 해치우다</t>
        </is>
      </c>
      <c r="F1026" s="11" t="inlineStr">
        <is>
          <t>I didn't have time to prepare slides, so I'll just have to wing it.</t>
        </is>
      </c>
      <c r="G1026" s="11" t="inlineStr">
        <is>
          <t>슬라이드 준비할 시간이 없어서 그냥 즉흥적으로 발표해야겠어.</t>
        </is>
      </c>
      <c r="H1026" s="5">
        <f>HYPERLINK("https://www.youtube.com/watch?v=pc6UmwZD-KU", "영상 보기 ▶")</f>
        <v/>
      </c>
    </row>
    <row r="1027" ht="26" customHeight="1">
      <c r="A1027" s="6" t="n">
        <v>1026</v>
      </c>
      <c r="B1027" s="7" t="inlineStr">
        <is>
          <t>총정리 21탄</t>
        </is>
      </c>
      <c r="C1027" s="7" t="inlineStr">
        <is>
          <t>고의/신중</t>
        </is>
      </c>
      <c r="D1027" s="8" t="inlineStr">
        <is>
          <t>deliberately</t>
        </is>
      </c>
      <c r="E1027" s="12" t="inlineStr">
        <is>
          <t>일부러, 고의로, 신중하게</t>
        </is>
      </c>
      <c r="F1027" s="12" t="inlineStr">
        <is>
          <t>He spoke slowly and deliberately so everyone could understand.</t>
        </is>
      </c>
      <c r="G1027" s="12" t="inlineStr">
        <is>
          <t>그는 모든 사람이 이해할 수 있도록 천천히 신중하게 말을 이어갔어.</t>
        </is>
      </c>
      <c r="H1027" s="9">
        <f>HYPERLINK("https://www.youtube.com/watch?v=pc6UmwZD-KU", "영상 보기 ▶")</f>
        <v/>
      </c>
    </row>
    <row r="1028" ht="26" customHeight="1">
      <c r="A1028" s="2" t="n">
        <v>1027</v>
      </c>
      <c r="B1028" s="3" t="inlineStr">
        <is>
          <t>총정리 21탄</t>
        </is>
      </c>
      <c r="C1028" s="3" t="inlineStr">
        <is>
          <t>선의 해석</t>
        </is>
      </c>
      <c r="D1028" s="4" t="inlineStr">
        <is>
          <t>give (대상) the benefit of the doubt</t>
        </is>
      </c>
      <c r="E1028" s="11" t="inlineStr">
        <is>
          <t>악의는 아닐 거라고 일단 좋게 믿어주다</t>
        </is>
      </c>
      <c r="F1028" s="11" t="inlineStr">
        <is>
          <t>He might have been busy; let's give him the benefit of the doubt.</t>
        </is>
      </c>
      <c r="G1028" s="11" t="inlineStr">
        <is>
          <t>바빴을 수도 있으니 일단은 사정이 있었겠거니 좋게 믿어줍시다.</t>
        </is>
      </c>
      <c r="H1028" s="5">
        <f>HYPERLINK("https://www.youtube.com/watch?v=pc6UmwZD-KU", "영상 보기 ▶")</f>
        <v/>
      </c>
    </row>
    <row r="1029" ht="26" customHeight="1">
      <c r="A1029" s="6" t="n">
        <v>1028</v>
      </c>
      <c r="B1029" s="7" t="inlineStr">
        <is>
          <t>총정리 21탄</t>
        </is>
      </c>
      <c r="C1029" s="7" t="inlineStr">
        <is>
          <t>진행 중</t>
        </is>
      </c>
      <c r="D1029" s="8" t="inlineStr">
        <is>
          <t>It's a work in progress</t>
        </is>
      </c>
      <c r="E1029" s="12" t="inlineStr">
        <is>
          <t>아직 미완성이고 계속 다듬어가는 중이야</t>
        </is>
      </c>
      <c r="F1029" s="12" t="inlineStr">
        <is>
          <t>Our new website design is still a work in progress.</t>
        </is>
      </c>
      <c r="G1029" s="12" t="inlineStr">
        <is>
          <t>새 웹사이트 디자인은 아직 미완성이고 계속 작업해 가는 중입니다.</t>
        </is>
      </c>
      <c r="H1029" s="9">
        <f>HYPERLINK("https://www.youtube.com/watch?v=pc6UmwZD-KU", "영상 보기 ▶")</f>
        <v/>
      </c>
    </row>
    <row r="1030" ht="26" customHeight="1">
      <c r="A1030" s="2" t="n">
        <v>1029</v>
      </c>
      <c r="B1030" s="3" t="inlineStr">
        <is>
          <t>총정리 21탄</t>
        </is>
      </c>
      <c r="C1030" s="3" t="inlineStr">
        <is>
          <t>유념/주의</t>
        </is>
      </c>
      <c r="D1030" s="4" t="inlineStr">
        <is>
          <t>mindful</t>
        </is>
      </c>
      <c r="E1030" s="11" t="inlineStr">
        <is>
          <t>~를 염두에 두는, 유념하는 (be mindful of)</t>
        </is>
      </c>
      <c r="F1030" s="11" t="inlineStr">
        <is>
          <t>Please be mindful of other people working quietly around you.</t>
        </is>
      </c>
      <c r="G1030" s="11" t="inlineStr">
        <is>
          <t>주변에서 조용히 일하고 있는 다른 분들을 배려해 유념해 주세요.</t>
        </is>
      </c>
      <c r="H1030" s="5">
        <f>HYPERLINK("https://www.youtube.com/watch?v=pc6UmwZD-KU", "영상 보기 ▶")</f>
        <v/>
      </c>
    </row>
    <row r="1031" ht="26" customHeight="1">
      <c r="A1031" s="6" t="n">
        <v>1030</v>
      </c>
      <c r="B1031" s="7" t="inlineStr">
        <is>
          <t>총정리 21탄</t>
        </is>
      </c>
      <c r="C1031" s="7" t="inlineStr">
        <is>
          <t>슬럼프/위기</t>
        </is>
      </c>
      <c r="D1031" s="8" t="inlineStr">
        <is>
          <t>rough patch</t>
        </is>
      </c>
      <c r="E1031" s="12" t="inlineStr">
        <is>
          <t>(인생이나 사업의) 힘든 고비, 슬럼프</t>
        </is>
      </c>
      <c r="F1031" s="12" t="inlineStr">
        <is>
          <t>The tech industry is going through a bit of a rough patch.</t>
        </is>
      </c>
      <c r="G1031" s="12" t="inlineStr">
        <is>
          <t>IT 업계가 현재 다소 힘든 고비와 조정기를 겪고 있습니다.</t>
        </is>
      </c>
      <c r="H1031" s="9">
        <f>HYPERLINK("https://www.youtube.com/watch?v=pc6UmwZD-KU", "영상 보기 ▶")</f>
        <v/>
      </c>
    </row>
    <row r="1032" ht="26" customHeight="1">
      <c r="A1032" s="2" t="n">
        <v>1031</v>
      </c>
      <c r="B1032" s="3" t="inlineStr">
        <is>
          <t>총정리 21탄</t>
        </is>
      </c>
      <c r="C1032" s="3" t="inlineStr">
        <is>
          <t>손해 없음</t>
        </is>
      </c>
      <c r="D1032" s="4" t="inlineStr">
        <is>
          <t>It wouldn't hurt to ~</t>
        </is>
      </c>
      <c r="E1032" s="11" t="inlineStr">
        <is>
          <t>~한다고 해서 손해 볼 건 없잖아 (시도 권유)</t>
        </is>
      </c>
      <c r="F1032" s="11" t="inlineStr">
        <is>
          <t>It wouldn't hurt to ask for a small discount.</t>
        </is>
      </c>
      <c r="G1032" s="11" t="inlineStr">
        <is>
          <t>혹시 할인 좀 해줄 수 있는지 물어본다고 해서 손해 볼 건 없잖아.</t>
        </is>
      </c>
      <c r="H1032" s="5">
        <f>HYPERLINK("https://www.youtube.com/watch?v=pc6UmwZD-KU", "영상 보기 ▶")</f>
        <v/>
      </c>
    </row>
    <row r="1033" ht="26" customHeight="1">
      <c r="A1033" s="6" t="n">
        <v>1032</v>
      </c>
      <c r="B1033" s="7" t="inlineStr">
        <is>
          <t>총정리 21탄</t>
        </is>
      </c>
      <c r="C1033" s="7" t="inlineStr">
        <is>
          <t>의도 전달</t>
        </is>
      </c>
      <c r="D1033" s="8" t="inlineStr">
        <is>
          <t>get the point across</t>
        </is>
      </c>
      <c r="E1033" s="12" t="inlineStr">
        <is>
          <t>요점/의도를 상대에게 명확히 전달하다</t>
        </is>
      </c>
      <c r="F1033" s="12" t="inlineStr">
        <is>
          <t>Simple charts help get your point across much faster.</t>
        </is>
      </c>
      <c r="G1033" s="12" t="inlineStr">
        <is>
          <t>단순한 도표는 당신의 핵심 요점을 훨씬 더 빠르게 전달하도록 돕습니다.</t>
        </is>
      </c>
      <c r="H1033" s="9">
        <f>HYPERLINK("https://www.youtube.com/watch?v=pc6UmwZD-KU", "영상 보기 ▶")</f>
        <v/>
      </c>
    </row>
    <row r="1034" ht="26" customHeight="1">
      <c r="A1034" s="2" t="n">
        <v>1033</v>
      </c>
      <c r="B1034" s="3" t="inlineStr">
        <is>
          <t>총정리 21탄</t>
        </is>
      </c>
      <c r="C1034" s="3" t="inlineStr">
        <is>
          <t>책임감</t>
        </is>
      </c>
      <c r="D1034" s="4" t="inlineStr">
        <is>
          <t>accountable</t>
        </is>
      </c>
      <c r="E1034" s="11" t="inlineStr">
        <is>
          <t>(결과에 대해) 책임이 있는, 설명 의무가 있는</t>
        </is>
      </c>
      <c r="F1034" s="11" t="inlineStr">
        <is>
          <t>Managers should hold their team members accountable for results.</t>
        </is>
      </c>
      <c r="G1034" s="11" t="inlineStr">
        <is>
          <t>관리자는 팀원들에게 결과에 대한 확실한 책임 의식을 부여해야 합니다.</t>
        </is>
      </c>
      <c r="H1034" s="5">
        <f>HYPERLINK("https://www.youtube.com/watch?v=pc6UmwZD-KU", "영상 보기 ▶")</f>
        <v/>
      </c>
    </row>
    <row r="1035" ht="26" customHeight="1">
      <c r="A1035" s="6" t="n">
        <v>1034</v>
      </c>
      <c r="B1035" s="7" t="inlineStr">
        <is>
          <t>총정리 21탄</t>
        </is>
      </c>
      <c r="C1035" s="7" t="inlineStr">
        <is>
          <t>최상의 상태</t>
        </is>
      </c>
      <c r="D1035" s="8" t="inlineStr">
        <is>
          <t>Things couldn't be better</t>
        </is>
      </c>
      <c r="E1035" s="12" t="inlineStr">
        <is>
          <t>더할 나위 없이 아주 좋아, 최고야</t>
        </is>
      </c>
      <c r="F1035" s="12" t="inlineStr">
        <is>
          <t>Business is booming; honestly, things couldn't be better.</t>
        </is>
      </c>
      <c r="G1035" s="12" t="inlineStr">
        <is>
          <t>사업이 아주 번창하고 있어, 솔직히 이보다 더 좋을 순 없어.</t>
        </is>
      </c>
      <c r="H1035" s="9">
        <f>HYPERLINK("https://www.youtube.com/watch?v=pc6UmwZD-KU", "영상 보기 ▶")</f>
        <v/>
      </c>
    </row>
    <row r="1036" ht="26" customHeight="1">
      <c r="A1036" s="2" t="n">
        <v>1035</v>
      </c>
      <c r="B1036" s="3" t="inlineStr">
        <is>
          <t>총정리 21탄</t>
        </is>
      </c>
      <c r="C1036" s="3" t="inlineStr">
        <is>
          <t>최악의 타이밍</t>
        </is>
      </c>
      <c r="D1036" s="4" t="inlineStr">
        <is>
          <t>The timing couldn't be worse</t>
        </is>
      </c>
      <c r="E1036" s="11" t="inlineStr">
        <is>
          <t>타이밍이 이보다 더 나쁠 수는 없어 (최악의 시점)</t>
        </is>
      </c>
      <c r="F1036" s="11" t="inlineStr">
        <is>
          <t>The server crashed during the product launch; the timing couldn't be worse.</t>
        </is>
      </c>
      <c r="G1036" s="11" t="inlineStr">
        <is>
          <t>제품 출시 행사 중에 서버가 다운되다니, 타이밍이 정말 최악이야.</t>
        </is>
      </c>
      <c r="H1036" s="5">
        <f>HYPERLINK("https://www.youtube.com/watch?v=pc6UmwZD-KU", "영상 보기 ▶")</f>
        <v/>
      </c>
    </row>
    <row r="1037" ht="26" customHeight="1">
      <c r="A1037" s="6" t="n">
        <v>1036</v>
      </c>
      <c r="B1037" s="7" t="inlineStr">
        <is>
          <t>총정리 21탄</t>
        </is>
      </c>
      <c r="C1037" s="7" t="inlineStr">
        <is>
          <t>네 책임</t>
        </is>
      </c>
      <c r="D1037" s="8" t="inlineStr">
        <is>
          <t>That's on you</t>
        </is>
      </c>
      <c r="E1037" s="12" t="inlineStr">
        <is>
          <t>그건 네 탓이야, 네가 감당해야 할 몫이야</t>
        </is>
      </c>
      <c r="F1037" s="12" t="inlineStr">
        <is>
          <t>If you don't back up your files and lose them, that's on you.</t>
        </is>
      </c>
      <c r="G1037" s="12" t="inlineStr">
        <is>
          <t>파일 백업 안 해두고 날려버리면 그건 전적으로 네 책임이야.</t>
        </is>
      </c>
      <c r="H1037" s="9">
        <f>HYPERLINK("https://www.youtube.com/watch?v=pc6UmwZD-KU", "영상 보기 ▶")</f>
        <v/>
      </c>
    </row>
    <row r="1038" ht="26" customHeight="1">
      <c r="A1038" s="2" t="n">
        <v>1037</v>
      </c>
      <c r="B1038" s="3" t="inlineStr">
        <is>
          <t>총정리 21탄</t>
        </is>
      </c>
      <c r="C1038" s="3" t="inlineStr">
        <is>
          <t>선불</t>
        </is>
      </c>
      <c r="D1038" s="4" t="inlineStr">
        <is>
          <t>upfront (선불)</t>
        </is>
      </c>
      <c r="E1038" s="11" t="inlineStr">
        <is>
          <t>선불의, 미리 지불하는</t>
        </is>
      </c>
      <c r="F1038" s="11" t="inlineStr">
        <is>
          <t>We require a 30% deposit upfront before beginning work.</t>
        </is>
      </c>
      <c r="G1038" s="11" t="inlineStr">
        <is>
          <t>작업을 시작하기 전에 계약금 30%를 선불로 입금해 주셔야 합니다.</t>
        </is>
      </c>
      <c r="H1038" s="5">
        <f>HYPERLINK("https://www.youtube.com/watch?v=pc6UmwZD-KU", "영상 보기 ▶")</f>
        <v/>
      </c>
    </row>
    <row r="1039" ht="26" customHeight="1">
      <c r="A1039" s="6" t="n">
        <v>1038</v>
      </c>
      <c r="B1039" s="7" t="inlineStr">
        <is>
          <t>총정리 21탄</t>
        </is>
      </c>
      <c r="C1039" s="7" t="inlineStr">
        <is>
          <t>솔직함</t>
        </is>
      </c>
      <c r="D1039" s="8" t="inlineStr">
        <is>
          <t>upfront (솔직한)</t>
        </is>
      </c>
      <c r="E1039" s="12" t="inlineStr">
        <is>
          <t>솔직한, 숨김없이 터놓는 (be upfront about)</t>
        </is>
      </c>
      <c r="F1039" s="12" t="inlineStr">
        <is>
          <t>I appreciate that she was upfront about the potential risks.</t>
        </is>
      </c>
      <c r="G1039" s="12" t="inlineStr">
        <is>
          <t>그녀가 잠재적 위험에 대해 솔직하게 털어놓아 준 점이 고마워요.</t>
        </is>
      </c>
      <c r="H1039" s="9">
        <f>HYPERLINK("https://www.youtube.com/watch?v=pc6UmwZD-KU", "영상 보기 ▶")</f>
        <v/>
      </c>
    </row>
    <row r="1040" ht="26" customHeight="1">
      <c r="A1040" s="2" t="n">
        <v>1039</v>
      </c>
      <c r="B1040" s="3" t="inlineStr">
        <is>
          <t>총정리 21탄</t>
        </is>
      </c>
      <c r="C1040" s="3" t="inlineStr">
        <is>
          <t>전적 동의</t>
        </is>
      </c>
      <c r="D1040" s="4" t="inlineStr">
        <is>
          <t>I couldn't agree more</t>
        </is>
      </c>
      <c r="E1040" s="11" t="inlineStr">
        <is>
          <t>전적으로 전적 동의합니다 (이보다 더 동의할 수 없음)</t>
        </is>
      </c>
      <c r="F1040" s="11" t="inlineStr">
        <is>
          <t>Customer trust is everything. - I couldn't agree more.</t>
        </is>
      </c>
      <c r="G1040" s="11" t="inlineStr">
        <is>
          <t>고객의 신뢰가 모든 것입니다. - 백번 천번 전적으로 동의합니다.</t>
        </is>
      </c>
      <c r="H1040" s="5">
        <f>HYPERLINK("https://www.youtube.com/watch?v=pc6UmwZD-KU", "영상 보기 ▶")</f>
        <v/>
      </c>
    </row>
    <row r="1041" ht="26" customHeight="1">
      <c r="A1041" s="6" t="n">
        <v>1040</v>
      </c>
      <c r="B1041" s="7" t="inlineStr">
        <is>
          <t>총정리 21탄</t>
        </is>
      </c>
      <c r="C1041" s="7" t="inlineStr">
        <is>
          <t>질질 끎</t>
        </is>
      </c>
      <c r="D1041" s="8" t="inlineStr">
        <is>
          <t>drag on</t>
        </is>
      </c>
      <c r="E1041" s="12" t="inlineStr">
        <is>
          <t>(회의나 소송이) 지루하게 질질 끌리다</t>
        </is>
      </c>
      <c r="F1041" s="12" t="inlineStr">
        <is>
          <t>The negotiations dragged on for nearly six months.</t>
        </is>
      </c>
      <c r="G1041" s="12" t="inlineStr">
        <is>
          <t>협상이 거의 6개월 동안 지루하게 질질 끌렸습니다.</t>
        </is>
      </c>
      <c r="H1041" s="9">
        <f>HYPERLINK("https://www.youtube.com/watch?v=pc6UmwZD-KU", "영상 보기 ▶")</f>
        <v/>
      </c>
    </row>
    <row r="1042" ht="26" customHeight="1">
      <c r="A1042" s="2" t="n">
        <v>1041</v>
      </c>
      <c r="B1042" s="3" t="inlineStr">
        <is>
          <t>총정리 21탄</t>
        </is>
      </c>
      <c r="C1042" s="3" t="inlineStr">
        <is>
          <t>말려듦</t>
        </is>
      </c>
      <c r="D1042" s="4" t="inlineStr">
        <is>
          <t>drag into</t>
        </is>
      </c>
      <c r="E1042" s="11" t="inlineStr">
        <is>
          <t>(귀찮은 일/싸움에) 끌어들이다, 말려들게 하다</t>
        </is>
      </c>
      <c r="F1042" s="11" t="inlineStr">
        <is>
          <t>Please don't drag me into your internal office politics.</t>
        </is>
      </c>
      <c r="G1042" s="11" t="inlineStr">
        <is>
          <t>사내 정치 싸움에 제발 나까지 끌어들이지 마세요.</t>
        </is>
      </c>
      <c r="H1042" s="5">
        <f>HYPERLINK("https://www.youtube.com/watch?v=pc6UmwZD-KU", "영상 보기 ▶")</f>
        <v/>
      </c>
    </row>
    <row r="1043" ht="26" customHeight="1">
      <c r="A1043" s="6" t="n">
        <v>1042</v>
      </c>
      <c r="B1043" s="7" t="inlineStr">
        <is>
          <t>총정리 21탄</t>
        </is>
      </c>
      <c r="C1043" s="7" t="inlineStr">
        <is>
          <t>극찬 감사</t>
        </is>
      </c>
      <c r="D1043" s="8" t="inlineStr">
        <is>
          <t>They couldn't have been more helpful</t>
        </is>
      </c>
      <c r="E1043" s="12" t="inlineStr">
        <is>
          <t>정말 이루 말할 수 없이 친절하고 큰 도움이 되었어요</t>
        </is>
      </c>
      <c r="F1043" s="12" t="inlineStr">
        <is>
          <t>The support staff was amazing; they couldn't have been more helpful.</t>
        </is>
      </c>
      <c r="G1043" s="12" t="inlineStr">
        <is>
          <t>지원팀 직원들이 정말 훌륭했어요, 이보다 더 친절히 도와줄 순 없었을 거예요.</t>
        </is>
      </c>
      <c r="H1043" s="9">
        <f>HYPERLINK("https://www.youtube.com/watch?v=pc6UmwZD-KU", "영상 보기 ▶")</f>
        <v/>
      </c>
    </row>
    <row r="1044" ht="26" customHeight="1">
      <c r="A1044" s="2" t="n">
        <v>1043</v>
      </c>
      <c r="B1044" s="3" t="inlineStr">
        <is>
          <t>총정리 21탄</t>
        </is>
      </c>
      <c r="C1044" s="3" t="inlineStr">
        <is>
          <t>손이 열 개라도</t>
        </is>
      </c>
      <c r="D1044" s="4" t="inlineStr">
        <is>
          <t>I've got my hands full</t>
        </is>
      </c>
      <c r="E1044" s="11" t="inlineStr">
        <is>
          <t>일이 너무 많아 손이 열 개라도 모자라요</t>
        </is>
      </c>
      <c r="F1044" s="11" t="inlineStr">
        <is>
          <t>I'd love to take on another project, but I've got my hands full.</t>
        </is>
      </c>
      <c r="G1044" s="11" t="inlineStr">
        <is>
          <t>다른 프로젝트도 맡고 싶지만 지금은 손이 열 개라도 모자랄 지경이에요.</t>
        </is>
      </c>
      <c r="H1044" s="5">
        <f>HYPERLINK("https://www.youtube.com/watch?v=pc6UmwZD-KU", "영상 보기 ▶")</f>
        <v/>
      </c>
    </row>
    <row r="1045" ht="26" customHeight="1">
      <c r="A1045" s="6" t="n">
        <v>1044</v>
      </c>
      <c r="B1045" s="7" t="inlineStr">
        <is>
          <t>총정리 21탄</t>
        </is>
      </c>
      <c r="C1045" s="7" t="inlineStr">
        <is>
          <t>최고 찬사</t>
        </is>
      </c>
      <c r="D1045" s="8" t="inlineStr">
        <is>
          <t>beat</t>
        </is>
      </c>
      <c r="E1045" s="12" t="inlineStr">
        <is>
          <t>~보다 나은 것은 없다, 능가하다</t>
        </is>
      </c>
      <c r="F1045" s="12" t="inlineStr">
        <is>
          <t>You can't beat fresh home-cooked meals.</t>
        </is>
      </c>
      <c r="G1045" s="12" t="inlineStr">
        <is>
          <t>집에서 갓 지은 집밥보다 더 맛있는 최고는 없지.</t>
        </is>
      </c>
      <c r="H1045" s="9">
        <f>HYPERLINK("https://www.youtube.com/watch?v=pc6UmwZD-KU", "영상 보기 ▶")</f>
        <v/>
      </c>
    </row>
    <row r="1046" ht="26" customHeight="1">
      <c r="A1046" s="2" t="n">
        <v>1045</v>
      </c>
      <c r="B1046" s="3" t="inlineStr">
        <is>
          <t>총정리 21탄</t>
        </is>
      </c>
      <c r="C1046" s="3" t="inlineStr">
        <is>
          <t>무의미</t>
        </is>
      </c>
      <c r="D1046" s="4" t="inlineStr">
        <is>
          <t>I don't see the point in ~</t>
        </is>
      </c>
      <c r="E1046" s="11" t="inlineStr">
        <is>
          <t>~해봤자 무슨 의미/소용이 있는지 모르겠어</t>
        </is>
      </c>
      <c r="F1046" s="11" t="inlineStr">
        <is>
          <t>I don't see the point in arguing over past mistakes.</t>
        </is>
      </c>
      <c r="G1046" s="11" t="inlineStr">
        <is>
          <t>지나간 실수를 두고 언쟁해 봤자 무슨 소용이 있는지 모르겠어.</t>
        </is>
      </c>
      <c r="H1046" s="5">
        <f>HYPERLINK("https://www.youtube.com/watch?v=pc6UmwZD-KU", "영상 보기 ▶")</f>
        <v/>
      </c>
    </row>
    <row r="1047" ht="26" customHeight="1">
      <c r="A1047" s="6" t="n">
        <v>1046</v>
      </c>
      <c r="B1047" s="7" t="inlineStr">
        <is>
          <t>총정리 21탄</t>
        </is>
      </c>
      <c r="C1047" s="7" t="inlineStr">
        <is>
          <t>대만족</t>
        </is>
      </c>
      <c r="D1047" s="8" t="inlineStr">
        <is>
          <t>I couldn't ask for more</t>
        </is>
      </c>
      <c r="E1047" s="12" t="inlineStr">
        <is>
          <t>더 이상 바랄 게 없어, 대만족이야</t>
        </is>
      </c>
      <c r="F1047" s="12" t="inlineStr">
        <is>
          <t>A caring team and a great salary; I couldn't ask for more.</t>
        </is>
      </c>
      <c r="G1047" s="12" t="inlineStr">
        <is>
          <t>따뜻한 팀원들에 훌륭한 연봉까지, 더 이상 바랄 게 없습니다.</t>
        </is>
      </c>
      <c r="H1047" s="9">
        <f>HYPERLINK("https://www.youtube.com/watch?v=pc6UmwZD-KU", "영상 보기 ▶")</f>
        <v/>
      </c>
    </row>
    <row r="1048" ht="26" customHeight="1">
      <c r="A1048" s="2" t="n">
        <v>1047</v>
      </c>
      <c r="B1048" s="3" t="inlineStr">
        <is>
          <t>총정리 21탄</t>
        </is>
      </c>
      <c r="C1048" s="3" t="inlineStr">
        <is>
          <t>인내</t>
        </is>
      </c>
      <c r="D1048" s="4" t="inlineStr">
        <is>
          <t>stand (참다/견디다)</t>
        </is>
      </c>
      <c r="E1048" s="11" t="inlineStr">
        <is>
          <t>참다, 견디다 (can't stand the noise)</t>
        </is>
      </c>
      <c r="F1048" s="11" t="inlineStr">
        <is>
          <t>I can't stand working in such a chaotic environment.</t>
        </is>
      </c>
      <c r="G1048" s="11" t="inlineStr">
        <is>
          <t>이렇게 무질서하고 시끄러운 환경에서 일하는 건 도저히 못 참겠어.</t>
        </is>
      </c>
      <c r="H1048" s="5">
        <f>HYPERLINK("https://www.youtube.com/watch?v=pc6UmwZD-KU", "영상 보기 ▶")</f>
        <v/>
      </c>
    </row>
    <row r="1049" ht="26" customHeight="1">
      <c r="A1049" s="6" t="n">
        <v>1048</v>
      </c>
      <c r="B1049" s="7" t="inlineStr">
        <is>
          <t>총정리 21탄</t>
        </is>
      </c>
      <c r="C1049" s="7" t="inlineStr">
        <is>
          <t>유효성</t>
        </is>
      </c>
      <c r="D1049" s="8" t="inlineStr">
        <is>
          <t>stand (유효하다)</t>
        </is>
      </c>
      <c r="E1049" s="12" t="inlineStr">
        <is>
          <t>(결정/제안이) 변함없이 유효하다</t>
        </is>
      </c>
      <c r="F1049" s="12" t="inlineStr">
        <is>
          <t>My original offer to mentor you still stands.</t>
        </is>
      </c>
      <c r="G1049" s="12" t="inlineStr">
        <is>
          <t>너를 멘토링해 주겠다는 내 원래 제안은 여전히 유효해.</t>
        </is>
      </c>
      <c r="H1049" s="9">
        <f>HYPERLINK("https://www.youtube.com/watch?v=pc6UmwZD-KU", "영상 보기 ▶")</f>
        <v/>
      </c>
    </row>
    <row r="1050" ht="26" customHeight="1">
      <c r="A1050" s="2" t="n">
        <v>1049</v>
      </c>
      <c r="B1050" s="3" t="inlineStr">
        <is>
          <t>총정리 21탄</t>
        </is>
      </c>
      <c r="C1050" s="3" t="inlineStr">
        <is>
          <t>입장 표명</t>
        </is>
      </c>
      <c r="D1050" s="4" t="inlineStr">
        <is>
          <t>stand (입장/의견)</t>
        </is>
      </c>
      <c r="E1050" s="11" t="inlineStr">
        <is>
          <t>(특정한) 입장이나 견해를 취하다</t>
        </is>
      </c>
      <c r="F1050" s="11" t="inlineStr">
        <is>
          <t>Where do you stand on the proposed merger?</t>
        </is>
      </c>
      <c r="G1050" s="11" t="inlineStr">
        <is>
          <t>이번 합병안에 대해 당신은 어떤 입장을 취하고 계신가요?</t>
        </is>
      </c>
      <c r="H1050" s="5">
        <f>HYPERLINK("https://www.youtube.com/watch?v=pc6UmwZD-KU", "영상 보기 ▶")</f>
        <v/>
      </c>
    </row>
    <row r="1051" ht="26" customHeight="1">
      <c r="A1051" s="6" t="n">
        <v>1050</v>
      </c>
      <c r="B1051" s="7" t="inlineStr">
        <is>
          <t>총정리 21탄</t>
        </is>
      </c>
      <c r="C1051" s="7" t="inlineStr">
        <is>
          <t>처지/상황</t>
        </is>
      </c>
      <c r="D1051" s="8" t="inlineStr">
        <is>
          <t>stand to + 동사원형</t>
        </is>
      </c>
      <c r="E1051" s="12" t="inlineStr">
        <is>
          <t>~하게 될 상황이나 처지에 놓이다</t>
        </is>
      </c>
      <c r="F1051" s="12" t="inlineStr">
        <is>
          <t>Both companies stand to gain significant market share.</t>
        </is>
      </c>
      <c r="G1051" s="12" t="inlineStr">
        <is>
          <t>두 회사 모두 상당한 시장 점유율을 확보하게 될 유리한 위치에 있습니다.</t>
        </is>
      </c>
      <c r="H1051" s="9">
        <f>HYPERLINK("https://www.youtube.com/watch?v=pc6UmwZD-KU", "영상 보기 ▶")</f>
        <v/>
      </c>
    </row>
    <row r="1052" ht="26" customHeight="1">
      <c r="A1052" s="2" t="n">
        <v>1051</v>
      </c>
      <c r="B1052" s="3" t="inlineStr">
        <is>
          <t>총정리 22탄</t>
        </is>
      </c>
      <c r="C1052" s="3" t="inlineStr">
        <is>
          <t>상황 대응</t>
        </is>
      </c>
      <c r="D1052" s="4" t="inlineStr">
        <is>
          <t>accordingly</t>
        </is>
      </c>
      <c r="E1052" s="11" t="inlineStr">
        <is>
          <t>상황에 부응해서 그에 맞춰 (proceed accordingly)</t>
        </is>
      </c>
      <c r="F1052" s="11" t="inlineStr">
        <is>
          <t>Don't worry, we will review the changes and proceed accordingly.</t>
        </is>
      </c>
      <c r="G1052" s="11" t="inlineStr">
        <is>
          <t>걱정 마세요, 변경 사항을 검토한 뒤 그에 맞춰 순조롭게 진행하겠습니다.</t>
        </is>
      </c>
      <c r="H1052" s="5">
        <f>HYPERLINK("https://www.youtube.com/watch?v=tFSgEVuc0fs", "영상 보기 ▶")</f>
        <v/>
      </c>
    </row>
    <row r="1053" ht="26" customHeight="1">
      <c r="A1053" s="6" t="n">
        <v>1052</v>
      </c>
      <c r="B1053" s="7" t="inlineStr">
        <is>
          <t>총정리 22탄</t>
        </is>
      </c>
      <c r="C1053" s="7" t="inlineStr">
        <is>
          <t>일정 비움</t>
        </is>
      </c>
      <c r="D1053" s="8" t="inlineStr">
        <is>
          <t>clear one's schedule</t>
        </is>
      </c>
      <c r="E1053" s="12" t="inlineStr">
        <is>
          <t>(긴급하거나 중요한 일을 위해) 일정을 비워두다</t>
        </is>
      </c>
      <c r="F1053" s="12" t="inlineStr">
        <is>
          <t>I'll clear my schedule for the rest of the day to assist you.</t>
        </is>
      </c>
      <c r="G1053" s="12" t="inlineStr">
        <is>
          <t>당신을 도와드리기 위해 오늘 남은 하루 일정을 다 비워두겠습니다.</t>
        </is>
      </c>
      <c r="H1053" s="9">
        <f>HYPERLINK("https://www.youtube.com/watch?v=tFSgEVuc0fs", "영상 보기 ▶")</f>
        <v/>
      </c>
    </row>
    <row r="1054" ht="26" customHeight="1">
      <c r="A1054" s="2" t="n">
        <v>1053</v>
      </c>
      <c r="B1054" s="3" t="inlineStr">
        <is>
          <t>총정리 22탄</t>
        </is>
      </c>
      <c r="C1054" s="3" t="inlineStr">
        <is>
          <t>어려운 성사</t>
        </is>
      </c>
      <c r="D1054" s="4" t="inlineStr">
        <is>
          <t>pull off</t>
        </is>
      </c>
      <c r="E1054" s="11" t="inlineStr">
        <is>
          <t>(힘들거나 무리라고 생각한 것을) 성사시키다, 해내다</t>
        </is>
      </c>
      <c r="F1054" s="11" t="inlineStr">
        <is>
          <t>I can't believe we pulled off the event on such short notice.</t>
        </is>
      </c>
      <c r="G1054" s="11" t="inlineStr">
        <is>
          <t>이렇게 촉박한 일정에 행사를 성공적으로 성사시키다니 믿기지 않아요.</t>
        </is>
      </c>
      <c r="H1054" s="5">
        <f>HYPERLINK("https://www.youtube.com/watch?v=tFSgEVuc0fs", "영상 보기 ▶")</f>
        <v/>
      </c>
    </row>
    <row r="1055" ht="26" customHeight="1">
      <c r="A1055" s="6" t="n">
        <v>1054</v>
      </c>
      <c r="B1055" s="7" t="inlineStr">
        <is>
          <t>총정리 22탄</t>
        </is>
      </c>
      <c r="C1055" s="7" t="inlineStr">
        <is>
          <t>승산 있음</t>
        </is>
      </c>
      <c r="D1055" s="8" t="inlineStr">
        <is>
          <t>have a fighting chance</t>
        </is>
      </c>
      <c r="E1055" s="12" t="inlineStr">
        <is>
          <t>충분히 승산이 있다, 잘 풀릴 가능성이 있다</t>
        </is>
      </c>
      <c r="F1055" s="12" t="inlineStr">
        <is>
          <t>If we launch this week, we have a fighting chance to lead.</t>
        </is>
      </c>
      <c r="G1055" s="12" t="inlineStr">
        <is>
          <t>이번 주에 출시한다면 우리는 선두를 차지할 충분한 승산이 있습니다.</t>
        </is>
      </c>
      <c r="H1055" s="9">
        <f>HYPERLINK("https://www.youtube.com/watch?v=tFSgEVuc0fs", "영상 보기 ▶")</f>
        <v/>
      </c>
    </row>
    <row r="1056" ht="26" customHeight="1">
      <c r="A1056" s="2" t="n">
        <v>1055</v>
      </c>
      <c r="B1056" s="3" t="inlineStr">
        <is>
          <t>총정리 22탄</t>
        </is>
      </c>
      <c r="C1056" s="3" t="inlineStr">
        <is>
          <t>고려/참작</t>
        </is>
      </c>
      <c r="D1056" s="4" t="inlineStr">
        <is>
          <t>take into account</t>
        </is>
      </c>
      <c r="E1056" s="11" t="inlineStr">
        <is>
          <t>(결정 시 변수를) 참작하다, 계산에 넣다</t>
        </is>
      </c>
      <c r="F1056" s="11" t="inlineStr">
        <is>
          <t>Did you take additional shipping costs into account?</t>
        </is>
      </c>
      <c r="G1056" s="11" t="inlineStr">
        <is>
          <t>추가 배송 비용도 계산에 넣고 고려하셨나요?</t>
        </is>
      </c>
      <c r="H1056" s="5">
        <f>HYPERLINK("https://www.youtube.com/watch?v=tFSgEVuc0fs", "영상 보기 ▶")</f>
        <v/>
      </c>
    </row>
    <row r="1057" ht="26" customHeight="1">
      <c r="A1057" s="6" t="n">
        <v>1056</v>
      </c>
      <c r="B1057" s="7" t="inlineStr">
        <is>
          <t>총정리 22탄</t>
        </is>
      </c>
      <c r="C1057" s="7" t="inlineStr">
        <is>
          <t>설득 성사</t>
        </is>
      </c>
      <c r="D1057" s="8" t="inlineStr">
        <is>
          <t>talk (사람) into ~</t>
        </is>
      </c>
      <c r="E1057" s="12" t="inlineStr">
        <is>
          <t>설득해서 ~하게 만들다</t>
        </is>
      </c>
      <c r="F1057" s="12" t="inlineStr">
        <is>
          <t>I'm so glad you talked me into applying for this role.</t>
        </is>
      </c>
      <c r="G1057" s="12" t="inlineStr">
        <is>
          <t>네가 나를 설득해서 이 자리에 지원하게 해줘서 정말 고마워.</t>
        </is>
      </c>
      <c r="H1057" s="9">
        <f>HYPERLINK("https://www.youtube.com/watch?v=tFSgEVuc0fs", "영상 보기 ▶")</f>
        <v/>
      </c>
    </row>
    <row r="1058" ht="26" customHeight="1">
      <c r="A1058" s="2" t="n">
        <v>1057</v>
      </c>
      <c r="B1058" s="3" t="inlineStr">
        <is>
          <t>총정리 22탄</t>
        </is>
      </c>
      <c r="C1058" s="3" t="inlineStr">
        <is>
          <t>만류 설득</t>
        </is>
      </c>
      <c r="D1058" s="4" t="inlineStr">
        <is>
          <t>talk (사람) out of ~</t>
        </is>
      </c>
      <c r="E1058" s="11" t="inlineStr">
        <is>
          <t>설득해서 ~하지 못하도록 말리다</t>
        </is>
      </c>
      <c r="F1058" s="11" t="inlineStr">
        <is>
          <t>Don't worry, I managed to talk him out of quitting.</t>
        </is>
      </c>
      <c r="G1058" s="11" t="inlineStr">
        <is>
          <t>걱정 마, 내가 설득해서 그 사람이 퇴사하려는 걸 잘 말렸어.</t>
        </is>
      </c>
      <c r="H1058" s="5">
        <f>HYPERLINK("https://www.youtube.com/watch?v=tFSgEVuc0fs", "영상 보기 ▶")</f>
        <v/>
      </c>
    </row>
    <row r="1059" ht="26" customHeight="1">
      <c r="A1059" s="6" t="n">
        <v>1058</v>
      </c>
      <c r="B1059" s="7" t="inlineStr">
        <is>
          <t>총정리 22탄</t>
        </is>
      </c>
      <c r="C1059" s="7" t="inlineStr">
        <is>
          <t>대화 해결</t>
        </is>
      </c>
      <c r="D1059" s="8" t="inlineStr">
        <is>
          <t>talk through</t>
        </is>
      </c>
      <c r="E1059" s="12" t="inlineStr">
        <is>
          <t>(오해나 갈등을) 철저히 대화로 풀다, 논의하다</t>
        </is>
      </c>
      <c r="F1059" s="12" t="inlineStr">
        <is>
          <t>Let's grab a coffee and talk through the differences.</t>
        </is>
      </c>
      <c r="G1059" s="12" t="inlineStr">
        <is>
          <t>커피 한잔하면서 우리 사이의 견해차를 대화로 차근차근 풀어봅시다.</t>
        </is>
      </c>
      <c r="H1059" s="9">
        <f>HYPERLINK("https://www.youtube.com/watch?v=tFSgEVuc0fs", "영상 보기 ▶")</f>
        <v/>
      </c>
    </row>
    <row r="1060" ht="26" customHeight="1">
      <c r="A1060" s="2" t="n">
        <v>1059</v>
      </c>
      <c r="B1060" s="3" t="inlineStr">
        <is>
          <t>총정리 22탄</t>
        </is>
      </c>
      <c r="C1060" s="3" t="inlineStr">
        <is>
          <t>행사 취소</t>
        </is>
      </c>
      <c r="D1060" s="4" t="inlineStr">
        <is>
          <t>call off</t>
        </is>
      </c>
      <c r="E1060" s="11" t="inlineStr">
        <is>
          <t>취소하다, 중지하다 (call off the deal)</t>
        </is>
      </c>
      <c r="F1060" s="11" t="inlineStr">
        <is>
          <t>Due to bad weather, they decided to call off the outdoor match.</t>
        </is>
      </c>
      <c r="G1060" s="11" t="inlineStr">
        <is>
          <t>악천후로 인해 그들은 야외 경기를 전격 취소하기로 결정했습니다.</t>
        </is>
      </c>
      <c r="H1060" s="5">
        <f>HYPERLINK("https://www.youtube.com/watch?v=tFSgEVuc0fs", "영상 보기 ▶")</f>
        <v/>
      </c>
    </row>
    <row r="1061" ht="26" customHeight="1">
      <c r="A1061" s="6" t="n">
        <v>1060</v>
      </c>
      <c r="B1061" s="7" t="inlineStr">
        <is>
          <t>총정리 22탄</t>
        </is>
      </c>
      <c r="C1061" s="7" t="inlineStr">
        <is>
          <t>일상 발생</t>
        </is>
      </c>
      <c r="D1061" s="8" t="inlineStr">
        <is>
          <t>common occurrence</t>
        </is>
      </c>
      <c r="E1061" s="12" t="inlineStr">
        <is>
          <t>흔히 일어나는 일, 다반사</t>
        </is>
      </c>
      <c r="F1061" s="12" t="inlineStr">
        <is>
          <t>Traffic delays are a common occurrence on rainy mornings.</t>
        </is>
      </c>
      <c r="G1061" s="12" t="inlineStr">
        <is>
          <t>비 오는 날 아침 교통 정체는 흔히 일어나는 일상 다반사입니다.</t>
        </is>
      </c>
      <c r="H1061" s="9">
        <f>HYPERLINK("https://www.youtube.com/watch?v=tFSgEVuc0fs", "영상 보기 ▶")</f>
        <v/>
      </c>
    </row>
    <row r="1062" ht="26" customHeight="1">
      <c r="A1062" s="2" t="n">
        <v>1061</v>
      </c>
      <c r="B1062" s="3" t="inlineStr">
        <is>
          <t>총정리 22탄</t>
        </is>
      </c>
      <c r="C1062" s="3" t="inlineStr">
        <is>
          <t>명심/유념</t>
        </is>
      </c>
      <c r="D1062" s="4" t="inlineStr">
        <is>
          <t>keep in mind</t>
        </is>
      </c>
      <c r="E1062" s="11" t="inlineStr">
        <is>
          <t>~라는 점을 명심하다, 잊지 않다</t>
        </is>
      </c>
      <c r="F1062" s="11" t="inlineStr">
        <is>
          <t>Keep in mind that early registration offers a 20% discount.</t>
        </is>
      </c>
      <c r="G1062" s="11" t="inlineStr">
        <is>
          <t>사전 등록 시 20% 할인이 적용된다는 점을 꼭 명심하세요.</t>
        </is>
      </c>
      <c r="H1062" s="5">
        <f>HYPERLINK("https://www.youtube.com/watch?v=tFSgEVuc0fs", "영상 보기 ▶")</f>
        <v/>
      </c>
    </row>
    <row r="1063" ht="26" customHeight="1">
      <c r="A1063" s="6" t="n">
        <v>1062</v>
      </c>
      <c r="B1063" s="7" t="inlineStr">
        <is>
          <t>총정리 22탄</t>
        </is>
      </c>
      <c r="C1063" s="7" t="inlineStr">
        <is>
          <t>가슴에 새김</t>
        </is>
      </c>
      <c r="D1063" s="8" t="inlineStr">
        <is>
          <t>bear in mind</t>
        </is>
      </c>
      <c r="E1063" s="12" t="inlineStr">
        <is>
          <t>(주의사항을) 유념하다, 마음에 새기다</t>
        </is>
      </c>
      <c r="F1063" s="12" t="inlineStr">
        <is>
          <t>Please bear in mind that deadlines cannot be extended.</t>
        </is>
      </c>
      <c r="G1063" s="12" t="inlineStr">
        <is>
          <t>마감 기한은 절대 연장될 수 없음을 각별히 유념해 주시기 바랍니다.</t>
        </is>
      </c>
      <c r="H1063" s="9">
        <f>HYPERLINK("https://www.youtube.com/watch?v=tFSgEVuc0fs", "영상 보기 ▶")</f>
        <v/>
      </c>
    </row>
    <row r="1064" ht="26" customHeight="1">
      <c r="A1064" s="2" t="n">
        <v>1063</v>
      </c>
      <c r="B1064" s="3" t="inlineStr">
        <is>
          <t>총정리 22탄</t>
        </is>
      </c>
      <c r="C1064" s="3" t="inlineStr">
        <is>
          <t>뜬금없음</t>
        </is>
      </c>
      <c r="D1064" s="4" t="inlineStr">
        <is>
          <t>out of the blue</t>
        </is>
      </c>
      <c r="E1064" s="11" t="inlineStr">
        <is>
          <t>갑자기, 느닷없이, 마른하늘에 날벼락처럼</t>
        </is>
      </c>
      <c r="F1064" s="11" t="inlineStr">
        <is>
          <t>She received a job offer out of the blue from London.</t>
        </is>
      </c>
      <c r="G1064" s="11" t="inlineStr">
        <is>
          <t>그녀는 런던으로부터 정말 느닷없이 뜻밖의 입사 제안을 받았어.</t>
        </is>
      </c>
      <c r="H1064" s="5">
        <f>HYPERLINK("https://www.youtube.com/watch?v=tFSgEVuc0fs", "영상 보기 ▶")</f>
        <v/>
      </c>
    </row>
    <row r="1065" ht="26" customHeight="1">
      <c r="A1065" s="6" t="n">
        <v>1064</v>
      </c>
      <c r="B1065" s="7" t="inlineStr">
        <is>
          <t>총정리 22탄</t>
        </is>
      </c>
      <c r="C1065" s="7" t="inlineStr">
        <is>
          <t>제안 거절</t>
        </is>
      </c>
      <c r="D1065" s="8" t="inlineStr">
        <is>
          <t>turn down</t>
        </is>
      </c>
      <c r="E1065" s="12" t="inlineStr">
        <is>
          <t>(제안/초대를) 정중히 사양하다, 거절하다</t>
        </is>
      </c>
      <c r="F1065" s="12" t="inlineStr">
        <is>
          <t>I had to turn down the promotion because of personal reasons.</t>
        </is>
      </c>
      <c r="G1065" s="12" t="inlineStr">
        <is>
          <t>개인적인 사정으로 인해 승진 제안을 정중히 사양해야만 했습니다.</t>
        </is>
      </c>
      <c r="H1065" s="9">
        <f>HYPERLINK("https://www.youtube.com/watch?v=tFSgEVuc0fs", "영상 보기 ▶")</f>
        <v/>
      </c>
    </row>
    <row r="1066" ht="26" customHeight="1">
      <c r="A1066" s="2" t="n">
        <v>1065</v>
      </c>
      <c r="B1066" s="3" t="inlineStr">
        <is>
          <t>총정리 22탄</t>
        </is>
      </c>
      <c r="C1066" s="3" t="inlineStr">
        <is>
          <t>불쑥 등장</t>
        </is>
      </c>
      <c r="D1066" s="4" t="inlineStr">
        <is>
          <t>turn up</t>
        </is>
      </c>
      <c r="E1066" s="11" t="inlineStr">
        <is>
          <t>(뜻밖의 장소에) 불쑥 나타나다, 볼륨을 높이다</t>
        </is>
      </c>
      <c r="F1066" s="11" t="inlineStr">
        <is>
          <t>He surprisingly turned up at our alumni gathering.</t>
        </is>
      </c>
      <c r="G1066" s="11" t="inlineStr">
        <is>
          <t>그가 우리 동창 모임 자리에 뜻밖에도 불쑥 나타났어.</t>
        </is>
      </c>
      <c r="H1066" s="5">
        <f>HYPERLINK("https://www.youtube.com/watch?v=tFSgEVuc0fs", "영상 보기 ▶")</f>
        <v/>
      </c>
    </row>
    <row r="1067" ht="26" customHeight="1">
      <c r="A1067" s="6" t="n">
        <v>1066</v>
      </c>
      <c r="B1067" s="7" t="inlineStr">
        <is>
          <t>총정리 22탄</t>
        </is>
      </c>
      <c r="C1067" s="7" t="inlineStr">
        <is>
          <t>사양/패스</t>
        </is>
      </c>
      <c r="D1067" s="8" t="inlineStr">
        <is>
          <t>pass on</t>
        </is>
      </c>
      <c r="E1067" s="12" t="inlineStr">
        <is>
          <t>이번엔 사양하다, 건너뛰다</t>
        </is>
      </c>
      <c r="F1067" s="12" t="inlineStr">
        <is>
          <t>I'm on a diet, so I'll pass on dessert today.</t>
        </is>
      </c>
      <c r="G1067" s="12" t="inlineStr">
        <is>
          <t>나 다이어트 중이라 오늘은 디저트 사양할게.</t>
        </is>
      </c>
      <c r="H1067" s="9">
        <f>HYPERLINK("https://www.youtube.com/watch?v=tFSgEVuc0fs", "영상 보기 ▶")</f>
        <v/>
      </c>
    </row>
    <row r="1068" ht="26" customHeight="1">
      <c r="A1068" s="2" t="n">
        <v>1067</v>
      </c>
      <c r="B1068" s="3" t="inlineStr">
        <is>
          <t>총정리 22탄</t>
        </is>
      </c>
      <c r="C1068" s="3" t="inlineStr">
        <is>
          <t>다음 기약</t>
        </is>
      </c>
      <c r="D1068" s="4" t="inlineStr">
        <is>
          <t>take a rain check</t>
        </is>
      </c>
      <c r="E1068" s="11" t="inlineStr">
        <is>
          <t>다음을 기약하다, 다음번으로 미루다</t>
        </is>
      </c>
      <c r="F1068" s="11" t="inlineStr">
        <is>
          <t>I'm swamped tonight; can I take a rain check on dinner?</t>
        </is>
      </c>
      <c r="G1068" s="11" t="inlineStr">
        <is>
          <t>나 오늘 일이 너무 밀려서, 저녁 약속 다음번으로 미뤄도 될까?</t>
        </is>
      </c>
      <c r="H1068" s="5">
        <f>HYPERLINK("https://www.youtube.com/watch?v=tFSgEVuc0fs", "영상 보기 ▶")</f>
        <v/>
      </c>
    </row>
    <row r="1069" ht="26" customHeight="1">
      <c r="A1069" s="6" t="n">
        <v>1068</v>
      </c>
      <c r="B1069" s="7" t="inlineStr">
        <is>
          <t>총정리 22탄</t>
        </is>
      </c>
      <c r="C1069" s="7" t="inlineStr">
        <is>
          <t>관계 단절</t>
        </is>
      </c>
      <c r="D1069" s="8" t="inlineStr">
        <is>
          <t>burn bridges</t>
        </is>
      </c>
      <c r="E1069" s="12" t="inlineStr">
        <is>
          <t>(퇴사나 이직 시) 인연을 끊다, 배수진을 치다</t>
        </is>
      </c>
      <c r="F1069" s="12" t="inlineStr">
        <is>
          <t>Even if you quit, never burn bridges with your former boss.</t>
        </is>
      </c>
      <c r="G1069" s="12" t="inlineStr">
        <is>
          <t>회사를 떠나더라도 이전 직장 상사와는 절대 인연을 파탄 내지 마세요.</t>
        </is>
      </c>
      <c r="H1069" s="9">
        <f>HYPERLINK("https://www.youtube.com/watch?v=tFSgEVuc0fs", "영상 보기 ▶")</f>
        <v/>
      </c>
    </row>
    <row r="1070" ht="26" customHeight="1">
      <c r="A1070" s="2" t="n">
        <v>1069</v>
      </c>
      <c r="B1070" s="3" t="inlineStr">
        <is>
          <t>총정리 22탄</t>
        </is>
      </c>
      <c r="C1070" s="3" t="inlineStr">
        <is>
          <t>긍정적 측면</t>
        </is>
      </c>
      <c r="D1070" s="4" t="inlineStr">
        <is>
          <t>on the bright side</t>
        </is>
      </c>
      <c r="E1070" s="11" t="inlineStr">
        <is>
          <t>밝은 면을 보자면, 긍정적으로 생각하면</t>
        </is>
      </c>
      <c r="F1070" s="11" t="inlineStr">
        <is>
          <t>The flight was delayed, but on the bright side, we got free meals.</t>
        </is>
      </c>
      <c r="G1070" s="11" t="inlineStr">
        <is>
          <t>비행기는 연착됐지만, 밝은 면을 보자면 무료 식사를 제공받았잖아.</t>
        </is>
      </c>
      <c r="H1070" s="5">
        <f>HYPERLINK("https://www.youtube.com/watch?v=tFSgEVuc0fs", "영상 보기 ▶")</f>
        <v/>
      </c>
    </row>
    <row r="1071" ht="26" customHeight="1">
      <c r="A1071" s="6" t="n">
        <v>1070</v>
      </c>
      <c r="B1071" s="7" t="inlineStr">
        <is>
          <t>총정리 22탄</t>
        </is>
      </c>
      <c r="C1071" s="7" t="inlineStr">
        <is>
          <t>지나고 보니</t>
        </is>
      </c>
      <c r="D1071" s="8" t="inlineStr">
        <is>
          <t>in hindsight</t>
        </is>
      </c>
      <c r="E1071" s="12" t="inlineStr">
        <is>
          <t>지나고 나서 돌이켜보건대, 후일담으로</t>
        </is>
      </c>
      <c r="F1071" s="12" t="inlineStr">
        <is>
          <t>In hindsight, we should have launched the campaign earlier.</t>
        </is>
      </c>
      <c r="G1071" s="12" t="inlineStr">
        <is>
          <t>지나고 나서 돌이켜보건대, 캠페인을 더 일찍 시작했어야 했어.</t>
        </is>
      </c>
      <c r="H1071" s="9">
        <f>HYPERLINK("https://www.youtube.com/watch?v=tFSgEVuc0fs", "영상 보기 ▶")</f>
        <v/>
      </c>
    </row>
    <row r="1072" ht="26" customHeight="1">
      <c r="A1072" s="2" t="n">
        <v>1071</v>
      </c>
      <c r="B1072" s="3" t="inlineStr">
        <is>
          <t>총정리 22탄</t>
        </is>
      </c>
      <c r="C1072" s="3" t="inlineStr">
        <is>
          <t>직감/육감</t>
        </is>
      </c>
      <c r="D1072" s="4" t="inlineStr">
        <is>
          <t>gut feeling</t>
        </is>
      </c>
      <c r="E1072" s="11" t="inlineStr">
        <is>
          <t>(논리를 넘어선) 육감, 직감</t>
        </is>
      </c>
      <c r="F1072" s="11" t="inlineStr">
        <is>
          <t>Trust your gut feeling when making difficult hires.</t>
        </is>
      </c>
      <c r="G1072" s="11" t="inlineStr">
        <is>
          <t>까다로운 인재를 채용할 때는 당신의 직감을 믿어보세요.</t>
        </is>
      </c>
      <c r="H1072" s="5">
        <f>HYPERLINK("https://www.youtube.com/watch?v=tFSgEVuc0fs", "영상 보기 ▶")</f>
        <v/>
      </c>
    </row>
    <row r="1073" ht="26" customHeight="1">
      <c r="A1073" s="6" t="n">
        <v>1072</v>
      </c>
      <c r="B1073" s="7" t="inlineStr">
        <is>
          <t>총정리 22탄</t>
        </is>
      </c>
      <c r="C1073" s="7" t="inlineStr">
        <is>
          <t>즉흥 발언</t>
        </is>
      </c>
      <c r="D1073" s="8" t="inlineStr">
        <is>
          <t>off the cuff</t>
        </is>
      </c>
      <c r="E1073" s="12" t="inlineStr">
        <is>
          <t>(준비 없이) 즉석에서, 즉흥적으로</t>
        </is>
      </c>
      <c r="F1073" s="12" t="inlineStr">
        <is>
          <t>He gave an amazing motivational speech completely off the cuff.</t>
        </is>
      </c>
      <c r="G1073" s="12" t="inlineStr">
        <is>
          <t>그는 아무런 사전 준비 없이 완전히 즉석에서 감동적인 연설을 해냈어.</t>
        </is>
      </c>
      <c r="H1073" s="9">
        <f>HYPERLINK("https://www.youtube.com/watch?v=tFSgEVuc0fs", "영상 보기 ▶")</f>
        <v/>
      </c>
    </row>
    <row r="1074" ht="26" customHeight="1">
      <c r="A1074" s="2" t="n">
        <v>1073</v>
      </c>
      <c r="B1074" s="3" t="inlineStr">
        <is>
          <t>총정리 22탄</t>
        </is>
      </c>
      <c r="C1074" s="3" t="inlineStr">
        <is>
          <t>반대 입장</t>
        </is>
      </c>
      <c r="D1074" s="4" t="inlineStr">
        <is>
          <t>play devil's advocate</t>
        </is>
      </c>
      <c r="E1074" s="11" t="inlineStr">
        <is>
          <t>(논의를 풍부하게 하려) 일부러 반대 입장을 취하다</t>
        </is>
      </c>
      <c r="F1074" s="11" t="inlineStr">
        <is>
          <t>Let me play devil's advocate: what if sales decline next year?</t>
        </is>
      </c>
      <c r="G1074" s="11" t="inlineStr">
        <is>
          <t>제가 일부러 악마의 대변자 역할을 해볼게요: 내년에 매출이 떨어지면 어떡하죠?</t>
        </is>
      </c>
      <c r="H1074" s="5">
        <f>HYPERLINK("https://www.youtube.com/watch?v=tFSgEVuc0fs", "영상 보기 ▶")</f>
        <v/>
      </c>
    </row>
    <row r="1075" ht="26" customHeight="1">
      <c r="A1075" s="6" t="n">
        <v>1074</v>
      </c>
      <c r="B1075" s="7" t="inlineStr">
        <is>
          <t>총정리 22탄</t>
        </is>
      </c>
      <c r="C1075" s="7" t="inlineStr">
        <is>
          <t>대략 수치</t>
        </is>
      </c>
      <c r="D1075" s="8" t="inlineStr">
        <is>
          <t>ballpark figure</t>
        </is>
      </c>
      <c r="E1075" s="12" t="inlineStr">
        <is>
          <t>어림잡은 수치, 대략적인 견적</t>
        </is>
      </c>
      <c r="F1075" s="12" t="inlineStr">
        <is>
          <t>Can you give me a ballpark figure for the venue rental?</t>
        </is>
      </c>
      <c r="G1075" s="12" t="inlineStr">
        <is>
          <t>행사장 대관료가 대략 얼마 정도 나올지 어림 견적을 주실 수 있나요?</t>
        </is>
      </c>
      <c r="H1075" s="9">
        <f>HYPERLINK("https://www.youtube.com/watch?v=tFSgEVuc0fs", "영상 보기 ▶")</f>
        <v/>
      </c>
    </row>
    <row r="1076" ht="26" customHeight="1">
      <c r="A1076" s="2" t="n">
        <v>1075</v>
      </c>
      <c r="B1076" s="3" t="inlineStr">
        <is>
          <t>총정리 22탄</t>
        </is>
      </c>
      <c r="C1076" s="3" t="inlineStr">
        <is>
          <t>경험 법칙</t>
        </is>
      </c>
      <c r="D1076" s="4" t="inlineStr">
        <is>
          <t>rule of thumb</t>
        </is>
      </c>
      <c r="E1076" s="11" t="inlineStr">
        <is>
          <t>경험에 따른 유용한 기본 법칙/지침</t>
        </is>
      </c>
      <c r="F1076" s="11" t="inlineStr">
        <is>
          <t>As a rule of thumb, allocate 20% of your time to testing.</t>
        </is>
      </c>
      <c r="G1076" s="11" t="inlineStr">
        <is>
          <t>경험적 법칙에 따르면 업무 시간의 20%는 검증과 테스트에 배정해야 합니다.</t>
        </is>
      </c>
      <c r="H1076" s="5">
        <f>HYPERLINK("https://www.youtube.com/watch?v=tFSgEVuc0fs", "영상 보기 ▶")</f>
        <v/>
      </c>
    </row>
    <row r="1077" ht="26" customHeight="1">
      <c r="A1077" s="6" t="n">
        <v>1076</v>
      </c>
      <c r="B1077" s="7" t="inlineStr">
        <is>
          <t>총정리 22탄</t>
        </is>
      </c>
      <c r="C1077" s="7" t="inlineStr">
        <is>
          <t>절차 생략</t>
        </is>
      </c>
      <c r="D1077" s="8" t="inlineStr">
        <is>
          <t>cut corners</t>
        </is>
      </c>
      <c r="E1077" s="12" t="inlineStr">
        <is>
          <t>(원가/시간을 아끼려) 원칙을 어기고 대충 하다</t>
        </is>
      </c>
      <c r="F1077" s="12" t="inlineStr">
        <is>
          <t>Never cut corners when it comes to user safety.</t>
        </is>
      </c>
      <c r="G1077" s="12" t="inlineStr">
        <is>
          <t>사용자 안전에 관한 한 절대 편법을 쓰거나 대충 넘어가선 안 됩니다.</t>
        </is>
      </c>
      <c r="H1077" s="9">
        <f>HYPERLINK("https://www.youtube.com/watch?v=tFSgEVuc0fs", "영상 보기 ▶")</f>
        <v/>
      </c>
    </row>
    <row r="1078" ht="26" customHeight="1">
      <c r="A1078" s="2" t="n">
        <v>1077</v>
      </c>
      <c r="B1078" s="3" t="inlineStr">
        <is>
          <t>총정리 22탄</t>
        </is>
      </c>
      <c r="C1078" s="3" t="inlineStr">
        <is>
          <t>너그러움</t>
        </is>
      </c>
      <c r="D1078" s="4" t="inlineStr">
        <is>
          <t>cut slack</t>
        </is>
      </c>
      <c r="E1078" s="11" t="inlineStr">
        <is>
          <t>사정을 봐주다, 융통성 있게 눈감아주다</t>
        </is>
      </c>
      <c r="F1078" s="11" t="inlineStr">
        <is>
          <t>Please cut the intern some slack; she's still learning.</t>
        </is>
      </c>
      <c r="G1078" s="11" t="inlineStr">
        <is>
          <t>인턴 친구 사정 좀 봐주세요, 아직 배우는 단계잖아요.</t>
        </is>
      </c>
      <c r="H1078" s="5">
        <f>HYPERLINK("https://www.youtube.com/watch?v=tFSgEVuc0fs", "영상 보기 ▶")</f>
        <v/>
      </c>
    </row>
    <row r="1079" ht="26" customHeight="1">
      <c r="A1079" s="6" t="n">
        <v>1078</v>
      </c>
      <c r="B1079" s="7" t="inlineStr">
        <is>
          <t>총정리 22탄</t>
        </is>
      </c>
      <c r="C1079" s="7" t="inlineStr">
        <is>
          <t>핵심 본질</t>
        </is>
      </c>
      <c r="D1079" s="8" t="inlineStr">
        <is>
          <t>bottom line</t>
        </is>
      </c>
      <c r="E1079" s="12" t="inlineStr">
        <is>
          <t>최종 결론, 핵심 요점, 순이익</t>
        </is>
      </c>
      <c r="F1079" s="12" t="inlineStr">
        <is>
          <t>The bottom line is that we need to increase retention.</t>
        </is>
      </c>
      <c r="G1079" s="12" t="inlineStr">
        <is>
          <t>핵심 본질은 고객 유지율을 반드시 끌어올려야 한다는 점입니다.</t>
        </is>
      </c>
      <c r="H1079" s="9">
        <f>HYPERLINK("https://www.youtube.com/watch?v=tFSgEVuc0fs", "영상 보기 ▶")</f>
        <v/>
      </c>
    </row>
    <row r="1080" ht="26" customHeight="1">
      <c r="A1080" s="2" t="n">
        <v>1079</v>
      </c>
      <c r="B1080" s="3" t="inlineStr">
        <is>
          <t>총정리 22탄</t>
        </is>
      </c>
      <c r="C1080" s="3" t="inlineStr">
        <is>
          <t>양보 타협</t>
        </is>
      </c>
      <c r="D1080" s="4" t="inlineStr">
        <is>
          <t>meet halfway</t>
        </is>
      </c>
      <c r="E1080" s="11" t="inlineStr">
        <is>
          <t>중간 지점에서 서로 절충하다/양보하다</t>
        </is>
      </c>
      <c r="F1080" s="11" t="inlineStr">
        <is>
          <t>If you reduce the price by 5%, we can meet halfway.</t>
        </is>
      </c>
      <c r="G1080" s="11" t="inlineStr">
        <is>
          <t>가격을 5%만 낮춰주신다면 저희도 절충하여 수용할 수 있습니다.</t>
        </is>
      </c>
      <c r="H1080" s="5">
        <f>HYPERLINK("https://www.youtube.com/watch?v=tFSgEVuc0fs", "영상 보기 ▶")</f>
        <v/>
      </c>
    </row>
    <row r="1081" ht="26" customHeight="1">
      <c r="A1081" s="6" t="n">
        <v>1080</v>
      </c>
      <c r="B1081" s="7" t="inlineStr">
        <is>
          <t>총정리 22탄</t>
        </is>
      </c>
      <c r="C1081" s="7" t="inlineStr">
        <is>
          <t>합의 도달</t>
        </is>
      </c>
      <c r="D1081" s="8" t="inlineStr">
        <is>
          <t>reach a compromise</t>
        </is>
      </c>
      <c r="E1081" s="12" t="inlineStr">
        <is>
          <t>절충점에 도달하다, 합의를 이끌어내다</t>
        </is>
      </c>
      <c r="F1081" s="12" t="inlineStr">
        <is>
          <t>After intense debates, both sides finally reached a compromise.</t>
        </is>
      </c>
      <c r="G1081" s="12" t="inlineStr">
        <is>
          <t>치열한 토론 끝에 양측은 마침내 원만한 절충안에 합의했습니다.</t>
        </is>
      </c>
      <c r="H1081" s="9">
        <f>HYPERLINK("https://www.youtube.com/watch?v=tFSgEVuc0fs", "영상 보기 ▶")</f>
        <v/>
      </c>
    </row>
    <row r="1082" ht="26" customHeight="1">
      <c r="A1082" s="2" t="n">
        <v>1081</v>
      </c>
      <c r="B1082" s="3" t="inlineStr">
        <is>
          <t>총정리 22탄</t>
        </is>
      </c>
      <c r="C1082" s="3" t="inlineStr">
        <is>
          <t>기피 난제</t>
        </is>
      </c>
      <c r="D1082" s="4" t="inlineStr">
        <is>
          <t>elephant in the room</t>
        </is>
      </c>
      <c r="E1082" s="11" t="inlineStr">
        <is>
          <t>모두가 알고 있지만 꺼내기 껄끄러워 쉬쉬하는 큰 문제</t>
        </is>
      </c>
      <c r="F1082" s="11" t="inlineStr">
        <is>
          <t>Let's stop avoiding the elephant in the room and discuss layoffs.</t>
        </is>
      </c>
      <c r="G1082" s="11" t="inlineStr">
        <is>
          <t>쉬쉬하며 피하지만 말고, 구조조정이라는 껄끄러운 문제를 솔직히 털어놓읍시다.</t>
        </is>
      </c>
      <c r="H1082" s="5">
        <f>HYPERLINK("https://www.youtube.com/watch?v=tFSgEVuc0fs", "영상 보기 ▶")</f>
        <v/>
      </c>
    </row>
    <row r="1083" ht="26" customHeight="1">
      <c r="A1083" s="6" t="n">
        <v>1082</v>
      </c>
      <c r="B1083" s="7" t="inlineStr">
        <is>
          <t>총정리 22탄</t>
        </is>
      </c>
      <c r="C1083" s="7" t="inlineStr">
        <is>
          <t>현황 소통</t>
        </is>
      </c>
      <c r="D1083" s="8" t="inlineStr">
        <is>
          <t>touch base</t>
        </is>
      </c>
      <c r="E1083" s="12" t="inlineStr">
        <is>
          <t>간단히 현황을 확인하다, 연락을 취하다</t>
        </is>
      </c>
      <c r="F1083" s="12" t="inlineStr">
        <is>
          <t>I'll touch base with you after the client call.</t>
        </is>
      </c>
      <c r="G1083" s="12" t="inlineStr">
        <is>
          <t>고객사 통화가 끝나는 대로 간단히 연락드려 상황 공유할게요.</t>
        </is>
      </c>
      <c r="H1083" s="9">
        <f>HYPERLINK("https://www.youtube.com/watch?v=tFSgEVuc0fs", "영상 보기 ▶")</f>
        <v/>
      </c>
    </row>
    <row r="1084" ht="26" customHeight="1">
      <c r="A1084" s="2" t="n">
        <v>1083</v>
      </c>
      <c r="B1084" s="3" t="inlineStr">
        <is>
          <t>총정리 22탄</t>
        </is>
      </c>
      <c r="C1084" s="3" t="inlineStr">
        <is>
          <t>결정 보류</t>
        </is>
      </c>
      <c r="D1084" s="4" t="inlineStr">
        <is>
          <t>on the fence</t>
        </is>
      </c>
      <c r="E1084" s="11" t="inlineStr">
        <is>
          <t>결정을 내리지 못하고 망설이는</t>
        </is>
      </c>
      <c r="F1084" s="11" t="inlineStr">
        <is>
          <t>Many customers are still on the fence about upgrading.</t>
        </is>
      </c>
      <c r="G1084" s="11" t="inlineStr">
        <is>
          <t>많은 고객이 업그레이드를 할지 말지 여전히 망설이고 있습니다.</t>
        </is>
      </c>
      <c r="H1084" s="5">
        <f>HYPERLINK("https://www.youtube.com/watch?v=tFSgEVuc0fs", "영상 보기 ▶")</f>
        <v/>
      </c>
    </row>
    <row r="1085" ht="26" customHeight="1">
      <c r="A1085" s="6" t="n">
        <v>1084</v>
      </c>
      <c r="B1085" s="7" t="inlineStr">
        <is>
          <t>총정리 22탄</t>
        </is>
      </c>
      <c r="C1085" s="7" t="inlineStr">
        <is>
          <t>이해 납득</t>
        </is>
      </c>
      <c r="D1085" s="8" t="inlineStr">
        <is>
          <t>wrap one's head around</t>
        </is>
      </c>
      <c r="E1085" s="12" t="inlineStr">
        <is>
          <t>(복잡한 사실을) 온전히 이해하고 소화하다</t>
        </is>
      </c>
      <c r="F1085" s="12" t="inlineStr">
        <is>
          <t>It's hard to wrap my head around these massive data sets.</t>
        </is>
      </c>
      <c r="G1085" s="12" t="inlineStr">
        <is>
          <t>이 방대한 데이터셋을 온전히 이해하고 납득하기가 쉽지 않네요.</t>
        </is>
      </c>
      <c r="H1085" s="9">
        <f>HYPERLINK("https://www.youtube.com/watch?v=tFSgEVuc0fs", "영상 보기 ▶")</f>
        <v/>
      </c>
    </row>
    <row r="1086" ht="26" customHeight="1">
      <c r="A1086" s="2" t="n">
        <v>1085</v>
      </c>
      <c r="B1086" s="3" t="inlineStr">
        <is>
          <t>총정리 22탄</t>
        </is>
      </c>
      <c r="C1086" s="3" t="inlineStr">
        <is>
          <t>일과 마무리</t>
        </is>
      </c>
      <c r="D1086" s="4" t="inlineStr">
        <is>
          <t>wrap up</t>
        </is>
      </c>
      <c r="E1086" s="11" t="inlineStr">
        <is>
          <t>마무리하다, 매듭짓다</t>
        </is>
      </c>
      <c r="F1086" s="11" t="inlineStr">
        <is>
          <t>Let's wrap up our discussion and summarize action items.</t>
        </is>
      </c>
      <c r="G1086" s="11" t="inlineStr">
        <is>
          <t>논의를 마무리 짓고 실행 과제들을 정리해 봅시다.</t>
        </is>
      </c>
      <c r="H1086" s="5">
        <f>HYPERLINK("https://www.youtube.com/watch?v=tFSgEVuc0fs", "영상 보기 ▶")</f>
        <v/>
      </c>
    </row>
    <row r="1087" ht="26" customHeight="1">
      <c r="A1087" s="6" t="n">
        <v>1086</v>
      </c>
      <c r="B1087" s="7" t="inlineStr">
        <is>
          <t>총정리 22탄</t>
        </is>
      </c>
      <c r="C1087" s="7" t="inlineStr">
        <is>
          <t>즉각 기억</t>
        </is>
      </c>
      <c r="D1087" s="8" t="inlineStr">
        <is>
          <t>off the top of my head</t>
        </is>
      </c>
      <c r="E1087" s="12" t="inlineStr">
        <is>
          <t>지금 당장 기억나는 바로는, 얼핏 생각하기론</t>
        </is>
      </c>
      <c r="F1087" s="12" t="inlineStr">
        <is>
          <t>Off the top of my head, I think we have around 50 licenses.</t>
        </is>
      </c>
      <c r="G1087" s="12" t="inlineStr">
        <is>
          <t>지금 당장 얼핏 생각나는 바로는 라이선스가 대략 50개쯤 있을 거예요.</t>
        </is>
      </c>
      <c r="H1087" s="9">
        <f>HYPERLINK("https://www.youtube.com/watch?v=tFSgEVuc0fs", "영상 보기 ▶")</f>
        <v/>
      </c>
    </row>
    <row r="1088" ht="26" customHeight="1">
      <c r="A1088" s="2" t="n">
        <v>1087</v>
      </c>
      <c r="B1088" s="3" t="inlineStr">
        <is>
          <t>총정리 22탄</t>
        </is>
      </c>
      <c r="C1088" s="3" t="inlineStr">
        <is>
          <t>배제</t>
        </is>
      </c>
      <c r="D1088" s="4" t="inlineStr">
        <is>
          <t>off the table</t>
        </is>
      </c>
      <c r="E1088" s="11" t="inlineStr">
        <is>
          <t>논외인, 협상 테이블에서 완전히 제외된</t>
        </is>
      </c>
      <c r="F1088" s="11" t="inlineStr">
        <is>
          <t>Selling the company is completely off the table.</t>
        </is>
      </c>
      <c r="G1088" s="11" t="inlineStr">
        <is>
          <t>회사를 매각하는 방안은 완전히 논외 대상입니다.</t>
        </is>
      </c>
      <c r="H1088" s="5">
        <f>HYPERLINK("https://www.youtube.com/watch?v=tFSgEVuc0fs", "영상 보기 ▶")</f>
        <v/>
      </c>
    </row>
    <row r="1089" ht="26" customHeight="1">
      <c r="A1089" s="6" t="n">
        <v>1088</v>
      </c>
      <c r="B1089" s="7" t="inlineStr">
        <is>
          <t>총정리 22탄</t>
        </is>
      </c>
      <c r="C1089" s="7" t="inlineStr">
        <is>
          <t>고려 대상</t>
        </is>
      </c>
      <c r="D1089" s="8" t="inlineStr">
        <is>
          <t>on the table</t>
        </is>
      </c>
      <c r="E1089" s="12" t="inlineStr">
        <is>
          <t>논의 중인, 검토 가능한 상태인</t>
        </is>
      </c>
      <c r="F1089" s="12" t="inlineStr">
        <is>
          <t>All cost-saving proposals are currently on the table.</t>
        </is>
      </c>
      <c r="G1089" s="12" t="inlineStr">
        <is>
          <t>비용 절감을 위한 모든 제안이 현재 공식 검토 대상에 올라와 있습니다.</t>
        </is>
      </c>
      <c r="H1089" s="9">
        <f>HYPERLINK("https://www.youtube.com/watch?v=tFSgEVuc0fs", "영상 보기 ▶")</f>
        <v/>
      </c>
    </row>
    <row r="1090" ht="26" customHeight="1">
      <c r="A1090" s="2" t="n">
        <v>1089</v>
      </c>
      <c r="B1090" s="3" t="inlineStr">
        <is>
          <t>총정리 22탄</t>
        </is>
      </c>
      <c r="C1090" s="3" t="inlineStr">
        <is>
          <t>기여 역량</t>
        </is>
      </c>
      <c r="D1090" s="4" t="inlineStr">
        <is>
          <t>bring to the table</t>
        </is>
      </c>
      <c r="E1090" s="11" t="inlineStr">
        <is>
          <t>(협상이나 조직에) 역량이나 이득을 기여하다</t>
        </is>
      </c>
      <c r="F1090" s="11" t="inlineStr">
        <is>
          <t>Her extensive international experience brings a lot to the table.</t>
        </is>
      </c>
      <c r="G1090" s="11" t="inlineStr">
        <is>
          <t>그녀의 풍부한 해외 비즈니스 경험은 우리 팀에 큰 가치를 가져다줍니다.</t>
        </is>
      </c>
      <c r="H1090" s="5">
        <f>HYPERLINK("https://www.youtube.com/watch?v=tFSgEVuc0fs", "영상 보기 ▶")</f>
        <v/>
      </c>
    </row>
    <row r="1091" ht="26" customHeight="1">
      <c r="A1091" s="6" t="n">
        <v>1090</v>
      </c>
      <c r="B1091" s="7" t="inlineStr">
        <is>
          <t>총정리 22탄</t>
        </is>
      </c>
      <c r="C1091" s="7" t="inlineStr">
        <is>
          <t>관료주의</t>
        </is>
      </c>
      <c r="D1091" s="8" t="inlineStr">
        <is>
          <t>red tape</t>
        </is>
      </c>
      <c r="E1091" s="12" t="inlineStr">
        <is>
          <t>형식적인 관료주의 절차, 번거로운 규제</t>
        </is>
      </c>
      <c r="F1091" s="12" t="inlineStr">
        <is>
          <t>Too much government red tape delays startup funding.</t>
        </is>
      </c>
      <c r="G1091" s="12" t="inlineStr">
        <is>
          <t>과도한 관료주의적 규제 절차는 스타트업 자금 지원을 지연시킵니다.</t>
        </is>
      </c>
      <c r="H1091" s="9">
        <f>HYPERLINK("https://www.youtube.com/watch?v=tFSgEVuc0fs", "영상 보기 ▶")</f>
        <v/>
      </c>
    </row>
    <row r="1092" ht="26" customHeight="1">
      <c r="A1092" s="2" t="n">
        <v>1091</v>
      </c>
      <c r="B1092" s="3" t="inlineStr">
        <is>
          <t>총정리 22탄</t>
        </is>
      </c>
      <c r="C1092" s="3" t="inlineStr">
        <is>
          <t>막후 수고</t>
        </is>
      </c>
      <c r="D1092" s="4" t="inlineStr">
        <is>
          <t>behind the scenes</t>
        </is>
      </c>
      <c r="E1092" s="11" t="inlineStr">
        <is>
          <t>보이지 않는 무대 뒤에서, 막후에서</t>
        </is>
      </c>
      <c r="F1092" s="11" t="inlineStr">
        <is>
          <t>A lot of hard work goes on behind the scenes before a concert.</t>
        </is>
      </c>
      <c r="G1092" s="11" t="inlineStr">
        <is>
          <t>콘서트가 열리기 전 보이지 않는 막후에서 엄청난 노력이 이뤄집니다.</t>
        </is>
      </c>
      <c r="H1092" s="5">
        <f>HYPERLINK("https://www.youtube.com/watch?v=tFSgEVuc0fs", "영상 보기 ▶")</f>
        <v/>
      </c>
    </row>
    <row r="1093" ht="26" customHeight="1">
      <c r="A1093" s="6" t="n">
        <v>1092</v>
      </c>
      <c r="B1093" s="7" t="inlineStr">
        <is>
          <t>총정리 22탄</t>
        </is>
      </c>
      <c r="C1093" s="7" t="inlineStr">
        <is>
          <t>정보 공유선</t>
        </is>
      </c>
      <c r="D1093" s="8" t="inlineStr">
        <is>
          <t>in the loop</t>
        </is>
      </c>
      <c r="E1093" s="12" t="inlineStr">
        <is>
          <t>정보 공유 대상에 포함되어 있는</t>
        </is>
      </c>
      <c r="F1093" s="12" t="inlineStr">
        <is>
          <t>Keep me in the loop regarding any design modifications.</t>
        </is>
      </c>
      <c r="G1093" s="12" t="inlineStr">
        <is>
          <t>디자인 수정 사항이 생기면 저도 계속 공유선에 넣어주세요.</t>
        </is>
      </c>
      <c r="H1093" s="9">
        <f>HYPERLINK("https://www.youtube.com/watch?v=tFSgEVuc0fs", "영상 보기 ▶")</f>
        <v/>
      </c>
    </row>
    <row r="1094" ht="26" customHeight="1">
      <c r="A1094" s="2" t="n">
        <v>1093</v>
      </c>
      <c r="B1094" s="3" t="inlineStr">
        <is>
          <t>총정리 22탄</t>
        </is>
      </c>
      <c r="C1094" s="3" t="inlineStr">
        <is>
          <t>진행 보고</t>
        </is>
      </c>
      <c r="D1094" s="4" t="inlineStr">
        <is>
          <t>keep me posted</t>
        </is>
      </c>
      <c r="E1094" s="11" t="inlineStr">
        <is>
          <t>어떻게 진행되는지 계속 상황을 알려줘</t>
        </is>
      </c>
      <c r="F1094" s="11" t="inlineStr">
        <is>
          <t>Please keep me posted on the client's final feedback.</t>
        </is>
      </c>
      <c r="G1094" s="11" t="inlineStr">
        <is>
          <t>고객사의 최종 피드백이 어떻게 나오는지 계속 알려주세요.</t>
        </is>
      </c>
      <c r="H1094" s="5">
        <f>HYPERLINK("https://www.youtube.com/watch?v=tFSgEVuc0fs", "영상 보기 ▶")</f>
        <v/>
      </c>
    </row>
    <row r="1095" ht="26" customHeight="1">
      <c r="A1095" s="6" t="n">
        <v>1094</v>
      </c>
      <c r="B1095" s="7" t="inlineStr">
        <is>
          <t>총정리 22탄</t>
        </is>
      </c>
      <c r="C1095" s="7" t="inlineStr">
        <is>
          <t>사전 언질</t>
        </is>
      </c>
      <c r="D1095" s="8" t="inlineStr">
        <is>
          <t>give me a heads-up</t>
        </is>
      </c>
      <c r="E1095" s="12" t="inlineStr">
        <is>
          <t>미리 귀띔해 주다, 사전 안내를 주다</t>
        </is>
      </c>
      <c r="F1095" s="12" t="inlineStr">
        <is>
          <t>Thanks for giving me a heads-up before the inspection.</t>
        </is>
      </c>
      <c r="G1095" s="12" t="inlineStr">
        <is>
          <t>정기 검사 전에 미리 귀띔해 주셔서 정말 감사합니다.</t>
        </is>
      </c>
      <c r="H1095" s="9">
        <f>HYPERLINK("https://www.youtube.com/watch?v=tFSgEVuc0fs", "영상 보기 ▶")</f>
        <v/>
      </c>
    </row>
    <row r="1096" ht="26" customHeight="1">
      <c r="A1096" s="2" t="n">
        <v>1095</v>
      </c>
      <c r="B1096" s="3" t="inlineStr">
        <is>
          <t>총정리 22탄</t>
        </is>
      </c>
      <c r="C1096" s="3" t="inlineStr">
        <is>
          <t>전면 일괄</t>
        </is>
      </c>
      <c r="D1096" s="4" t="inlineStr">
        <is>
          <t>across the board</t>
        </is>
      </c>
      <c r="E1096" s="11" t="inlineStr">
        <is>
          <t>전반에 걸쳐 일괄적으로</t>
        </is>
      </c>
      <c r="F1096" s="11" t="inlineStr">
        <is>
          <t>The new safety protocols apply across the board to all teams.</t>
        </is>
      </c>
      <c r="G1096" s="11" t="inlineStr">
        <is>
          <t>새로운 안전 지침은 모든 팀에 예외 없이 전면 일괄 적용됩니다.</t>
        </is>
      </c>
      <c r="H1096" s="5">
        <f>HYPERLINK("https://www.youtube.com/watch?v=tFSgEVuc0fs", "영상 보기 ▶")</f>
        <v/>
      </c>
    </row>
    <row r="1097" ht="26" customHeight="1">
      <c r="A1097" s="6" t="n">
        <v>1096</v>
      </c>
      <c r="B1097" s="7" t="inlineStr">
        <is>
          <t>총정리 22탄</t>
        </is>
      </c>
      <c r="C1097" s="7" t="inlineStr">
        <is>
          <t>맨바닥</t>
        </is>
      </c>
      <c r="D1097" s="8" t="inlineStr">
        <is>
          <t>from scratch</t>
        </is>
      </c>
      <c r="E1097" s="12" t="inlineStr">
        <is>
          <t>아무런 밑천 없이 맨 처음 바닥부터</t>
        </is>
      </c>
      <c r="F1097" s="12" t="inlineStr">
        <is>
          <t>We built our entire customer database from scratch.</t>
        </is>
      </c>
      <c r="G1097" s="12" t="inlineStr">
        <is>
          <t>우리는 고객 데이터베이스 전체를 맨 바닥부터 직접 구축했습니다.</t>
        </is>
      </c>
      <c r="H1097" s="9">
        <f>HYPERLINK("https://www.youtube.com/watch?v=tFSgEVuc0fs", "영상 보기 ▶")</f>
        <v/>
      </c>
    </row>
    <row r="1098" ht="26" customHeight="1">
      <c r="A1098" s="2" t="n">
        <v>1097</v>
      </c>
      <c r="B1098" s="3" t="inlineStr">
        <is>
          <t>총정리 22탄</t>
        </is>
      </c>
      <c r="C1098" s="3" t="inlineStr">
        <is>
          <t>원점 재시작</t>
        </is>
      </c>
      <c r="D1098" s="4" t="inlineStr">
        <is>
          <t>back to the drawing board</t>
        </is>
      </c>
      <c r="E1098" s="11" t="inlineStr">
        <is>
          <t>원점으로 돌아가 백지상태에서 다시 시작하다</t>
        </is>
      </c>
      <c r="F1098" s="11" t="inlineStr">
        <is>
          <t>The prototype failed the test, so it's back to the drawing board.</t>
        </is>
      </c>
      <c r="G1098" s="11" t="inlineStr">
        <is>
          <t>시제품이 테스트에 불합격했으니 처음 원점으로 돌아가 다시 설계해야 해.</t>
        </is>
      </c>
      <c r="H1098" s="5">
        <f>HYPERLINK("https://www.youtube.com/watch?v=tFSgEVuc0fs", "영상 보기 ▶")</f>
        <v/>
      </c>
    </row>
    <row r="1099" ht="26" customHeight="1">
      <c r="A1099" s="6" t="n">
        <v>1098</v>
      </c>
      <c r="B1099" s="7" t="inlineStr">
        <is>
          <t>총정리 22탄</t>
        </is>
      </c>
      <c r="C1099" s="7" t="inlineStr">
        <is>
          <t>초반 질주</t>
        </is>
      </c>
      <c r="D1099" s="8" t="inlineStr">
        <is>
          <t>hit the ground running</t>
        </is>
      </c>
      <c r="E1099" s="12" t="inlineStr">
        <is>
          <t>시작부터 지체 없이 빠르게 성과를 내다</t>
        </is>
      </c>
      <c r="F1099" s="12" t="inlineStr">
        <is>
          <t>With her experience, she will hit the ground running immediately.</t>
        </is>
      </c>
      <c r="G1099" s="12" t="inlineStr">
        <is>
          <t>그녀의 풍부한 경험 덕분에 입사하자마자 첫날부터 빠르게 성과를 낼 거야.</t>
        </is>
      </c>
      <c r="H1099" s="9">
        <f>HYPERLINK("https://www.youtube.com/watch?v=tFSgEVuc0fs", "영상 보기 ▶")</f>
        <v/>
      </c>
    </row>
    <row r="1100" ht="26" customHeight="1">
      <c r="A1100" s="2" t="n">
        <v>1099</v>
      </c>
      <c r="B1100" s="3" t="inlineStr">
        <is>
          <t>총정리 22탄</t>
        </is>
      </c>
      <c r="C1100" s="3" t="inlineStr">
        <is>
          <t>최종 결산</t>
        </is>
      </c>
      <c r="D1100" s="4" t="inlineStr">
        <is>
          <t>at the end of the day</t>
        </is>
      </c>
      <c r="E1100" s="11" t="inlineStr">
        <is>
          <t>결국, 하루를 결산하며 가장 중요한 본질은</t>
        </is>
      </c>
      <c r="F1100" s="11" t="inlineStr">
        <is>
          <t>At the end of the day, delivering quality is our true mission.</t>
        </is>
      </c>
      <c r="G1100" s="11" t="inlineStr">
        <is>
          <t>결국 가장 중요한 본질은 최고의 품질을 고객에게 제공하는 것입니다.</t>
        </is>
      </c>
      <c r="H1100" s="5">
        <f>HYPERLINK("https://www.youtube.com/watch?v=tFSgEVuc0fs", "영상 보기 ▶")</f>
        <v/>
      </c>
    </row>
    <row r="1101" ht="26" customHeight="1">
      <c r="A1101" s="6" t="n">
        <v>1100</v>
      </c>
      <c r="B1101" s="7" t="inlineStr">
        <is>
          <t>총정리 22탄</t>
        </is>
      </c>
      <c r="C1101" s="7" t="inlineStr">
        <is>
          <t>현실 수용</t>
        </is>
      </c>
      <c r="D1101" s="8" t="inlineStr">
        <is>
          <t>It is what it is</t>
        </is>
      </c>
      <c r="E1101" s="12" t="inlineStr">
        <is>
          <t>어쩔 수 없는 일이지, 담담히 받아들여야지</t>
        </is>
      </c>
      <c r="F1101" s="12" t="inlineStr">
        <is>
          <t>We can't change the past; it is what it is, so let's move on.</t>
        </is>
      </c>
      <c r="G1101" s="12" t="inlineStr">
        <is>
          <t>지나간 과거를 바꿀 순 없어, 현실을 담담히 인정하고 앞으로 나아가자.</t>
        </is>
      </c>
      <c r="H1101" s="9">
        <f>HYPERLINK("https://www.youtube.com/watch?v=tFSgEVuc0fs", "영상 보기 ▶")</f>
        <v/>
      </c>
    </row>
    <row r="1102" ht="26" customHeight="1">
      <c r="A1102" s="2" t="n">
        <v>1101</v>
      </c>
      <c r="B1102" s="3" t="inlineStr">
        <is>
          <t>총정리 23탄</t>
        </is>
      </c>
      <c r="C1102" s="3" t="inlineStr">
        <is>
          <t>소통 확인</t>
        </is>
      </c>
      <c r="D1102" s="4" t="inlineStr">
        <is>
          <t>touch base</t>
        </is>
      </c>
      <c r="E1102" s="11" t="inlineStr">
        <is>
          <t>간단히 현황을 확인하다/소통하다</t>
        </is>
      </c>
      <c r="F1102" s="11" t="inlineStr">
        <is>
          <t>Let's touch base first thing tomorrow morning.</t>
        </is>
      </c>
      <c r="G1102" s="11" t="inlineStr">
        <is>
          <t>내일 아침 출근하자마자 간단히 현황 확인차 이야기 나눕시다.</t>
        </is>
      </c>
      <c r="H1102" s="5">
        <f>HYPERLINK("https://www.youtube.com/watch?v=0dtzgvFN2LI", "영상 보기 ▶")</f>
        <v/>
      </c>
    </row>
    <row r="1103" ht="26" customHeight="1">
      <c r="A1103" s="6" t="n">
        <v>1102</v>
      </c>
      <c r="B1103" s="7" t="inlineStr">
        <is>
          <t>총정리 23탄</t>
        </is>
      </c>
      <c r="C1103" s="7" t="inlineStr">
        <is>
          <t>간략 언급</t>
        </is>
      </c>
      <c r="D1103" s="8" t="inlineStr">
        <is>
          <t>touch on</t>
        </is>
      </c>
      <c r="E1103" s="12" t="inlineStr">
        <is>
          <t>(회의에서 주제를) 간단히 짚고 넘어가다/언급하다</t>
        </is>
      </c>
      <c r="F1103" s="12" t="inlineStr">
        <is>
          <t>I'd like to briefly touch on the upcoming budget review.</t>
        </is>
      </c>
      <c r="G1103" s="12" t="inlineStr">
        <is>
          <t>곧 있을 예산 심의 건에 대해 간단히 짚고 넘어가고자 합니다.</t>
        </is>
      </c>
      <c r="H1103" s="9">
        <f>HYPERLINK("https://www.youtube.com/watch?v=0dtzgvFN2LI", "영상 보기 ▶")</f>
        <v/>
      </c>
    </row>
    <row r="1104" ht="26" customHeight="1">
      <c r="A1104" s="2" t="n">
        <v>1103</v>
      </c>
      <c r="B1104" s="3" t="inlineStr">
        <is>
          <t>총정리 23탄</t>
        </is>
      </c>
      <c r="C1104" s="3" t="inlineStr">
        <is>
          <t>민감한 사안</t>
        </is>
      </c>
      <c r="D1104" s="4" t="inlineStr">
        <is>
          <t>touchy</t>
        </is>
      </c>
      <c r="E1104" s="11" t="inlineStr">
        <is>
          <t>민감한, 조심해서 다뤄야 하는, 예민한</t>
        </is>
      </c>
      <c r="F1104" s="11" t="inlineStr">
        <is>
          <t>Compensation is always a touchy issue among colleagues.</t>
        </is>
      </c>
      <c r="G1104" s="11" t="inlineStr">
        <is>
          <t>급여 문제는 동료들 사이에서 언제나 대단히 민감한 사안입니다.</t>
        </is>
      </c>
      <c r="H1104" s="5">
        <f>HYPERLINK("https://www.youtube.com/watch?v=0dtzgvFN2LI", "영상 보기 ▶")</f>
        <v/>
      </c>
    </row>
    <row r="1105" ht="26" customHeight="1">
      <c r="A1105" s="6" t="n">
        <v>1104</v>
      </c>
      <c r="B1105" s="7" t="inlineStr">
        <is>
          <t>총정리 23탄</t>
        </is>
      </c>
      <c r="C1105" s="7" t="inlineStr">
        <is>
          <t>소원해짐</t>
        </is>
      </c>
      <c r="D1105" s="8" t="inlineStr">
        <is>
          <t>lose touch</t>
        </is>
      </c>
      <c r="E1105" s="12" t="inlineStr">
        <is>
          <t>연락이 뜸해지다, 감각을 잃다</t>
        </is>
      </c>
      <c r="F1105" s="12" t="inlineStr">
        <is>
          <t>I lost touch with many university friends after moving abroad.</t>
        </is>
      </c>
      <c r="G1105" s="12" t="inlineStr">
        <is>
          <t>해외로 이주한 후 대학교 친구들과 연락이 뜸해졌어.</t>
        </is>
      </c>
      <c r="H1105" s="9">
        <f>HYPERLINK("https://www.youtube.com/watch?v=0dtzgvFN2LI", "영상 보기 ▶")</f>
        <v/>
      </c>
    </row>
    <row r="1106" ht="26" customHeight="1">
      <c r="A1106" s="2" t="n">
        <v>1105</v>
      </c>
      <c r="B1106" s="3" t="inlineStr">
        <is>
          <t>총정리 23탄</t>
        </is>
      </c>
      <c r="C1106" s="3" t="inlineStr">
        <is>
          <t>현실 감각 부재</t>
        </is>
      </c>
      <c r="D1106" s="4" t="inlineStr">
        <is>
          <t>out of touch</t>
        </is>
      </c>
      <c r="E1106" s="11" t="inlineStr">
        <is>
          <t>세상 물정/현실 감각을 모르는</t>
        </is>
      </c>
      <c r="F1106" s="11" t="inlineStr">
        <is>
          <t>Management seems out of touch with employee needs.</t>
        </is>
      </c>
      <c r="G1106" s="11" t="inlineStr">
        <is>
          <t>경영진은 직원들의 실제 고충과 요구를 전혀 모르는 것 같아.</t>
        </is>
      </c>
      <c r="H1106" s="5">
        <f>HYPERLINK("https://www.youtube.com/watch?v=0dtzgvFN2LI", "영상 보기 ▶")</f>
        <v/>
      </c>
    </row>
    <row r="1107" ht="26" customHeight="1">
      <c r="A1107" s="6" t="n">
        <v>1106</v>
      </c>
      <c r="B1107" s="7" t="inlineStr">
        <is>
          <t>총정리 23탄</t>
        </is>
      </c>
      <c r="C1107" s="7" t="inlineStr">
        <is>
          <t>연락 유지</t>
        </is>
      </c>
      <c r="D1107" s="8" t="inlineStr">
        <is>
          <t>stay in touch</t>
        </is>
      </c>
      <c r="E1107" s="12" t="inlineStr">
        <is>
          <t>계속 연락하고 지내다</t>
        </is>
      </c>
      <c r="F1107" s="12" t="inlineStr">
        <is>
          <t>It was great working with you; let's stay in touch!</t>
        </is>
      </c>
      <c r="G1107" s="12" t="inlineStr">
        <is>
          <t>함께 일해서 정말 좋았습니다, 앞으로도 계속 연락하고 지내요!</t>
        </is>
      </c>
      <c r="H1107" s="9">
        <f>HYPERLINK("https://www.youtube.com/watch?v=0dtzgvFN2LI", "영상 보기 ▶")</f>
        <v/>
      </c>
    </row>
    <row r="1108" ht="26" customHeight="1">
      <c r="A1108" s="2" t="n">
        <v>1107</v>
      </c>
      <c r="B1108" s="3" t="inlineStr">
        <is>
          <t>총정리 23탄</t>
        </is>
      </c>
      <c r="C1108" s="3" t="inlineStr">
        <is>
          <t>연락 지속</t>
        </is>
      </c>
      <c r="D1108" s="4" t="inlineStr">
        <is>
          <t>keep in touch</t>
        </is>
      </c>
      <c r="E1108" s="11" t="inlineStr">
        <is>
          <t>연락을 이어가다</t>
        </is>
      </c>
      <c r="F1108" s="11" t="inlineStr">
        <is>
          <t>Drop me an email whenever you're in town; keep in touch!</t>
        </is>
      </c>
      <c r="G1108" s="11" t="inlineStr">
        <is>
          <t>서울 오실 때 언제든 이메일 주세요, 계속 연락해요!</t>
        </is>
      </c>
      <c r="H1108" s="5">
        <f>HYPERLINK("https://www.youtube.com/watch?v=0dtzgvFN2LI", "영상 보기 ▶")</f>
        <v/>
      </c>
    </row>
    <row r="1109" ht="26" customHeight="1">
      <c r="A1109" s="6" t="n">
        <v>1108</v>
      </c>
      <c r="B1109" s="7" t="inlineStr">
        <is>
          <t>총정리 23탄</t>
        </is>
      </c>
      <c r="C1109" s="7" t="inlineStr">
        <is>
          <t>불안정한 상황</t>
        </is>
      </c>
      <c r="D1109" s="8" t="inlineStr">
        <is>
          <t>touch and go</t>
        </is>
      </c>
      <c r="E1109" s="12" t="inlineStr">
        <is>
          <t>아슬아슬하고 불확실한 상황인</t>
        </is>
      </c>
      <c r="F1109" s="12" t="inlineStr">
        <is>
          <t>The patient's recovery was touch and go for the first 24 hours.</t>
        </is>
      </c>
      <c r="G1109" s="12" t="inlineStr">
        <is>
          <t>환자의 초기 24시간 회복 경과는 대단히 아슬아슬하고 위태로웠습니다.</t>
        </is>
      </c>
      <c r="H1109" s="9">
        <f>HYPERLINK("https://www.youtube.com/watch?v=0dtzgvFN2LI", "영상 보기 ▶")</f>
        <v/>
      </c>
    </row>
    <row r="1110" ht="26" customHeight="1">
      <c r="A1110" s="2" t="n">
        <v>1109</v>
      </c>
      <c r="B1110" s="3" t="inlineStr">
        <is>
          <t>총정리 23탄</t>
        </is>
      </c>
      <c r="C1110" s="3" t="inlineStr">
        <is>
          <t>유독 약함</t>
        </is>
      </c>
      <c r="D1110" s="4" t="inlineStr">
        <is>
          <t>soft spot</t>
        </is>
      </c>
      <c r="E1110" s="11" t="inlineStr">
        <is>
          <t>~에게 유독 마음이 약하고 애정이 감</t>
        </is>
      </c>
      <c r="F1110" s="11" t="inlineStr">
        <is>
          <t>He has a soft spot for stray animals and often rescues them.</t>
        </is>
      </c>
      <c r="G1110" s="11" t="inlineStr">
        <is>
          <t>그는 유기동물들에게 유독 마음이 약해서 자주 구조하곤 해.</t>
        </is>
      </c>
      <c r="H1110" s="5">
        <f>HYPERLINK("https://www.youtube.com/watch?v=0dtzgvFN2LI", "영상 보기 ▶")</f>
        <v/>
      </c>
    </row>
    <row r="1111" ht="26" customHeight="1">
      <c r="A1111" s="6" t="n">
        <v>1110</v>
      </c>
      <c r="B1111" s="7" t="inlineStr">
        <is>
          <t>총정리 23탄</t>
        </is>
      </c>
      <c r="C1111" s="7" t="inlineStr">
        <is>
          <t>소통 역량</t>
        </is>
      </c>
      <c r="D1111" s="8" t="inlineStr">
        <is>
          <t>soft skills</t>
        </is>
      </c>
      <c r="E1111" s="12" t="inlineStr">
        <is>
          <t>소통/협업/공감 능력 (정량 스펙과 대비)</t>
        </is>
      </c>
      <c r="F1111" s="12" t="inlineStr">
        <is>
          <t>In leadership roles, soft skills are just as vital as technical expertise.</t>
        </is>
      </c>
      <c r="G1111" s="12" t="inlineStr">
        <is>
          <t>리더십 직무에서는 정량적 기술만큼이나 대인 소통 역량이 중요합니다.</t>
        </is>
      </c>
      <c r="H1111" s="9">
        <f>HYPERLINK("https://www.youtube.com/watch?v=0dtzgvFN2LI", "영상 보기 ▶")</f>
        <v/>
      </c>
    </row>
    <row r="1112" ht="26" customHeight="1">
      <c r="A1112" s="2" t="n">
        <v>1111</v>
      </c>
      <c r="B1112" s="3" t="inlineStr">
        <is>
          <t>총정리 23탄</t>
        </is>
      </c>
      <c r="C1112" s="3" t="inlineStr">
        <is>
          <t>어조 완화</t>
        </is>
      </c>
      <c r="D1112" s="4" t="inlineStr">
        <is>
          <t>soften</t>
        </is>
      </c>
      <c r="E1112" s="11" t="inlineStr">
        <is>
          <t>어조를 부드럽게 완화하다/누그러뜨리다</t>
        </is>
      </c>
      <c r="F1112" s="11" t="inlineStr">
        <is>
          <t>Try to soften your feedback so the team feels encouraged.</t>
        </is>
      </c>
      <c r="G1112" s="11" t="inlineStr">
        <is>
          <t>팀원들이 용기를 얻을 수 있도록 피드백 어조를 좀 부드럽게 완화해 보세요.</t>
        </is>
      </c>
      <c r="H1112" s="5">
        <f>HYPERLINK("https://www.youtube.com/watch?v=0dtzgvFN2LI", "영상 보기 ▶")</f>
        <v/>
      </c>
    </row>
    <row r="1113" ht="26" customHeight="1">
      <c r="A1113" s="6" t="n">
        <v>1112</v>
      </c>
      <c r="B1113" s="7" t="inlineStr">
        <is>
          <t>총정리 23탄</t>
        </is>
      </c>
      <c r="C1113" s="7" t="inlineStr">
        <is>
          <t>강경책</t>
        </is>
      </c>
      <c r="D1113" s="8" t="inlineStr">
        <is>
          <t>hard line</t>
        </is>
      </c>
      <c r="E1113" s="12" t="inlineStr">
        <is>
          <t>강경한 태도/원칙 (take a hard line)</t>
        </is>
      </c>
      <c r="F1113" s="12" t="inlineStr">
        <is>
          <t>The director took a hard line against chronic tardiness.</t>
        </is>
      </c>
      <c r="G1113" s="12" t="inlineStr">
        <is>
          <t>원장님은 만성적인 지각에 대해 단호하고 강경한 입장을 취하셨습니다.</t>
        </is>
      </c>
      <c r="H1113" s="9">
        <f>HYPERLINK("https://www.youtube.com/watch?v=0dtzgvFN2LI", "영상 보기 ▶")</f>
        <v/>
      </c>
    </row>
    <row r="1114" ht="26" customHeight="1">
      <c r="A1114" s="2" t="n">
        <v>1113</v>
      </c>
      <c r="B1114" s="3" t="inlineStr">
        <is>
          <t>총정리 23탄</t>
        </is>
      </c>
      <c r="C1114" s="3" t="inlineStr">
        <is>
          <t>단호한 거절</t>
        </is>
      </c>
      <c r="D1114" s="4" t="inlineStr">
        <is>
          <t>hard pass</t>
        </is>
      </c>
      <c r="E1114" s="11" t="inlineStr">
        <is>
          <t>단호한 거절, 절대 사양함</t>
        </is>
      </c>
      <c r="F1114" s="11" t="inlineStr">
        <is>
          <t>Attending a party with my ex? That's a hard pass.</t>
        </is>
      </c>
      <c r="G1114" s="11" t="inlineStr">
        <is>
          <t>전 연인이 오는 파티에 가라고? 그건 절대 사양이야.</t>
        </is>
      </c>
      <c r="H1114" s="5">
        <f>HYPERLINK("https://www.youtube.com/watch?v=0dtzgvFN2LI", "영상 보기 ▶")</f>
        <v/>
      </c>
    </row>
    <row r="1115" ht="26" customHeight="1">
      <c r="A1115" s="6" t="n">
        <v>1114</v>
      </c>
      <c r="B1115" s="7" t="inlineStr">
        <is>
          <t>총정리 23탄</t>
        </is>
      </c>
      <c r="C1115" s="7" t="inlineStr">
        <is>
          <t>앙금 없음</t>
        </is>
      </c>
      <c r="D1115" s="8" t="inlineStr">
        <is>
          <t>no hard feelings</t>
        </is>
      </c>
      <c r="E1115" s="12" t="inlineStr">
        <is>
          <t>서운한 감정이나 앙금은 전혀 없어</t>
        </is>
      </c>
      <c r="F1115" s="12" t="inlineStr">
        <is>
          <t>We chose another supplier, but no hard feelings, I hope.</t>
        </is>
      </c>
      <c r="G1115" s="12" t="inlineStr">
        <is>
          <t>다른 업체를 선정하게 되었지만, 서운한 감정은 없으시길 바랍니다.</t>
        </is>
      </c>
      <c r="H1115" s="9">
        <f>HYPERLINK("https://www.youtube.com/watch?v=0dtzgvFN2LI", "영상 보기 ▶")</f>
        <v/>
      </c>
    </row>
    <row r="1116" ht="26" customHeight="1">
      <c r="A1116" s="2" t="n">
        <v>1115</v>
      </c>
      <c r="B1116" s="3" t="inlineStr">
        <is>
          <t>총정리 23탄</t>
        </is>
      </c>
      <c r="C1116" s="3" t="inlineStr">
        <is>
          <t>어려운 결정</t>
        </is>
      </c>
      <c r="D1116" s="4" t="inlineStr">
        <is>
          <t>hard call</t>
        </is>
      </c>
      <c r="E1116" s="11" t="inlineStr">
        <is>
          <t>내리기 힘든 어려운 결정</t>
        </is>
      </c>
      <c r="F1116" s="11" t="inlineStr">
        <is>
          <t>Laying off staff was a very hard call for the founders.</t>
        </is>
      </c>
      <c r="G1116" s="11" t="inlineStr">
        <is>
          <t>직원을 감원하는 것은 창업자들에게 대단히 고통스럽고 어려운 결정이었어.</t>
        </is>
      </c>
      <c r="H1116" s="5">
        <f>HYPERLINK("https://www.youtube.com/watch?v=0dtzgvFN2LI", "영상 보기 ▶")</f>
        <v/>
      </c>
    </row>
    <row r="1117" ht="26" customHeight="1">
      <c r="A1117" s="6" t="n">
        <v>1116</v>
      </c>
      <c r="B1117" s="7" t="inlineStr">
        <is>
          <t>총정리 23탄</t>
        </is>
      </c>
      <c r="C1117" s="7" t="inlineStr">
        <is>
          <t>절대 마감</t>
        </is>
      </c>
      <c r="D1117" s="8" t="inlineStr">
        <is>
          <t>hard deadline</t>
        </is>
      </c>
      <c r="E1117" s="12" t="inlineStr">
        <is>
          <t>타협할 수 없는 절대적 마감 기한</t>
        </is>
      </c>
      <c r="F1117" s="12" t="inlineStr">
        <is>
          <t>Friday at noon is a hard deadline; no extensions.</t>
        </is>
      </c>
      <c r="G1117" s="12" t="inlineStr">
        <is>
          <t>금요일 정오는 절대적 마감 기한입니다, 연장은 일절 없습니다.</t>
        </is>
      </c>
      <c r="H1117" s="9">
        <f>HYPERLINK("https://www.youtube.com/watch?v=0dtzgvFN2LI", "영상 보기 ▶")</f>
        <v/>
      </c>
    </row>
    <row r="1118" ht="26" customHeight="1">
      <c r="A1118" s="2" t="n">
        <v>1117</v>
      </c>
      <c r="B1118" s="3" t="inlineStr">
        <is>
          <t>총정리 23탄</t>
        </is>
      </c>
      <c r="C1118" s="3" t="inlineStr">
        <is>
          <t>진퇴양난</t>
        </is>
      </c>
      <c r="D1118" s="4" t="inlineStr">
        <is>
          <t>between a rock and a hard place</t>
        </is>
      </c>
      <c r="E1118" s="11" t="inlineStr">
        <is>
          <t>진퇴양난, 이러지도 저러지도 못하는 곤경</t>
        </is>
      </c>
      <c r="F1118" s="11" t="inlineStr">
        <is>
          <t>I'm caught between a rock and a hard place with conflicting priorities.</t>
        </is>
      </c>
      <c r="G1118" s="11" t="inlineStr">
        <is>
          <t>상충하는 우선순위들 사이에서 완전히 진퇴양난에 빠졌어.</t>
        </is>
      </c>
      <c r="H1118" s="5">
        <f>HYPERLINK("https://www.youtube.com/watch?v=0dtzgvFN2LI", "영상 보기 ▶")</f>
        <v/>
      </c>
    </row>
    <row r="1119" ht="26" customHeight="1">
      <c r="A1119" s="6" t="n">
        <v>1118</v>
      </c>
      <c r="B1119" s="7" t="inlineStr">
        <is>
          <t>총정리 23탄</t>
        </is>
      </c>
      <c r="C1119" s="7" t="inlineStr">
        <is>
          <t>눈치 보기</t>
        </is>
      </c>
      <c r="D1119" s="8" t="inlineStr">
        <is>
          <t>walk on eggshells</t>
        </is>
      </c>
      <c r="E1119" s="12" t="inlineStr">
        <is>
          <t>살얼음판을 걷듯 극도로 조심스럽게 눈치 보다</t>
        </is>
      </c>
      <c r="F1119" s="12" t="inlineStr">
        <is>
          <t>Everyone walks on eggshells when the CEO is frustrated.</t>
        </is>
      </c>
      <c r="G1119" s="12" t="inlineStr">
        <is>
          <t>대표님의 기분이 언짢으실 땐 사내 모든 사람이 살얼음판 걷듯 눈치를 봐.</t>
        </is>
      </c>
      <c r="H1119" s="9">
        <f>HYPERLINK("https://www.youtube.com/watch?v=0dtzgvFN2LI", "영상 보기 ▶")</f>
        <v/>
      </c>
    </row>
    <row r="1120" ht="26" customHeight="1">
      <c r="A1120" s="2" t="n">
        <v>1119</v>
      </c>
      <c r="B1120" s="3" t="inlineStr">
        <is>
          <t>총정리 23탄</t>
        </is>
      </c>
      <c r="C1120" s="3" t="inlineStr">
        <is>
          <t>원칙 무시</t>
        </is>
      </c>
      <c r="D1120" s="4" t="inlineStr">
        <is>
          <t>cut corners</t>
        </is>
      </c>
      <c r="E1120" s="11" t="inlineStr">
        <is>
          <t>대충 넘어가다, 원칙을 건너뛰다</t>
        </is>
      </c>
      <c r="F1120" s="11" t="inlineStr">
        <is>
          <t>Quality suffers whenever you cut corners on testing.</t>
        </is>
      </c>
      <c r="G1120" s="11" t="inlineStr">
        <is>
          <t>테스트 단계에서 대충 넘어가면 반드시 품질에 탈이 납니다.</t>
        </is>
      </c>
      <c r="H1120" s="5">
        <f>HYPERLINK("https://www.youtube.com/watch?v=0dtzgvFN2LI", "영상 보기 ▶")</f>
        <v/>
      </c>
    </row>
    <row r="1121" ht="26" customHeight="1">
      <c r="A1121" s="6" t="n">
        <v>1120</v>
      </c>
      <c r="B1121" s="7" t="inlineStr">
        <is>
          <t>총정리 23탄</t>
        </is>
      </c>
      <c r="C1121" s="7" t="inlineStr">
        <is>
          <t>사정 봐주기</t>
        </is>
      </c>
      <c r="D1121" s="8" t="inlineStr">
        <is>
          <t>cut slack</t>
        </is>
      </c>
      <c r="E1121" s="12" t="inlineStr">
        <is>
          <t>너무 몰아세우지 않고 양해해 주다</t>
        </is>
      </c>
      <c r="F1121" s="12" t="inlineStr">
        <is>
          <t>He's dealing with a personal loss; cut him some slack.</t>
        </is>
      </c>
      <c r="G1121" s="12" t="inlineStr">
        <is>
          <t>그 사람 집안에 상을 당했어, 너무 몰아세우지 말고 좀 배려해 줘.</t>
        </is>
      </c>
      <c r="H1121" s="9">
        <f>HYPERLINK("https://www.youtube.com/watch?v=0dtzgvFN2LI", "영상 보기 ▶")</f>
        <v/>
      </c>
    </row>
    <row r="1122" ht="26" customHeight="1">
      <c r="A1122" s="2" t="n">
        <v>1121</v>
      </c>
      <c r="B1122" s="3" t="inlineStr">
        <is>
          <t>총정리 23탄</t>
        </is>
      </c>
      <c r="C1122" s="3" t="inlineStr">
        <is>
          <t>관계 단절</t>
        </is>
      </c>
      <c r="D1122" s="4" t="inlineStr">
        <is>
          <t>cut ties</t>
        </is>
      </c>
      <c r="E1122" s="11" t="inlineStr">
        <is>
          <t>관계를 완전히 끊다, 손절하다</t>
        </is>
      </c>
      <c r="F1122" s="11" t="inlineStr">
        <is>
          <t>We decided to cut ties with unreliable vendors.</t>
        </is>
      </c>
      <c r="G1122" s="11" t="inlineStr">
        <is>
          <t>우리는 신뢰할 수 없는 거래처들과의 관계를 완전히 끊기로 결정했습니다.</t>
        </is>
      </c>
      <c r="H1122" s="5">
        <f>HYPERLINK("https://www.youtube.com/watch?v=0dtzgvFN2LI", "영상 보기 ▶")</f>
        <v/>
      </c>
    </row>
    <row r="1123" ht="26" customHeight="1">
      <c r="A1123" s="6" t="n">
        <v>1122</v>
      </c>
      <c r="B1123" s="7" t="inlineStr">
        <is>
          <t>총정리 23탄</t>
        </is>
      </c>
      <c r="C1123" s="7" t="inlineStr">
        <is>
          <t>본론 직행</t>
        </is>
      </c>
      <c r="D1123" s="8" t="inlineStr">
        <is>
          <t>cut to the chase</t>
        </is>
      </c>
      <c r="E1123" s="12" t="inlineStr">
        <is>
          <t>서론 건너뛰고 곧바로 핵심 본론으로 가다</t>
        </is>
      </c>
      <c r="F1123" s="12" t="inlineStr">
        <is>
          <t>We don't have much time, so cut to the chase.</t>
        </is>
      </c>
      <c r="G1123" s="12" t="inlineStr">
        <is>
          <t>시간이 얼마 없으니 군더더기 빼고 곧바로 본론만 말하세요.</t>
        </is>
      </c>
      <c r="H1123" s="9">
        <f>HYPERLINK("https://www.youtube.com/watch?v=0dtzgvFN2LI", "영상 보기 ▶")</f>
        <v/>
      </c>
    </row>
    <row r="1124" ht="26" customHeight="1">
      <c r="A1124" s="2" t="n">
        <v>1123</v>
      </c>
      <c r="B1124" s="3" t="inlineStr">
        <is>
          <t>총정리 23탄</t>
        </is>
      </c>
      <c r="C1124" s="3" t="inlineStr">
        <is>
          <t>날카로움/정각</t>
        </is>
      </c>
      <c r="D1124" s="4" t="inlineStr">
        <is>
          <t>sharp</t>
        </is>
      </c>
      <c r="E1124" s="11" t="inlineStr">
        <is>
          <t>① 날카로운, 예리한 ② 정각에 (at 9 AM sharp)</t>
        </is>
      </c>
      <c r="F1124" s="11" t="inlineStr">
        <is>
          <t>The morning meeting starts at 9 AM sharp.</t>
        </is>
      </c>
      <c r="G1124" s="11" t="inlineStr">
        <is>
          <t>오전 회의는 정확히 오전 9시 정각에 시작합니다.</t>
        </is>
      </c>
      <c r="H1124" s="5">
        <f>HYPERLINK("https://www.youtube.com/watch?v=0dtzgvFN2LI", "영상 보기 ▶")</f>
        <v/>
      </c>
    </row>
    <row r="1125" ht="26" customHeight="1">
      <c r="A1125" s="6" t="n">
        <v>1124</v>
      </c>
      <c r="B1125" s="7" t="inlineStr">
        <is>
          <t>총정리 23탄</t>
        </is>
      </c>
      <c r="C1125" s="7" t="inlineStr">
        <is>
          <t>직설적</t>
        </is>
      </c>
      <c r="D1125" s="8" t="inlineStr">
        <is>
          <t>blunt</t>
        </is>
      </c>
      <c r="E1125" s="12" t="inlineStr">
        <is>
          <t>직설적인, 돌려 말하지 않는</t>
        </is>
      </c>
      <c r="F1125" s="12" t="inlineStr">
        <is>
          <t>To be completely blunt, this draft is unusable.</t>
        </is>
      </c>
      <c r="G1125" s="12" t="inlineStr">
        <is>
          <t>아주 직설적으로 솔직히 말씀드리자면, 이 초안은 못 씁니다.</t>
        </is>
      </c>
      <c r="H1125" s="9">
        <f>HYPERLINK("https://www.youtube.com/watch?v=0dtzgvFN2LI", "영상 보기 ▶")</f>
        <v/>
      </c>
    </row>
    <row r="1126" ht="26" customHeight="1">
      <c r="A1126" s="2" t="n">
        <v>1125</v>
      </c>
      <c r="B1126" s="3" t="inlineStr">
        <is>
          <t>총정리 23탄</t>
        </is>
      </c>
      <c r="C1126" s="3" t="inlineStr">
        <is>
          <t>단도직입</t>
        </is>
      </c>
      <c r="D1126" s="4" t="inlineStr">
        <is>
          <t>point-blank</t>
        </is>
      </c>
      <c r="E1126" s="11" t="inlineStr">
        <is>
          <t>정면으로, 단도직입적으로 (refuse point-blank)</t>
        </is>
      </c>
      <c r="F1126" s="11" t="inlineStr">
        <is>
          <t>She asked him point-blank if he was planning to resign.</t>
        </is>
      </c>
      <c r="G1126" s="11" t="inlineStr">
        <is>
          <t>그녀는 그에게 사직할 계획인지 정면으로 단도직입적으로 물었어.</t>
        </is>
      </c>
      <c r="H1126" s="5">
        <f>HYPERLINK("https://www.youtube.com/watch?v=0dtzgvFN2LI", "영상 보기 ▶")</f>
        <v/>
      </c>
    </row>
    <row r="1127" ht="26" customHeight="1">
      <c r="A1127" s="6" t="n">
        <v>1126</v>
      </c>
      <c r="B1127" s="7" t="inlineStr">
        <is>
          <t>총정리 23탄</t>
        </is>
      </c>
      <c r="C1127" s="7" t="inlineStr">
        <is>
          <t>미화/사탕발림</t>
        </is>
      </c>
      <c r="D1127" s="8" t="inlineStr">
        <is>
          <t>sugarcoat</t>
        </is>
      </c>
      <c r="E1127" s="12" t="inlineStr">
        <is>
          <t>듣기 좋게 사탕발림하다, 보기 좋게 꾸미다</t>
        </is>
      </c>
      <c r="F1127" s="12" t="inlineStr">
        <is>
          <t>Don't sugarcoat the bad news; tell us the truth.</t>
        </is>
      </c>
      <c r="G1127" s="12" t="inlineStr">
        <is>
          <t>안 좋은 소식을 듣기 좋게 사탕발림하지 말고 진실을 있는 그대로 말해줘.</t>
        </is>
      </c>
      <c r="H1127" s="9">
        <f>HYPERLINK("https://www.youtube.com/watch?v=0dtzgvFN2LI", "영상 보기 ▶")</f>
        <v/>
      </c>
    </row>
    <row r="1128" ht="26" customHeight="1">
      <c r="A1128" s="2" t="n">
        <v>1127</v>
      </c>
      <c r="B1128" s="3" t="inlineStr">
        <is>
          <t>총정리 23탄</t>
        </is>
      </c>
      <c r="C1128" s="3" t="inlineStr">
        <is>
          <t>있는 그대로</t>
        </is>
      </c>
      <c r="D1128" s="4" t="inlineStr">
        <is>
          <t>tell it like it is</t>
        </is>
      </c>
      <c r="E1128" s="11" t="inlineStr">
        <is>
          <t>있는 그대로 솔직하게 까놓고 말하다</t>
        </is>
      </c>
      <c r="F1128" s="11" t="inlineStr">
        <is>
          <t>I respect leaders who are willing to tell it like it is.</t>
        </is>
      </c>
      <c r="G1128" s="11" t="inlineStr">
        <is>
          <t>상황을 미화하지 않고 있는 그대로 솔직하게 털어놓는 리더를 존경합니다.</t>
        </is>
      </c>
      <c r="H1128" s="5">
        <f>HYPERLINK("https://www.youtube.com/watch?v=0dtzgvFN2LI", "영상 보기 ▶")</f>
        <v/>
      </c>
    </row>
    <row r="1129" ht="26" customHeight="1">
      <c r="A1129" s="6" t="n">
        <v>1128</v>
      </c>
      <c r="B1129" s="7" t="inlineStr">
        <is>
          <t>총정리 23탄</t>
        </is>
      </c>
      <c r="C1129" s="7" t="inlineStr">
        <is>
          <t>명쾌함</t>
        </is>
      </c>
      <c r="D1129" s="8" t="inlineStr">
        <is>
          <t>straightforward</t>
        </is>
      </c>
      <c r="E1129" s="12" t="inlineStr">
        <is>
          <t>간단명료한, 복잡하지 않고 솔직한</t>
        </is>
      </c>
      <c r="F1129" s="12" t="inlineStr">
        <is>
          <t>The installation process is very simple and straightforward.</t>
        </is>
      </c>
      <c r="G1129" s="12" t="inlineStr">
        <is>
          <t>설치 과정은 대단히 간단하고 군더더기 없이 명쾌합니다.</t>
        </is>
      </c>
      <c r="H1129" s="9">
        <f>HYPERLINK("https://www.youtube.com/watch?v=0dtzgvFN2LI", "영상 보기 ▶")</f>
        <v/>
      </c>
    </row>
    <row r="1130" ht="26" customHeight="1">
      <c r="A1130" s="2" t="n">
        <v>1129</v>
      </c>
      <c r="B1130" s="3" t="inlineStr">
        <is>
          <t>총정리 23탄</t>
        </is>
      </c>
      <c r="C1130" s="3" t="inlineStr">
        <is>
          <t>진솔함</t>
        </is>
      </c>
      <c r="D1130" s="4" t="inlineStr">
        <is>
          <t>candid</t>
        </is>
      </c>
      <c r="E1130" s="11" t="inlineStr">
        <is>
          <t>진솔한, 솔직 담백한 (a candid discussion)</t>
        </is>
      </c>
      <c r="F1130" s="11" t="inlineStr">
        <is>
          <t>Thank you for your candid feedback during the retrospective.</t>
        </is>
      </c>
      <c r="G1130" s="11" t="inlineStr">
        <is>
          <t>회고 미팅에서 솔직 담백한 피드백을 공유해 주셔서 감사합니다.</t>
        </is>
      </c>
      <c r="H1130" s="5">
        <f>HYPERLINK("https://www.youtube.com/watch?v=0dtzgvFN2LI", "영상 보기 ▶")</f>
        <v/>
      </c>
    </row>
    <row r="1131" ht="26" customHeight="1">
      <c r="A1131" s="6" t="n">
        <v>1130</v>
      </c>
      <c r="B1131" s="7" t="inlineStr">
        <is>
          <t>총정리 23탄</t>
        </is>
      </c>
      <c r="C1131" s="7" t="inlineStr">
        <is>
          <t>격의 없음</t>
        </is>
      </c>
      <c r="D1131" s="8" t="inlineStr">
        <is>
          <t>frank</t>
        </is>
      </c>
      <c r="E1131" s="12" t="inlineStr">
        <is>
          <t>격의 없는, 솔직한 (to be completely frank)</t>
        </is>
      </c>
      <c r="F1131" s="12" t="inlineStr">
        <is>
          <t>To be frank with you, our budget won't support another hire.</t>
        </is>
      </c>
      <c r="G1131" s="12" t="inlineStr">
        <is>
          <t>솔직히 터놓고 말씀드리자면 우리 예산으론 추가 채용이 어렵습니다.</t>
        </is>
      </c>
      <c r="H1131" s="9">
        <f>HYPERLINK("https://www.youtube.com/watch?v=0dtzgvFN2LI", "영상 보기 ▶")</f>
        <v/>
      </c>
    </row>
    <row r="1132" ht="26" customHeight="1">
      <c r="A1132" s="2" t="n">
        <v>1131</v>
      </c>
      <c r="B1132" s="3" t="inlineStr">
        <is>
          <t>총정리 23탄</t>
        </is>
      </c>
      <c r="C1132" s="3" t="inlineStr">
        <is>
          <t>소신 발언</t>
        </is>
      </c>
      <c r="D1132" s="4" t="inlineStr">
        <is>
          <t>outspoken</t>
        </is>
      </c>
      <c r="E1132" s="11" t="inlineStr">
        <is>
          <t>거침없이 할 말은 다 하는, 소신 있는</t>
        </is>
      </c>
      <c r="F1132" s="11" t="inlineStr">
        <is>
          <t>She is an outspoken advocate for remote work flexibility.</t>
        </is>
      </c>
      <c r="G1132" s="11" t="inlineStr">
        <is>
          <t>그녀는 유연한 재택근무의 필요성을 거침없이 주장하는 소신파입니다.</t>
        </is>
      </c>
      <c r="H1132" s="5">
        <f>HYPERLINK("https://www.youtube.com/watch?v=0dtzgvFN2LI", "영상 보기 ▶")</f>
        <v/>
      </c>
    </row>
    <row r="1133" ht="26" customHeight="1">
      <c r="A1133" s="6" t="n">
        <v>1132</v>
      </c>
      <c r="B1133" s="7" t="inlineStr">
        <is>
          <t>총정리 23탄</t>
        </is>
      </c>
      <c r="C1133" s="7" t="inlineStr">
        <is>
          <t>생각 번복</t>
        </is>
      </c>
      <c r="D1133" s="8" t="inlineStr">
        <is>
          <t>on second thought</t>
        </is>
      </c>
      <c r="E1133" s="12" t="inlineStr">
        <is>
          <t>다시 생각해 보니까</t>
        </is>
      </c>
      <c r="F1133" s="12" t="inlineStr">
        <is>
          <t>On second thought, let's postpone the announcement.</t>
        </is>
      </c>
      <c r="G1133" s="12" t="inlineStr">
        <is>
          <t>다시 생각해 보니, 공식 발표를 나중으로 연기하는 게 낫겠어요.</t>
        </is>
      </c>
      <c r="H1133" s="9">
        <f>HYPERLINK("https://www.youtube.com/watch?v=0dtzgvFN2LI", "영상 보기 ▶")</f>
        <v/>
      </c>
    </row>
    <row r="1134" ht="26" customHeight="1">
      <c r="A1134" s="2" t="n">
        <v>1133</v>
      </c>
      <c r="B1134" s="3" t="inlineStr">
        <is>
          <t>총정리 23탄</t>
        </is>
      </c>
      <c r="C1134" s="3" t="inlineStr">
        <is>
          <t>제2의 천성</t>
        </is>
      </c>
      <c r="D1134" s="4" t="inlineStr">
        <is>
          <t>second nature</t>
        </is>
      </c>
      <c r="E1134" s="11" t="inlineStr">
        <is>
          <t>몸에 배어 자연스러운 것, 제2의 천성</t>
        </is>
      </c>
      <c r="F1134" s="11" t="inlineStr">
        <is>
          <t>Keyboard shortcuts become second nature with daily practice.</t>
        </is>
      </c>
      <c r="G1134" s="11" t="inlineStr">
        <is>
          <t>단축키는 매일 쓰다 보면 자연스레 몸에 배어 제2의 천성이 됩니다.</t>
        </is>
      </c>
      <c r="H1134" s="5">
        <f>HYPERLINK("https://www.youtube.com/watch?v=0dtzgvFN2LI", "영상 보기 ▶")</f>
        <v/>
      </c>
    </row>
    <row r="1135" ht="26" customHeight="1">
      <c r="A1135" s="6" t="n">
        <v>1134</v>
      </c>
      <c r="B1135" s="7" t="inlineStr">
        <is>
          <t>총정리 23탄</t>
        </is>
      </c>
      <c r="C1135" s="7" t="inlineStr">
        <is>
          <t>독보적</t>
        </is>
      </c>
      <c r="D1135" s="8" t="inlineStr">
        <is>
          <t>second to none</t>
        </is>
      </c>
      <c r="E1135" s="12" t="inlineStr">
        <is>
          <t>누구에게도 뒤지지 않는, 단연 최고인</t>
        </is>
      </c>
      <c r="F1135" s="12" t="inlineStr">
        <is>
          <t>Their technical customer support is second to none.</t>
        </is>
      </c>
      <c r="G1135" s="12" t="inlineStr">
        <is>
          <t>그들의 고객 기술 지원 품질은 단연 독보적인 최고 수준입니다.</t>
        </is>
      </c>
      <c r="H1135" s="9">
        <f>HYPERLINK("https://www.youtube.com/watch?v=0dtzgvFN2LI", "영상 보기 ▶")</f>
        <v/>
      </c>
    </row>
    <row r="1136" ht="26" customHeight="1">
      <c r="A1136" s="2" t="n">
        <v>1135</v>
      </c>
      <c r="B1136" s="3" t="inlineStr">
        <is>
          <t>총정리 23탄</t>
        </is>
      </c>
      <c r="C1136" s="3" t="inlineStr">
        <is>
          <t>사후 번복</t>
        </is>
      </c>
      <c r="D1136" s="4" t="inlineStr">
        <is>
          <t>second-guess</t>
        </is>
      </c>
      <c r="E1136" s="11" t="inlineStr">
        <is>
          <t>사후에 뒤늦게 의심하다, 왈가왈부하다</t>
        </is>
      </c>
      <c r="F1136" s="11" t="inlineStr">
        <is>
          <t>Don't second-guess your decision; you did the right thing.</t>
        </is>
      </c>
      <c r="G1136" s="11" t="inlineStr">
        <is>
          <t>이미 내린 결정을 뒤늦게 번복하며 자책하지 마, 넌 옳은 판단을 했어.</t>
        </is>
      </c>
      <c r="H1136" s="5">
        <f>HYPERLINK("https://www.youtube.com/watch?v=0dtzgvFN2LI", "영상 보기 ▶")</f>
        <v/>
      </c>
    </row>
    <row r="1137" ht="26" customHeight="1">
      <c r="A1137" s="6" t="n">
        <v>1136</v>
      </c>
      <c r="B1137" s="7" t="inlineStr">
        <is>
          <t>총정리 23탄</t>
        </is>
      </c>
      <c r="C1137" s="7" t="inlineStr">
        <is>
          <t>재고/신중</t>
        </is>
      </c>
      <c r="D1137" s="8" t="inlineStr">
        <is>
          <t>think twice</t>
        </is>
      </c>
      <c r="E1137" s="12" t="inlineStr">
        <is>
          <t>신중하게 두 번 생각하다, 재고하다</t>
        </is>
      </c>
      <c r="F1137" s="12" t="inlineStr">
        <is>
          <t>Think twice before clicking suspicious email links.</t>
        </is>
      </c>
      <c r="G1137" s="12" t="inlineStr">
        <is>
          <t>의심스러운 이메일 링크를 클릭하기 전에 반드시 한 번 더 신중히 생각하세요.</t>
        </is>
      </c>
      <c r="H1137" s="9">
        <f>HYPERLINK("https://www.youtube.com/watch?v=0dtzgvFN2LI", "영상 보기 ▶")</f>
        <v/>
      </c>
    </row>
    <row r="1138" ht="26" customHeight="1">
      <c r="A1138" s="2" t="n">
        <v>1137</v>
      </c>
      <c r="B1138" s="3" t="inlineStr">
        <is>
          <t>총정리 23탄</t>
        </is>
      </c>
      <c r="C1138" s="3" t="inlineStr">
        <is>
          <t>순발력 대처</t>
        </is>
      </c>
      <c r="D1138" s="4" t="inlineStr">
        <is>
          <t>think on one's feet</t>
        </is>
      </c>
      <c r="E1138" s="11" t="inlineStr">
        <is>
          <t>순발력 있게 즉석에서 빠르게 판단하다</t>
        </is>
      </c>
      <c r="F1138" s="11" t="inlineStr">
        <is>
          <t>Live Q&amp;A sessions require you to think on your feet.</t>
        </is>
      </c>
      <c r="G1138" s="11" t="inlineStr">
        <is>
          <t>실시간 라이브 질의응답은 순발력 있게 즉석에서 판단하는 능력을 요구합니다.</t>
        </is>
      </c>
      <c r="H1138" s="5">
        <f>HYPERLINK("https://www.youtube.com/watch?v=0dtzgvFN2LI", "영상 보기 ▶")</f>
        <v/>
      </c>
    </row>
    <row r="1139" ht="26" customHeight="1">
      <c r="A1139" s="6" t="n">
        <v>1138</v>
      </c>
      <c r="B1139" s="7" t="inlineStr">
        <is>
          <t>총정리 23탄</t>
        </is>
      </c>
      <c r="C1139" s="7" t="inlineStr">
        <is>
          <t>생각할 거리</t>
        </is>
      </c>
      <c r="D1139" s="8" t="inlineStr">
        <is>
          <t>food for thought</t>
        </is>
      </c>
      <c r="E1139" s="12" t="inlineStr">
        <is>
          <t>생각해 볼 만한 거리, 시사점</t>
        </is>
      </c>
      <c r="F1139" s="12" t="inlineStr">
        <is>
          <t>His presentation provided plenty of food for thought.</t>
        </is>
      </c>
      <c r="G1139" s="12" t="inlineStr">
        <is>
          <t>그의 발표는 깊이 고민해 볼 만한 많은 생각거리를 안겨주었습니다.</t>
        </is>
      </c>
      <c r="H1139" s="9">
        <f>HYPERLINK("https://www.youtube.com/watch?v=0dtzgvFN2LI", "영상 보기 ▶")</f>
        <v/>
      </c>
    </row>
    <row r="1140" ht="26" customHeight="1">
      <c r="A1140" s="2" t="n">
        <v>1139</v>
      </c>
      <c r="B1140" s="3" t="inlineStr">
        <is>
          <t>총정리 23탄</t>
        </is>
      </c>
      <c r="C1140" s="3" t="inlineStr">
        <is>
          <t>생각의 흐름</t>
        </is>
      </c>
      <c r="D1140" s="4" t="inlineStr">
        <is>
          <t>train of thought</t>
        </is>
      </c>
      <c r="E1140" s="11" t="inlineStr">
        <is>
          <t>생각의 흐름, 맥락 (lose my train of thought)</t>
        </is>
      </c>
      <c r="F1140" s="11" t="inlineStr">
        <is>
          <t>Sorry, someone interrupted and I lost my train of thought.</t>
        </is>
      </c>
      <c r="G1140" s="11" t="inlineStr">
        <is>
          <t>죄송합니다, 중간에 질문이 들어와서 생각의 흐름을 놓쳤네요.</t>
        </is>
      </c>
      <c r="H1140" s="5">
        <f>HYPERLINK("https://www.youtube.com/watch?v=0dtzgvFN2LI", "영상 보기 ▶")</f>
        <v/>
      </c>
    </row>
    <row r="1141" ht="26" customHeight="1">
      <c r="A1141" s="6" t="n">
        <v>1140</v>
      </c>
      <c r="B1141" s="7" t="inlineStr">
        <is>
          <t>총정리 23탄</t>
        </is>
      </c>
      <c r="C1141" s="7" t="inlineStr">
        <is>
          <t>깊은 생각</t>
        </is>
      </c>
      <c r="D1141" s="8" t="inlineStr">
        <is>
          <t>lost in thought</t>
        </is>
      </c>
      <c r="E1141" s="12" t="inlineStr">
        <is>
          <t>깊은 생각에 잠긴, 골몰한</t>
        </is>
      </c>
      <c r="F1141" s="12" t="inlineStr">
        <is>
          <t>He was staring out the window, completely lost in thought.</t>
        </is>
      </c>
      <c r="G1141" s="12" t="inlineStr">
        <is>
          <t>그는 창밖을 멍하니 바라보며 깊은 생각에 완전히 잠겨 있었어.</t>
        </is>
      </c>
      <c r="H1141" s="9">
        <f>HYPERLINK("https://www.youtube.com/watch?v=0dtzgvFN2LI", "영상 보기 ▶")</f>
        <v/>
      </c>
    </row>
    <row r="1142" ht="26" customHeight="1">
      <c r="A1142" s="2" t="n">
        <v>1141</v>
      </c>
      <c r="B1142" s="3" t="inlineStr">
        <is>
          <t>총정리 23탄</t>
        </is>
      </c>
      <c r="C1142" s="3" t="inlineStr">
        <is>
          <t>마무리</t>
        </is>
      </c>
      <c r="D1142" s="4" t="inlineStr">
        <is>
          <t>wrap up</t>
        </is>
      </c>
      <c r="E1142" s="11" t="inlineStr">
        <is>
          <t>일과를 끝맺다, 매듭짓다</t>
        </is>
      </c>
      <c r="F1142" s="11" t="inlineStr">
        <is>
          <t>We should wrap up the call and head to lunch.</t>
        </is>
      </c>
      <c r="G1142" s="11" t="inlineStr">
        <is>
          <t>통화 마무리 짓고 점심 먹으러 갑시다.</t>
        </is>
      </c>
      <c r="H1142" s="5">
        <f>HYPERLINK("https://www.youtube.com/watch?v=0dtzgvFN2LI", "영상 보기 ▶")</f>
        <v/>
      </c>
    </row>
    <row r="1143" ht="26" customHeight="1">
      <c r="A1143" s="6" t="n">
        <v>1142</v>
      </c>
      <c r="B1143" s="7" t="inlineStr">
        <is>
          <t>총정리 23탄</t>
        </is>
      </c>
      <c r="C1143" s="7" t="inlineStr">
        <is>
          <t>납득 이해</t>
        </is>
      </c>
      <c r="D1143" s="8" t="inlineStr">
        <is>
          <t>wrap head around</t>
        </is>
      </c>
      <c r="E1143" s="12" t="inlineStr">
        <is>
          <t>도저히 이해/납득하기 힘든 내용을 소화하다</t>
        </is>
      </c>
      <c r="F1143" s="12" t="inlineStr">
        <is>
          <t>I still can't wrap my head around their sudden exit.</t>
        </is>
      </c>
      <c r="G1143" s="12" t="inlineStr">
        <is>
          <t>그들이 갑작스럽게 손을 털고 나간 이유가 아직도 도무지 납득이 안 가.</t>
        </is>
      </c>
      <c r="H1143" s="9">
        <f>HYPERLINK("https://www.youtube.com/watch?v=0dtzgvFN2LI", "영상 보기 ▶")</f>
        <v/>
      </c>
    </row>
    <row r="1144" ht="26" customHeight="1">
      <c r="A1144" s="2" t="n">
        <v>1143</v>
      </c>
      <c r="B1144" s="3" t="inlineStr">
        <is>
          <t>총정리 23탄</t>
        </is>
      </c>
      <c r="C1144" s="3" t="inlineStr">
        <is>
          <t>잔무 정리</t>
        </is>
      </c>
      <c r="D1144" s="4" t="inlineStr">
        <is>
          <t>tie up loose ends</t>
        </is>
      </c>
      <c r="E1144" s="11" t="inlineStr">
        <is>
          <t>미결 과제/잔무를 깔끔하게 매듭짓다</t>
        </is>
      </c>
      <c r="F1144" s="11" t="inlineStr">
        <is>
          <t>I have a few loose ends to tie up before going on vacation.</t>
        </is>
      </c>
      <c r="G1144" s="11" t="inlineStr">
        <is>
          <t>휴가 떠나기 전에 미결된 잔무들을 깔끔히 정리해야 해요.</t>
        </is>
      </c>
      <c r="H1144" s="5">
        <f>HYPERLINK("https://www.youtube.com/watch?v=0dtzgvFN2LI", "영상 보기 ▶")</f>
        <v/>
      </c>
    </row>
    <row r="1145" ht="26" customHeight="1">
      <c r="A1145" s="6" t="n">
        <v>1144</v>
      </c>
      <c r="B1145" s="7" t="inlineStr">
        <is>
          <t>총정리 23탄</t>
        </is>
      </c>
      <c r="C1145" s="7" t="inlineStr">
        <is>
          <t>재량권 부재</t>
        </is>
      </c>
      <c r="D1145" s="8" t="inlineStr">
        <is>
          <t>hands are tied</t>
        </is>
      </c>
      <c r="E1145" s="12" t="inlineStr">
        <is>
          <t>손이 묶여 있어 권한상 어쩔 수 없다</t>
        </is>
      </c>
      <c r="F1145" s="12" t="inlineStr">
        <is>
          <t>Company policy forbids refunds; my hands are completely tied.</t>
        </is>
      </c>
      <c r="G1145" s="12" t="inlineStr">
        <is>
          <t>회사 규정상 환불이 불가하여 제 손이 묶여 있으니 양해 바랍니다.</t>
        </is>
      </c>
      <c r="H1145" s="9">
        <f>HYPERLINK("https://www.youtube.com/watch?v=0dtzgvFN2LI", "영상 보기 ▶")</f>
        <v/>
      </c>
    </row>
    <row r="1146" ht="26" customHeight="1">
      <c r="A1146" s="2" t="n">
        <v>1145</v>
      </c>
      <c r="B1146" s="3" t="inlineStr">
        <is>
          <t>총정리 23탄</t>
        </is>
      </c>
      <c r="C1146" s="3" t="inlineStr">
        <is>
          <t>필연적 귀결</t>
        </is>
      </c>
      <c r="D1146" s="4" t="inlineStr">
        <is>
          <t>bound to</t>
        </is>
      </c>
      <c r="E1146" s="11" t="inlineStr">
        <is>
          <t>반드시 ~하게 되어 있는, 필연적인</t>
        </is>
      </c>
      <c r="F1146" s="11" t="inlineStr">
        <is>
          <t>With such dedication, you are bound to succeed eventually.</t>
        </is>
      </c>
      <c r="G1146" s="11" t="inlineStr">
        <is>
          <t>이토록 헌신적으로 노력하니 너는 결국 반드시 성공하게 되어 있어.</t>
        </is>
      </c>
      <c r="H1146" s="5">
        <f>HYPERLINK("https://www.youtube.com/watch?v=0dtzgvFN2LI", "영상 보기 ▶")</f>
        <v/>
      </c>
    </row>
    <row r="1147" ht="26" customHeight="1">
      <c r="A1147" s="6" t="n">
        <v>1146</v>
      </c>
      <c r="B1147" s="7" t="inlineStr">
        <is>
          <t>총정리 23탄</t>
        </is>
      </c>
      <c r="C1147" s="7" t="inlineStr">
        <is>
          <t>의무 구속</t>
        </is>
      </c>
      <c r="D1147" s="8" t="inlineStr">
        <is>
          <t>bound by</t>
        </is>
      </c>
      <c r="E1147" s="12" t="inlineStr">
        <is>
          <t>(계약/규정에) 법적으로 얽매인, 구속된</t>
        </is>
      </c>
      <c r="F1147" s="12" t="inlineStr">
        <is>
          <t>We are strictly bound by the confidentiality agreement.</t>
        </is>
      </c>
      <c r="G1147" s="12" t="inlineStr">
        <is>
          <t>저희는 비밀유지협약서(NDA)에 엄격히 구속되어 있습니다.</t>
        </is>
      </c>
      <c r="H1147" s="9">
        <f>HYPERLINK("https://www.youtube.com/watch?v=0dtzgvFN2LI", "영상 보기 ▶")</f>
        <v/>
      </c>
    </row>
    <row r="1148" ht="26" customHeight="1">
      <c r="A1148" s="2" t="n">
        <v>1147</v>
      </c>
      <c r="B1148" s="3" t="inlineStr">
        <is>
          <t>총정리 23탄</t>
        </is>
      </c>
      <c r="C1148" s="3" t="inlineStr">
        <is>
          <t>목적지 향함</t>
        </is>
      </c>
      <c r="D1148" s="4" t="inlineStr">
        <is>
          <t>bound for</t>
        </is>
      </c>
      <c r="E1148" s="11" t="inlineStr">
        <is>
          <t>~로 향하는 (bound for New York)</t>
        </is>
      </c>
      <c r="F1148" s="11" t="inlineStr">
        <is>
          <t>The cargo ship is bound for Rotterdam.</t>
        </is>
      </c>
      <c r="G1148" s="11" t="inlineStr">
        <is>
          <t>그 화물선은 로테르담 항구로 향하고 있습니다.</t>
        </is>
      </c>
      <c r="H1148" s="5">
        <f>HYPERLINK("https://www.youtube.com/watch?v=0dtzgvFN2LI", "영상 보기 ▶")</f>
        <v/>
      </c>
    </row>
    <row r="1149" ht="26" customHeight="1">
      <c r="A1149" s="6" t="n">
        <v>1148</v>
      </c>
      <c r="B1149" s="7" t="inlineStr">
        <is>
          <t>총정리 23탄</t>
        </is>
      </c>
      <c r="C1149" s="7" t="inlineStr">
        <is>
          <t>불가피함</t>
        </is>
      </c>
      <c r="D1149" s="8" t="inlineStr">
        <is>
          <t>bound to happen</t>
        </is>
      </c>
      <c r="E1149" s="12" t="inlineStr">
        <is>
          <t>언젠가는 반드시 터질 일이었던</t>
        </is>
      </c>
      <c r="F1149" s="12" t="inlineStr">
        <is>
          <t>Ignored safety warnings meant this accident was bound to happen.</t>
        </is>
      </c>
      <c r="G1149" s="12" t="inlineStr">
        <is>
          <t>안전 경고를 무시했으니 이 사고는 언젠가 터질 수밖에 없던 필연이었어.</t>
        </is>
      </c>
      <c r="H1149" s="9">
        <f>HYPERLINK("https://www.youtube.com/watch?v=0dtzgvFN2LI", "영상 보기 ▶")</f>
        <v/>
      </c>
    </row>
    <row r="1150" ht="26" customHeight="1">
      <c r="A1150" s="2" t="n">
        <v>1149</v>
      </c>
      <c r="B1150" s="3" t="inlineStr">
        <is>
          <t>총정리 23탄</t>
        </is>
      </c>
      <c r="C1150" s="3" t="inlineStr">
        <is>
          <t>난처한 처지</t>
        </is>
      </c>
      <c r="D1150" s="4" t="inlineStr">
        <is>
          <t>in a bind</t>
        </is>
      </c>
      <c r="E1150" s="11" t="inlineStr">
        <is>
          <t>곤란한 처지에 빠진, 곤경에 처한</t>
        </is>
      </c>
      <c r="F1150" s="11" t="inlineStr">
        <is>
          <t>Could you lend me a hand? I'm in a bit of a bind.</t>
        </is>
      </c>
      <c r="G1150" s="11" t="inlineStr">
        <is>
          <t>나 손 좀 보태줄 수 있어? 지금 살짝 곤란한 처지에 빠져서.</t>
        </is>
      </c>
      <c r="H1150" s="5">
        <f>HYPERLINK("https://www.youtube.com/watch?v=0dtzgvFN2LI", "영상 보기 ▶")</f>
        <v/>
      </c>
    </row>
    <row r="1151" ht="26" customHeight="1">
      <c r="A1151" s="6" t="n">
        <v>1150</v>
      </c>
      <c r="B1151" s="7" t="inlineStr">
        <is>
          <t>총정리 23탄</t>
        </is>
      </c>
      <c r="C1151" s="7" t="inlineStr">
        <is>
          <t>속박/의무</t>
        </is>
      </c>
      <c r="D1151" s="8" t="inlineStr">
        <is>
          <t>bind (동사)</t>
        </is>
      </c>
      <c r="E1151" s="12" t="inlineStr">
        <is>
          <t>묶다, 결속시키다, 구속하다</t>
        </is>
      </c>
      <c r="F1151" s="12" t="inlineStr">
        <is>
          <t>A common purpose binds our diverse team together.</t>
        </is>
      </c>
      <c r="G1151" s="12" t="inlineStr">
        <is>
          <t>공통된 하나의 목표가 우리 다양한 팀원들을 하나로 끈끈하게 결속시킵니다.</t>
        </is>
      </c>
      <c r="H1151" s="9">
        <f>HYPERLINK("https://www.youtube.com/watch?v=0dtzgvFN2LI", "영상 보기 ▶")</f>
        <v/>
      </c>
    </row>
    <row r="1152" ht="26" customHeight="1">
      <c r="A1152" s="2" t="n">
        <v>1151</v>
      </c>
      <c r="B1152" s="3" t="inlineStr">
        <is>
          <t>총정리 24탄</t>
        </is>
      </c>
      <c r="C1152" s="3" t="inlineStr">
        <is>
          <t>기여 역량</t>
        </is>
      </c>
      <c r="D1152" s="4" t="inlineStr">
        <is>
          <t>bring to the table</t>
        </is>
      </c>
      <c r="E1152" s="11" t="inlineStr">
        <is>
          <t>조직이나 협상에 가치 있는 역량을 제공하다</t>
        </is>
      </c>
      <c r="F1152" s="11" t="inlineStr">
        <is>
          <t>Her negotiation background brings tremendous value to the table.</t>
        </is>
      </c>
      <c r="G1152" s="11" t="inlineStr">
        <is>
          <t>그녀의 풍부한 협상 배경은 우리 협상 테이블에 막대한 가치를 더해줍니다.</t>
        </is>
      </c>
      <c r="H1152" s="5">
        <f>HYPERLINK("https://www.youtube.com/watch?v=oVbnvHWjsII", "영상 보기 ▶")</f>
        <v/>
      </c>
    </row>
    <row r="1153" ht="26" customHeight="1">
      <c r="A1153" s="6" t="n">
        <v>1152</v>
      </c>
      <c r="B1153" s="7" t="inlineStr">
        <is>
          <t>총정리 24탄</t>
        </is>
      </c>
      <c r="C1153" s="7" t="inlineStr">
        <is>
          <t>화제 제기</t>
        </is>
      </c>
      <c r="D1153" s="8" t="inlineStr">
        <is>
          <t>bring up</t>
        </is>
      </c>
      <c r="E1153" s="12" t="inlineStr">
        <is>
          <t>안건을 꺼내다, 화제로 올리다</t>
        </is>
      </c>
      <c r="F1153" s="12" t="inlineStr">
        <is>
          <t>Don't bring up the budget deficit during the celebratory dinner.</t>
        </is>
      </c>
      <c r="G1153" s="12" t="inlineStr">
        <is>
          <t>축하 저녁 식사 자리에서 예산 적자 이야기는 꺼내지 마세요.</t>
        </is>
      </c>
      <c r="H1153" s="9">
        <f>HYPERLINK("https://www.youtube.com/watch?v=oVbnvHWjsII", "영상 보기 ▶")</f>
        <v/>
      </c>
    </row>
    <row r="1154" ht="26" customHeight="1">
      <c r="A1154" s="2" t="n">
        <v>1153</v>
      </c>
      <c r="B1154" s="3" t="inlineStr">
        <is>
          <t>총정리 24탄</t>
        </is>
      </c>
      <c r="C1154" s="3" t="inlineStr">
        <is>
          <t>변화 초래</t>
        </is>
      </c>
      <c r="D1154" s="4" t="inlineStr">
        <is>
          <t>bring about</t>
        </is>
      </c>
      <c r="E1154" s="11" t="inlineStr">
        <is>
          <t>(중대한 변화/결과를) 초래하다, 야기하다</t>
        </is>
      </c>
      <c r="F1154" s="11" t="inlineStr">
        <is>
          <t>The new leadership brought about significant structural reforms.</t>
        </is>
      </c>
      <c r="G1154" s="11" t="inlineStr">
        <is>
          <t>새로운 경영진은 중대한 구조적 개혁을 불러일으켰습니다.</t>
        </is>
      </c>
      <c r="H1154" s="5">
        <f>HYPERLINK("https://www.youtube.com/watch?v=oVbnvHWjsII", "영상 보기 ▶")</f>
        <v/>
      </c>
    </row>
    <row r="1155" ht="26" customHeight="1">
      <c r="A1155" s="6" t="n">
        <v>1154</v>
      </c>
      <c r="B1155" s="7" t="inlineStr">
        <is>
          <t>총정리 24탄</t>
        </is>
      </c>
      <c r="C1155" s="7" t="inlineStr">
        <is>
          <t>수치 인하</t>
        </is>
      </c>
      <c r="D1155" s="8" t="inlineStr">
        <is>
          <t>bring down</t>
        </is>
      </c>
      <c r="E1155" s="12" t="inlineStr">
        <is>
          <t>(가격이나 비용을) 낮추다, 인하하다</t>
        </is>
      </c>
      <c r="F1155" s="12" t="inlineStr">
        <is>
          <t>Automating warehouse workflows helped bring down logistics costs.</t>
        </is>
      </c>
      <c r="G1155" s="12" t="inlineStr">
        <is>
          <t>물류창고 업무를 자동화하여 운송 및 물류비용을 크게 낮췄습니다.</t>
        </is>
      </c>
      <c r="H1155" s="9">
        <f>HYPERLINK("https://www.youtube.com/watch?v=oVbnvHWjsII", "영상 보기 ▶")</f>
        <v/>
      </c>
    </row>
    <row r="1156" ht="26" customHeight="1">
      <c r="A1156" s="2" t="n">
        <v>1155</v>
      </c>
      <c r="B1156" s="3" t="inlineStr">
        <is>
          <t>총정리 24탄</t>
        </is>
      </c>
      <c r="C1156" s="3" t="inlineStr">
        <is>
          <t>성공 완수</t>
        </is>
      </c>
      <c r="D1156" s="4" t="inlineStr">
        <is>
          <t>bring off</t>
        </is>
      </c>
      <c r="E1156" s="11" t="inlineStr">
        <is>
          <t>(난관을 뚫고 어려운 일을) 성공적으로 해내다</t>
        </is>
      </c>
      <c r="F1156" s="11" t="inlineStr">
        <is>
          <t>It was a daring acquisition, but they brought it off brilliantly.</t>
        </is>
      </c>
      <c r="G1156" s="11" t="inlineStr">
        <is>
          <t>대단히 모험적인 기업 인수였지만 그들은 눈부시게 성공적으로 완수해 냈어.</t>
        </is>
      </c>
      <c r="H1156" s="5">
        <f>HYPERLINK("https://www.youtube.com/watch?v=oVbnvHWjsII", "영상 보기 ▶")</f>
        <v/>
      </c>
    </row>
    <row r="1157" ht="26" customHeight="1">
      <c r="A1157" s="6" t="n">
        <v>1156</v>
      </c>
      <c r="B1157" s="7" t="inlineStr">
        <is>
          <t>총정리 24탄</t>
        </is>
      </c>
      <c r="C1157" s="7" t="inlineStr">
        <is>
          <t>도전 수용</t>
        </is>
      </c>
      <c r="D1157" s="8" t="inlineStr">
        <is>
          <t>bring on</t>
        </is>
      </c>
      <c r="E1157" s="12" t="inlineStr">
        <is>
          <t>덤벼봐, 얼마든지 감당해 주마 (Bring it on!)</t>
        </is>
      </c>
      <c r="F1157" s="12" t="inlineStr">
        <is>
          <t>We've trained hard for this launch; bring on the challenge!</t>
        </is>
      </c>
      <c r="G1157" s="12" t="inlineStr">
        <is>
          <t>이번 출시를 위해 맹훈련을 거쳤으니, 어떤 도전이든 덤벼라!</t>
        </is>
      </c>
      <c r="H1157" s="9">
        <f>HYPERLINK("https://www.youtube.com/watch?v=oVbnvHWjsII", "영상 보기 ▶")</f>
        <v/>
      </c>
    </row>
    <row r="1158" ht="26" customHeight="1">
      <c r="A1158" s="2" t="n">
        <v>1157</v>
      </c>
      <c r="B1158" s="3" t="inlineStr">
        <is>
          <t>총정리 24탄</t>
        </is>
      </c>
      <c r="C1158" s="3" t="inlineStr">
        <is>
          <t>입장 변화</t>
        </is>
      </c>
      <c r="D1158" s="4" t="inlineStr">
        <is>
          <t>bring around</t>
        </is>
      </c>
      <c r="E1158" s="11" t="inlineStr">
        <is>
          <t>(설득하여) 마음을 돌리게 하다, 납득시키다</t>
        </is>
      </c>
      <c r="F1158" s="11" t="inlineStr">
        <is>
          <t>It took weeks, but we finally brought the skeptics around.</t>
        </is>
      </c>
      <c r="G1158" s="11" t="inlineStr">
        <is>
          <t>몇 주가 걸렸지만 마침내 회의적이던 사람들을 설득해 마음을 돌렸습니다.</t>
        </is>
      </c>
      <c r="H1158" s="5">
        <f>HYPERLINK("https://www.youtube.com/watch?v=oVbnvHWjsII", "영상 보기 ▶")</f>
        <v/>
      </c>
    </row>
    <row r="1159" ht="26" customHeight="1">
      <c r="A1159" s="6" t="n">
        <v>1158</v>
      </c>
      <c r="B1159" s="7" t="inlineStr">
        <is>
          <t>총정리 24탄</t>
        </is>
      </c>
      <c r="C1159" s="7" t="inlineStr">
        <is>
          <t>절감 체감</t>
        </is>
      </c>
      <c r="D1159" s="8" t="inlineStr">
        <is>
          <t>bring home</t>
        </is>
      </c>
      <c r="E1159" s="12" t="inlineStr">
        <is>
          <t>(중대성을) 뼈저리게 실감하게 만들다</t>
        </is>
      </c>
      <c r="F1159" s="12" t="inlineStr">
        <is>
          <t>The near-accident brought home the absolute need for caution.</t>
        </is>
      </c>
      <c r="G1159" s="12" t="inlineStr">
        <is>
          <t>그 아찔한 사고 위기는 주의의 절대적 필요성을 뼈저리게 실감하게 했습니다.</t>
        </is>
      </c>
      <c r="H1159" s="9">
        <f>HYPERLINK("https://www.youtube.com/watch?v=oVbnvHWjsII", "영상 보기 ▶")</f>
        <v/>
      </c>
    </row>
    <row r="1160" ht="26" customHeight="1">
      <c r="A1160" s="2" t="n">
        <v>1159</v>
      </c>
      <c r="B1160" s="3" t="inlineStr">
        <is>
          <t>총정리 24탄</t>
        </is>
      </c>
      <c r="C1160" s="3" t="inlineStr">
        <is>
          <t>책임 수임</t>
        </is>
      </c>
      <c r="D1160" s="4" t="inlineStr">
        <is>
          <t>take on</t>
        </is>
      </c>
      <c r="E1160" s="11" t="inlineStr">
        <is>
          <t>(새로운 업무/책임을) 떠맡다, 착수하다</t>
        </is>
      </c>
      <c r="F1160" s="11" t="inlineStr">
        <is>
          <t>I am honored to take on the lead role in this division.</t>
        </is>
      </c>
      <c r="G1160" s="11" t="inlineStr">
        <is>
          <t>이 부서의 총괄 책임자 역할을 맡게 되어 대단히 영광입니다.</t>
        </is>
      </c>
      <c r="H1160" s="5">
        <f>HYPERLINK("https://www.youtube.com/watch?v=oVbnvHWjsII", "영상 보기 ▶")</f>
        <v/>
      </c>
    </row>
    <row r="1161" ht="26" customHeight="1">
      <c r="A1161" s="6" t="n">
        <v>1160</v>
      </c>
      <c r="B1161" s="7" t="inlineStr">
        <is>
          <t>총정리 24탄</t>
        </is>
      </c>
      <c r="C1161" s="7" t="inlineStr">
        <is>
          <t>급격한 성공</t>
        </is>
      </c>
      <c r="D1161" s="8" t="inlineStr">
        <is>
          <t>take off</t>
        </is>
      </c>
      <c r="E1161" s="12" t="inlineStr">
        <is>
          <t>① 이륙하다 ② (사업이) 날개 돋친 듯 급성장하다</t>
        </is>
      </c>
      <c r="F1161" s="12" t="inlineStr">
        <is>
          <t>Sales really took off after the viral marketing video.</t>
        </is>
      </c>
      <c r="G1161" s="12" t="inlineStr">
        <is>
          <t>바이럴 영상이 화제가 된 후 제품 판매가 그야말로 날개 돋친 듯 급성장했어.</t>
        </is>
      </c>
      <c r="H1161" s="9">
        <f>HYPERLINK("https://www.youtube.com/watch?v=oVbnvHWjsII", "영상 보기 ▶")</f>
        <v/>
      </c>
    </row>
    <row r="1162" ht="26" customHeight="1">
      <c r="A1162" s="2" t="n">
        <v>1161</v>
      </c>
      <c r="B1162" s="3" t="inlineStr">
        <is>
          <t>총정리 24탄</t>
        </is>
      </c>
      <c r="C1162" s="3" t="inlineStr">
        <is>
          <t>인수/인계</t>
        </is>
      </c>
      <c r="D1162" s="4" t="inlineStr">
        <is>
          <t>take over</t>
        </is>
      </c>
      <c r="E1162" s="11" t="inlineStr">
        <is>
          <t>(회사나 업무를) 인수하다, 인계받다</t>
        </is>
      </c>
      <c r="F1162" s="11" t="inlineStr">
        <is>
          <t>She will take over as managing director starting next quarter.</t>
        </is>
      </c>
      <c r="G1162" s="11" t="inlineStr">
        <is>
          <t>그녀는 다음 분기부터 총괄 상무직을 인계받아 맡게 될 예정입니다.</t>
        </is>
      </c>
      <c r="H1162" s="5">
        <f>HYPERLINK("https://www.youtube.com/watch?v=oVbnvHWjsII", "영상 보기 ▶")</f>
        <v/>
      </c>
    </row>
    <row r="1163" ht="26" customHeight="1">
      <c r="A1163" s="6" t="n">
        <v>1162</v>
      </c>
      <c r="B1163" s="7" t="inlineStr">
        <is>
          <t>총정리 24탄</t>
        </is>
      </c>
      <c r="C1163" s="7" t="inlineStr">
        <is>
          <t>시간 차지</t>
        </is>
      </c>
      <c r="D1163" s="8" t="inlineStr">
        <is>
          <t>take up</t>
        </is>
      </c>
      <c r="E1163" s="12" t="inlineStr">
        <is>
          <t>(공간이나 시간을) 차지하다, 새로운 취미를 시작하다</t>
        </is>
      </c>
      <c r="F1163" s="12" t="inlineStr">
        <is>
          <t>Formatting tables takes up way too much of my working day.</t>
        </is>
      </c>
      <c r="G1163" s="12" t="inlineStr">
        <is>
          <t>도표 서식을 정리하느라 근무 시간의 너무 많은 부분을 잡아먹어.</t>
        </is>
      </c>
      <c r="H1163" s="9">
        <f>HYPERLINK("https://www.youtube.com/watch?v=oVbnvHWjsII", "영상 보기 ▶")</f>
        <v/>
      </c>
    </row>
    <row r="1164" ht="26" customHeight="1">
      <c r="A1164" s="2" t="n">
        <v>1163</v>
      </c>
      <c r="B1164" s="3" t="inlineStr">
        <is>
          <t>총정리 24탄</t>
        </is>
      </c>
      <c r="C1164" s="3" t="inlineStr">
        <is>
          <t>이해/흡수</t>
        </is>
      </c>
      <c r="D1164" s="4" t="inlineStr">
        <is>
          <t>take in</t>
        </is>
      </c>
      <c r="E1164" s="11" t="inlineStr">
        <is>
          <t>(설명이나 경치를) 온전히 받아들이다, 이해하다</t>
        </is>
      </c>
      <c r="F1164" s="11" t="inlineStr">
        <is>
          <t>The presentation had so much data, I couldn't take it all in.</t>
        </is>
      </c>
      <c r="G1164" s="11" t="inlineStr">
        <is>
          <t>발표 자료에 데이터가 너무 많아서 한 번에 다 온전히 소화할 수가 없었어.</t>
        </is>
      </c>
      <c r="H1164" s="5">
        <f>HYPERLINK("https://www.youtube.com/watch?v=oVbnvHWjsII", "영상 보기 ▶")</f>
        <v/>
      </c>
    </row>
    <row r="1165" ht="26" customHeight="1">
      <c r="A1165" s="6" t="n">
        <v>1164</v>
      </c>
      <c r="B1165" s="7" t="inlineStr">
        <is>
          <t>총정리 24탄</t>
        </is>
      </c>
      <c r="C1165" s="7" t="inlineStr">
        <is>
          <t>필기/철거</t>
        </is>
      </c>
      <c r="D1165" s="8" t="inlineStr">
        <is>
          <t>take down</t>
        </is>
      </c>
      <c r="E1165" s="12" t="inlineStr">
        <is>
          <t>① 받아 적다 ② 게시물/구조물을 내리다/철거하다</t>
        </is>
      </c>
      <c r="F1165" s="12" t="inlineStr">
        <is>
          <t>Let me take down your contact info so we can follow up.</t>
        </is>
      </c>
      <c r="G1165" s="12" t="inlineStr">
        <is>
          <t>후속 연락을 드릴 수 있도록 연락처를 신속히 받아 적어둘게요.</t>
        </is>
      </c>
      <c r="H1165" s="9">
        <f>HYPERLINK("https://www.youtube.com/watch?v=oVbnvHWjsII", "영상 보기 ▶")</f>
        <v/>
      </c>
    </row>
    <row r="1166" ht="26" customHeight="1">
      <c r="A1166" s="2" t="n">
        <v>1165</v>
      </c>
      <c r="B1166" s="3" t="inlineStr">
        <is>
          <t>총정리 24탄</t>
        </is>
      </c>
      <c r="C1166" s="3" t="inlineStr">
        <is>
          <t>핵심 교훈</t>
        </is>
      </c>
      <c r="D1166" s="4" t="inlineStr">
        <is>
          <t>takeaway</t>
        </is>
      </c>
      <c r="E1166" s="11" t="inlineStr">
        <is>
          <t>(회의/강의에서의) 핵심 요점, 시사점</t>
        </is>
      </c>
      <c r="F1166" s="11" t="inlineStr">
        <is>
          <t>What was your biggest takeaway from today's summit?</t>
        </is>
      </c>
      <c r="G1166" s="11" t="inlineStr">
        <is>
          <t>오늘 정상회의에서 얻은 당신의 가장 큰 핵심 교훈은 무엇이었나요?</t>
        </is>
      </c>
      <c r="H1166" s="5">
        <f>HYPERLINK("https://www.youtube.com/watch?v=oVbnvHWjsII", "영상 보기 ▶")</f>
        <v/>
      </c>
    </row>
    <row r="1167" ht="26" customHeight="1">
      <c r="A1167" s="6" t="n">
        <v>1166</v>
      </c>
      <c r="B1167" s="7" t="inlineStr">
        <is>
          <t>총정리 24탄</t>
        </is>
      </c>
      <c r="C1167" s="7" t="inlineStr">
        <is>
          <t>당혹감</t>
        </is>
      </c>
      <c r="D1167" s="8" t="inlineStr">
        <is>
          <t>take aback</t>
        </is>
      </c>
      <c r="E1167" s="12" t="inlineStr">
        <is>
          <t>(뜻밖의 일에) 몹시 당황하다, 깜짝 놀라다</t>
        </is>
      </c>
      <c r="F1167" s="12" t="inlineStr">
        <is>
          <t>I was taken aback by his unusually aggressive response.</t>
        </is>
      </c>
      <c r="G1167" s="12" t="inlineStr">
        <is>
          <t>그의 유난히 공격적인 반응에 나는 몹시 당황하고 깜짝 놀랐어.</t>
        </is>
      </c>
      <c r="H1167" s="9">
        <f>HYPERLINK("https://www.youtube.com/watch?v=oVbnvHWjsII", "영상 보기 ▶")</f>
        <v/>
      </c>
    </row>
    <row r="1168" ht="26" customHeight="1">
      <c r="A1168" s="2" t="n">
        <v>1167</v>
      </c>
      <c r="B1168" s="3" t="inlineStr">
        <is>
          <t>총정리 24탄</t>
        </is>
      </c>
      <c r="C1168" s="3" t="inlineStr">
        <is>
          <t>부모 닮음</t>
        </is>
      </c>
      <c r="D1168" s="4" t="inlineStr">
        <is>
          <t>take after</t>
        </is>
      </c>
      <c r="E1168" s="11" t="inlineStr">
        <is>
          <t>(부모나 손윗사람을) 성격이나 외모로 닮다</t>
        </is>
      </c>
      <c r="F1168" s="11" t="inlineStr">
        <is>
          <t>She clearly takes after her mother in her artistic talent.</t>
        </is>
      </c>
      <c r="G1168" s="11" t="inlineStr">
        <is>
          <t>그녀는 예술적 재능 면에서 어머니를 쏙 빼닮았어.</t>
        </is>
      </c>
      <c r="H1168" s="5">
        <f>HYPERLINK("https://www.youtube.com/watch?v=oVbnvHWjsII", "영상 보기 ▶")</f>
        <v/>
      </c>
    </row>
    <row r="1169" ht="26" customHeight="1">
      <c r="A1169" s="6" t="n">
        <v>1168</v>
      </c>
      <c r="B1169" s="7" t="inlineStr">
        <is>
          <t>총정리 24탄</t>
        </is>
      </c>
      <c r="C1169" s="7" t="inlineStr">
        <is>
          <t>발언 취소</t>
        </is>
      </c>
      <c r="D1169" s="8" t="inlineStr">
        <is>
          <t>take back</t>
        </is>
      </c>
      <c r="E1169" s="12" t="inlineStr">
        <is>
          <t>(했던 말을) 취소하다, 거두어들이다</t>
        </is>
      </c>
      <c r="F1169" s="12" t="inlineStr">
        <is>
          <t>I apologize; that was unfair of me, and I take it back.</t>
        </is>
      </c>
      <c r="G1169" s="12" t="inlineStr">
        <is>
          <t>사과할게, 내가 불공평했어. 방금 했던 말은 취소할게.</t>
        </is>
      </c>
      <c r="H1169" s="9">
        <f>HYPERLINK("https://www.youtube.com/watch?v=oVbnvHWjsII", "영상 보기 ▶")</f>
        <v/>
      </c>
    </row>
    <row r="1170" ht="26" customHeight="1">
      <c r="A1170" s="2" t="n">
        <v>1169</v>
      </c>
      <c r="B1170" s="3" t="inlineStr">
        <is>
          <t>총정리 24탄</t>
        </is>
      </c>
      <c r="C1170" s="3" t="inlineStr">
        <is>
          <t>식사 대접</t>
        </is>
      </c>
      <c r="D1170" s="4" t="inlineStr">
        <is>
          <t>take out</t>
        </is>
      </c>
      <c r="E1170" s="11" t="inlineStr">
        <is>
          <t>~를 데리고 나가 맛있는 식사를 사주다/대접하다</t>
        </is>
      </c>
      <c r="F1170" s="11" t="inlineStr">
        <is>
          <t>Let me take you out for lunch to celebrate your success.</t>
        </is>
      </c>
      <c r="G1170" s="11" t="inlineStr">
        <is>
          <t>너의 성공을 축하하며 내가 근사한 점심 한턱 살게.</t>
        </is>
      </c>
      <c r="H1170" s="5">
        <f>HYPERLINK("https://www.youtube.com/watch?v=oVbnvHWjsII", "영상 보기 ▶")</f>
        <v/>
      </c>
    </row>
    <row r="1171" ht="26" customHeight="1">
      <c r="A1171" s="6" t="n">
        <v>1170</v>
      </c>
      <c r="B1171" s="7" t="inlineStr">
        <is>
          <t>총정리 24탄</t>
        </is>
      </c>
      <c r="C1171" s="7" t="inlineStr">
        <is>
          <t>차근차근 안내</t>
        </is>
      </c>
      <c r="D1171" s="8" t="inlineStr">
        <is>
          <t>take (사람) through</t>
        </is>
      </c>
      <c r="E1171" s="12" t="inlineStr">
        <is>
          <t>~에게 과정을 차근차근 설명해 주다/안내하다</t>
        </is>
      </c>
      <c r="F1171" s="12" t="inlineStr">
        <is>
          <t>Let me take you through the onboarding steps one by one.</t>
        </is>
      </c>
      <c r="G1171" s="12" t="inlineStr">
        <is>
          <t>온보딩 단계들을 하나씩 차근차근 친절하게 안내해 드릴게요.</t>
        </is>
      </c>
      <c r="H1171" s="9">
        <f>HYPERLINK("https://www.youtube.com/watch?v=oVbnvHWjsII", "영상 보기 ▶")</f>
        <v/>
      </c>
    </row>
    <row r="1172" ht="26" customHeight="1">
      <c r="A1172" s="2" t="n">
        <v>1171</v>
      </c>
      <c r="B1172" s="3" t="inlineStr">
        <is>
          <t>총정리 24탄</t>
        </is>
      </c>
      <c r="C1172" s="3" t="inlineStr">
        <is>
          <t>인내</t>
        </is>
      </c>
      <c r="D1172" s="4" t="inlineStr">
        <is>
          <t>put up with</t>
        </is>
      </c>
      <c r="E1172" s="11" t="inlineStr">
        <is>
          <t>(짜증 나거나 힘든 상황을) 참고 견디다</t>
        </is>
      </c>
      <c r="F1172" s="11" t="inlineStr">
        <is>
          <t>I refuse to put up with such disrespectful behavior.</t>
        </is>
      </c>
      <c r="G1172" s="11" t="inlineStr">
        <is>
          <t>그런 무례한 태도를 더 이상은 참고 견딜 수 없습니다.</t>
        </is>
      </c>
      <c r="H1172" s="5">
        <f>HYPERLINK("https://www.youtube.com/watch?v=oVbnvHWjsII", "영상 보기 ▶")</f>
        <v/>
      </c>
    </row>
    <row r="1173" ht="26" customHeight="1">
      <c r="A1173" s="6" t="n">
        <v>1172</v>
      </c>
      <c r="B1173" s="7" t="inlineStr">
        <is>
          <t>총정리 24탄</t>
        </is>
      </c>
      <c r="C1173" s="7" t="inlineStr">
        <is>
          <t>일정 연기</t>
        </is>
      </c>
      <c r="D1173" s="8" t="inlineStr">
        <is>
          <t>put off</t>
        </is>
      </c>
      <c r="E1173" s="12" t="inlineStr">
        <is>
          <t>(귀찮아서) 나중으로 미루다, 연기하다</t>
        </is>
      </c>
      <c r="F1173" s="12" t="inlineStr">
        <is>
          <t>Don't put off filing your expenses until the very last day.</t>
        </is>
      </c>
      <c r="G1173" s="12" t="inlineStr">
        <is>
          <t>경비 청구서 제출을 마감 맨 마지막 날까지 미루지 마세요.</t>
        </is>
      </c>
      <c r="H1173" s="9">
        <f>HYPERLINK("https://www.youtube.com/watch?v=oVbnvHWjsII", "영상 보기 ▶")</f>
        <v/>
      </c>
    </row>
    <row r="1174" ht="26" customHeight="1">
      <c r="A1174" s="2" t="n">
        <v>1173</v>
      </c>
      <c r="B1174" s="3" t="inlineStr">
        <is>
          <t>총정리 24탄</t>
        </is>
      </c>
      <c r="C1174" s="3" t="inlineStr">
        <is>
          <t>당혹한 지목</t>
        </is>
      </c>
      <c r="D1174" s="4" t="inlineStr">
        <is>
          <t>put on the spot</t>
        </is>
      </c>
      <c r="E1174" s="11" t="inlineStr">
        <is>
          <t>(준비되지 않은 사람을) 곤란하게 지목하다</t>
        </is>
      </c>
      <c r="F1174" s="11" t="inlineStr">
        <is>
          <t>I'm sorry to put you on the spot, but what is your opinion?</t>
        </is>
      </c>
      <c r="G1174" s="11" t="inlineStr">
        <is>
          <t>불시에 지목해 곤란하게 해드려 죄송하지만, 의견이 어떠신가요?</t>
        </is>
      </c>
      <c r="H1174" s="5">
        <f>HYPERLINK("https://www.youtube.com/watch?v=oVbnvHWjsII", "영상 보기 ▶")</f>
        <v/>
      </c>
    </row>
    <row r="1175" ht="26" customHeight="1">
      <c r="A1175" s="6" t="n">
        <v>1174</v>
      </c>
      <c r="B1175" s="7" t="inlineStr">
        <is>
          <t>총정리 24탄</t>
        </is>
      </c>
      <c r="C1175" s="7" t="inlineStr">
        <is>
          <t>자료 취합</t>
        </is>
      </c>
      <c r="D1175" s="8" t="inlineStr">
        <is>
          <t>put together</t>
        </is>
      </c>
      <c r="E1175" s="12" t="inlineStr">
        <is>
          <t>(프레젠테이션/문서를) 준비하다, 취합하다</t>
        </is>
      </c>
      <c r="F1175" s="12" t="inlineStr">
        <is>
          <t>Could you put together a summary deck for the investors?</t>
        </is>
      </c>
      <c r="G1175" s="12" t="inlineStr">
        <is>
          <t>투자자들을 위한 요약 발표 자료 좀 취합해서 준비해 줄 수 있어?</t>
        </is>
      </c>
      <c r="H1175" s="9">
        <f>HYPERLINK("https://www.youtube.com/watch?v=oVbnvHWjsII", "영상 보기 ▶")</f>
        <v/>
      </c>
    </row>
    <row r="1176" ht="26" customHeight="1">
      <c r="A1176" s="2" t="n">
        <v>1175</v>
      </c>
      <c r="B1176" s="3" t="inlineStr">
        <is>
          <t>총정리 24탄</t>
        </is>
      </c>
      <c r="C1176" s="3" t="inlineStr">
        <is>
          <t>안건 제안</t>
        </is>
      </c>
      <c r="D1176" s="4" t="inlineStr">
        <is>
          <t>put forward</t>
        </is>
      </c>
      <c r="E1176" s="11" t="inlineStr">
        <is>
          <t>(의견/아이디어를) 공식적으로 제시하다</t>
        </is>
      </c>
      <c r="F1176" s="11" t="inlineStr">
        <is>
          <t>He put forward an innovative plan to cut operational waste.</t>
        </is>
      </c>
      <c r="G1176" s="11" t="inlineStr">
        <is>
          <t>그는 운영상 낭비를 줄이기 위한 혁신적인 기획안을 공식 제시했습니다.</t>
        </is>
      </c>
      <c r="H1176" s="5">
        <f>HYPERLINK("https://www.youtube.com/watch?v=oVbnvHWjsII", "영상 보기 ▶")</f>
        <v/>
      </c>
    </row>
    <row r="1177" ht="26" customHeight="1">
      <c r="A1177" s="6" t="n">
        <v>1176</v>
      </c>
      <c r="B1177" s="7" t="inlineStr">
        <is>
          <t>총정리 24탄</t>
        </is>
      </c>
      <c r="C1177" s="7" t="inlineStr">
        <is>
          <t>과거 매듭</t>
        </is>
      </c>
      <c r="D1177" s="8" t="inlineStr">
        <is>
          <t>put behind</t>
        </is>
      </c>
      <c r="E1177" s="12" t="inlineStr">
        <is>
          <t>(안 좋은 과거를) 털어버리고 뒤로 넘기다</t>
        </is>
      </c>
      <c r="F1177" s="12" t="inlineStr">
        <is>
          <t>Let's put this misunderstanding behind us and move forward.</t>
        </is>
      </c>
      <c r="G1177" s="12" t="inlineStr">
        <is>
          <t>이번 오해는 훌훌 털어버리고 미래를 향해 함께 나아갑시다.</t>
        </is>
      </c>
      <c r="H1177" s="9">
        <f>HYPERLINK("https://www.youtube.com/watch?v=oVbnvHWjsII", "영상 보기 ▶")</f>
        <v/>
      </c>
    </row>
    <row r="1178" ht="26" customHeight="1">
      <c r="A1178" s="2" t="n">
        <v>1177</v>
      </c>
      <c r="B1178" s="3" t="inlineStr">
        <is>
          <t>총정리 24탄</t>
        </is>
      </c>
      <c r="C1178" s="3" t="inlineStr">
        <is>
          <t>의사 전달</t>
        </is>
      </c>
      <c r="D1178" s="4" t="inlineStr">
        <is>
          <t>put across</t>
        </is>
      </c>
      <c r="E1178" s="11" t="inlineStr">
        <is>
          <t>(자신의 생각을) 명확하게 납득시키다/전달하다</t>
        </is>
      </c>
      <c r="F1178" s="11" t="inlineStr">
        <is>
          <t>She successfully put across her vision to the board.</t>
        </is>
      </c>
      <c r="G1178" s="11" t="inlineStr">
        <is>
          <t>그녀는 이사진에게 자신의 미래 비전을 명확하게 납득시켰습니다.</t>
        </is>
      </c>
      <c r="H1178" s="5">
        <f>HYPERLINK("https://www.youtube.com/watch?v=oVbnvHWjsII", "영상 보기 ▶")</f>
        <v/>
      </c>
    </row>
    <row r="1179" ht="26" customHeight="1">
      <c r="A1179" s="6" t="n">
        <v>1178</v>
      </c>
      <c r="B1179" s="7" t="inlineStr">
        <is>
          <t>총정리 24탄</t>
        </is>
      </c>
      <c r="C1179" s="7" t="inlineStr">
        <is>
          <t>비하/메모</t>
        </is>
      </c>
      <c r="D1179" s="8" t="inlineStr">
        <is>
          <t>put down</t>
        </is>
      </c>
      <c r="E1179" s="12" t="inlineStr">
        <is>
          <t>① 깎아내리다, 비하하다 ② 기록하다/적다</t>
        </is>
      </c>
      <c r="F1179" s="12" t="inlineStr">
        <is>
          <t>A good manager never puts down employees in public.</t>
        </is>
      </c>
      <c r="G1179" s="12" t="inlineStr">
        <is>
          <t>훌륭한 관리자는 공개된 자리에서 부하 직원을 깎아내리지 않습니다.</t>
        </is>
      </c>
      <c r="H1179" s="9">
        <f>HYPERLINK("https://www.youtube.com/watch?v=oVbnvHWjsII", "영상 보기 ▶")</f>
        <v/>
      </c>
    </row>
    <row r="1180" ht="26" customHeight="1">
      <c r="A1180" s="2" t="n">
        <v>1179</v>
      </c>
      <c r="B1180" s="3" t="inlineStr">
        <is>
          <t>총정리 24탄</t>
        </is>
      </c>
      <c r="C1180" s="3" t="inlineStr">
        <is>
          <t>불편 감수</t>
        </is>
      </c>
      <c r="D1180" s="4" t="inlineStr">
        <is>
          <t>put out</t>
        </is>
      </c>
      <c r="E1180" s="11" t="inlineStr">
        <is>
          <t>(타인에게) 번거로움/불편을 끼치다 (be put out)</t>
        </is>
      </c>
      <c r="F1180" s="11" t="inlineStr">
        <is>
          <t>I don't want to put you out, so I can take a cab.</t>
        </is>
      </c>
      <c r="G1180" s="11" t="inlineStr">
        <is>
          <t>당신을 번거롭게 해드리고 싶지 않으니 택시를 타고 갈게요.</t>
        </is>
      </c>
      <c r="H1180" s="5">
        <f>HYPERLINK("https://www.youtube.com/watch?v=oVbnvHWjsII", "영상 보기 ▶")</f>
        <v/>
      </c>
    </row>
    <row r="1181" ht="26" customHeight="1">
      <c r="A1181" s="6" t="n">
        <v>1180</v>
      </c>
      <c r="B1181" s="7" t="inlineStr">
        <is>
          <t>총정리 24탄</t>
        </is>
      </c>
      <c r="C1181" s="7" t="inlineStr">
        <is>
          <t>전화 연결</t>
        </is>
      </c>
      <c r="D1181" s="8" t="inlineStr">
        <is>
          <t>put through</t>
        </is>
      </c>
      <c r="E1181" s="12" t="inlineStr">
        <is>
          <t>(전화 통화 상대를) 연결해 주다</t>
        </is>
      </c>
      <c r="F1181" s="12" t="inlineStr">
        <is>
          <t>Hold the line, please; I will put you through to accounting.</t>
        </is>
      </c>
      <c r="G1181" s="12" t="inlineStr">
        <is>
          <t>잠시만 끊지 말고 기다려주세요, 회계팀으로 전화 연결해 드리겠습니다.</t>
        </is>
      </c>
      <c r="H1181" s="9">
        <f>HYPERLINK("https://www.youtube.com/watch?v=oVbnvHWjsII", "영상 보기 ▶")</f>
        <v/>
      </c>
    </row>
    <row r="1182" ht="26" customHeight="1">
      <c r="A1182" s="2" t="n">
        <v>1181</v>
      </c>
      <c r="B1182" s="3" t="inlineStr">
        <is>
          <t>총정리 24탄</t>
        </is>
      </c>
      <c r="C1182" s="3" t="inlineStr">
        <is>
          <t>성공 출세</t>
        </is>
      </c>
      <c r="D1182" s="4" t="inlineStr">
        <is>
          <t>get ahead</t>
        </is>
      </c>
      <c r="E1182" s="11" t="inlineStr">
        <is>
          <t>남보다 앞서 나가다, 출세하다, 성공하다</t>
        </is>
      </c>
      <c r="F1182" s="11" t="inlineStr">
        <is>
          <t>Continuous self-learning is essential to get ahead in your career.</t>
        </is>
      </c>
      <c r="G1182" s="11" t="inlineStr">
        <is>
          <t>커리어에서 남보다 앞서 성공하려면 지속적인 자기계발이 필수적입니다.</t>
        </is>
      </c>
      <c r="H1182" s="5">
        <f>HYPERLINK("https://www.youtube.com/watch?v=oVbnvHWjsII", "영상 보기 ▶")</f>
        <v/>
      </c>
    </row>
    <row r="1183" ht="26" customHeight="1">
      <c r="A1183" s="6" t="n">
        <v>1182</v>
      </c>
      <c r="B1183" s="7" t="inlineStr">
        <is>
          <t>총정리 24탄</t>
        </is>
      </c>
      <c r="C1183" s="7" t="inlineStr">
        <is>
          <t>원만한 관계</t>
        </is>
      </c>
      <c r="D1183" s="8" t="inlineStr">
        <is>
          <t>get along</t>
        </is>
      </c>
      <c r="E1183" s="12" t="inlineStr">
        <is>
          <t>(동료들과) 사이좋게 원만하게 지내다</t>
        </is>
      </c>
      <c r="F1183" s="12" t="inlineStr">
        <is>
          <t>Our engineering and product teams get along very well.</t>
        </is>
      </c>
      <c r="G1183" s="12" t="inlineStr">
        <is>
          <t>우리 엔지니어링팀과 프로덕트팀은 대단히 원만하게 잘 지냅니다.</t>
        </is>
      </c>
      <c r="H1183" s="9">
        <f>HYPERLINK("https://www.youtube.com/watch?v=oVbnvHWjsII", "영상 보기 ▶")</f>
        <v/>
      </c>
    </row>
    <row r="1184" ht="26" customHeight="1">
      <c r="A1184" s="2" t="n">
        <v>1183</v>
      </c>
      <c r="B1184" s="3" t="inlineStr">
        <is>
          <t>총정리 24탄</t>
        </is>
      </c>
      <c r="C1184" s="3" t="inlineStr">
        <is>
          <t>의사 소통</t>
        </is>
      </c>
      <c r="D1184" s="4" t="inlineStr">
        <is>
          <t>get across</t>
        </is>
      </c>
      <c r="E1184" s="11" t="inlineStr">
        <is>
          <t>(메시지가) 청중에게 잘 전달되다/먹히다</t>
        </is>
      </c>
      <c r="F1184" s="11" t="inlineStr">
        <is>
          <t>Did the core message get across clearly during the demo?</t>
        </is>
      </c>
      <c r="G1184" s="11" t="inlineStr">
        <is>
          <t>시연 발표 중에 핵심 메시지가 청중에게 명확히 잘 전달되었나요?</t>
        </is>
      </c>
      <c r="H1184" s="5">
        <f>HYPERLINK("https://www.youtube.com/watch?v=oVbnvHWjsII", "영상 보기 ▶")</f>
        <v/>
      </c>
    </row>
    <row r="1185" ht="26" customHeight="1">
      <c r="A1185" s="6" t="n">
        <v>1184</v>
      </c>
      <c r="B1185" s="7" t="inlineStr">
        <is>
          <t>총정리 24탄</t>
        </is>
      </c>
      <c r="C1185" s="7" t="inlineStr">
        <is>
          <t>문제 우회</t>
        </is>
      </c>
      <c r="D1185" s="8" t="inlineStr">
        <is>
          <t>get around</t>
        </is>
      </c>
      <c r="E1185" s="12" t="inlineStr">
        <is>
          <t>(규제나 장애물을) 융통성 있게 우회하다/돌파하다</t>
        </is>
      </c>
      <c r="F1185" s="12" t="inlineStr">
        <is>
          <t>We found a clever software workaround to get around the bug.</t>
        </is>
      </c>
      <c r="G1185" s="12" t="inlineStr">
        <is>
          <t>우리는 그 버그를 우회할 수 있는 기발한 소프트웨어 해결책을 찾아냈어.</t>
        </is>
      </c>
      <c r="H1185" s="9">
        <f>HYPERLINK("https://www.youtube.com/watch?v=oVbnvHWjsII", "영상 보기 ▶")</f>
        <v/>
      </c>
    </row>
    <row r="1186" ht="26" customHeight="1">
      <c r="A1186" s="2" t="n">
        <v>1185</v>
      </c>
      <c r="B1186" s="3" t="inlineStr">
        <is>
          <t>총정리 24탄</t>
        </is>
      </c>
      <c r="C1186" s="3" t="inlineStr">
        <is>
          <t>휴가 떠남</t>
        </is>
      </c>
      <c r="D1186" s="4" t="inlineStr">
        <is>
          <t>get away</t>
        </is>
      </c>
      <c r="E1186" s="11" t="inlineStr">
        <is>
          <t>(바쁜 일상에서 벗어나) 휴가를 떠나다</t>
        </is>
      </c>
      <c r="F1186" s="11" t="inlineStr">
        <is>
          <t>I desperately need a weekend trip to get away from work stress.</t>
        </is>
      </c>
      <c r="G1186" s="11" t="inlineStr">
        <is>
          <t>업무 스트레스에서 벗어나 재충전할 주말 휴가가 절실히 필요해.</t>
        </is>
      </c>
      <c r="H1186" s="5">
        <f>HYPERLINK("https://www.youtube.com/watch?v=oVbnvHWjsII", "영상 보기 ▶")</f>
        <v/>
      </c>
    </row>
    <row r="1187" ht="26" customHeight="1">
      <c r="A1187" s="6" t="n">
        <v>1186</v>
      </c>
      <c r="B1187" s="7" t="inlineStr">
        <is>
          <t>총정리 24탄</t>
        </is>
      </c>
      <c r="C1187" s="7" t="inlineStr">
        <is>
          <t>생계 유지</t>
        </is>
      </c>
      <c r="D1187" s="8" t="inlineStr">
        <is>
          <t>get by</t>
        </is>
      </c>
      <c r="E1187" s="12" t="inlineStr">
        <is>
          <t>그럭저럭 살아가다, 근근이 버텨내다</t>
        </is>
      </c>
      <c r="F1187" s="12" t="inlineStr">
        <is>
          <t>My basic conversational French is enough to get by in Paris.</t>
        </is>
      </c>
      <c r="G1187" s="12" t="inlineStr">
        <is>
          <t>내 기초 프랑스어 회화 실력은 파리에서 그럭저럭 다니기에 충분해.</t>
        </is>
      </c>
      <c r="H1187" s="9">
        <f>HYPERLINK("https://www.youtube.com/watch?v=oVbnvHWjsII", "영상 보기 ▶")</f>
        <v/>
      </c>
    </row>
    <row r="1188" ht="26" customHeight="1">
      <c r="A1188" s="2" t="n">
        <v>1187</v>
      </c>
      <c r="B1188" s="3" t="inlineStr">
        <is>
          <t>총정리 24탄</t>
        </is>
      </c>
      <c r="C1188" s="3" t="inlineStr">
        <is>
          <t>본격 착수</t>
        </is>
      </c>
      <c r="D1188" s="4" t="inlineStr">
        <is>
          <t>get down to</t>
        </is>
      </c>
      <c r="E1188" s="11" t="inlineStr">
        <is>
          <t>(미루지 않고) 본격적인 본론/업무에 착수하다</t>
        </is>
      </c>
      <c r="F1188" s="11" t="inlineStr">
        <is>
          <t>Enough small talk; let's get down to business.</t>
        </is>
      </c>
      <c r="G1188" s="11" t="inlineStr">
        <is>
          <t>스몰토크는 이쯤 하고 이제 본격적인 비즈니스 본론으로 들어갑시다.</t>
        </is>
      </c>
      <c r="H1188" s="5">
        <f>HYPERLINK("https://www.youtube.com/watch?v=oVbnvHWjsII", "영상 보기 ▶")</f>
        <v/>
      </c>
    </row>
    <row r="1189" ht="26" customHeight="1">
      <c r="A1189" s="6" t="n">
        <v>1188</v>
      </c>
      <c r="B1189" s="7" t="inlineStr">
        <is>
          <t>총정리 24탄</t>
        </is>
      </c>
      <c r="C1189" s="7" t="inlineStr">
        <is>
          <t>흥미 시작</t>
        </is>
      </c>
      <c r="D1189" s="8" t="inlineStr">
        <is>
          <t>get into</t>
        </is>
      </c>
      <c r="E1189" s="12" t="inlineStr">
        <is>
          <t>~에 입문하다, 흥미를 붙이다</t>
        </is>
      </c>
      <c r="F1189" s="12" t="inlineStr">
        <is>
          <t>How did you first get into product management?</t>
        </is>
      </c>
      <c r="G1189" s="12" t="inlineStr">
        <is>
          <t>프로덕트 매니지먼트 분야에는 처음에 어쩌다가 입문하시게 되었나요?</t>
        </is>
      </c>
      <c r="H1189" s="9">
        <f>HYPERLINK("https://www.youtube.com/watch?v=oVbnvHWjsII", "영상 보기 ▶")</f>
        <v/>
      </c>
    </row>
    <row r="1190" ht="26" customHeight="1">
      <c r="A1190" s="2" t="n">
        <v>1189</v>
      </c>
      <c r="B1190" s="3" t="inlineStr">
        <is>
          <t>총정리 24탄</t>
        </is>
      </c>
      <c r="C1190" s="3" t="inlineStr">
        <is>
          <t>일과 퇴근</t>
        </is>
      </c>
      <c r="D1190" s="4" t="inlineStr">
        <is>
          <t>get off</t>
        </is>
      </c>
      <c r="E1190" s="11" t="inlineStr">
        <is>
          <t>퇴근하다 (get off work at 6 PM)</t>
        </is>
      </c>
      <c r="F1190" s="11" t="inlineStr">
        <is>
          <t>Let's grab a beer as soon as you get off work.</t>
        </is>
      </c>
      <c r="G1190" s="11" t="inlineStr">
        <is>
          <t>퇴근하는 대로 바로 만나서 맥주 한잔하자.</t>
        </is>
      </c>
      <c r="H1190" s="5">
        <f>HYPERLINK("https://www.youtube.com/watch?v=oVbnvHWjsII", "영상 보기 ▶")</f>
        <v/>
      </c>
    </row>
    <row r="1191" ht="26" customHeight="1">
      <c r="A1191" s="6" t="n">
        <v>1190</v>
      </c>
      <c r="B1191" s="7" t="inlineStr">
        <is>
          <t>총정리 24탄</t>
        </is>
      </c>
      <c r="C1191" s="7" t="inlineStr">
        <is>
          <t>일 재개</t>
        </is>
      </c>
      <c r="D1191" s="8" t="inlineStr">
        <is>
          <t>get on with</t>
        </is>
      </c>
      <c r="E1191" s="12" t="inlineStr">
        <is>
          <t>(지체 없이) 하던 일을 계속해서 해나가다</t>
        </is>
      </c>
      <c r="F1191" s="12" t="inlineStr">
        <is>
          <t>Stop daydreaming and get on with your assignments.</t>
        </is>
      </c>
      <c r="G1191" s="12" t="inlineStr">
        <is>
          <t>멍때리지 말고 네게 주어진 과제들을 계속해서 해나가렴.</t>
        </is>
      </c>
      <c r="H1191" s="9">
        <f>HYPERLINK("https://www.youtube.com/watch?v=oVbnvHWjsII", "영상 보기 ▶")</f>
        <v/>
      </c>
    </row>
    <row r="1192" ht="26" customHeight="1">
      <c r="A1192" s="2" t="n">
        <v>1191</v>
      </c>
      <c r="B1192" s="3" t="inlineStr">
        <is>
          <t>총정리 24탄</t>
        </is>
      </c>
      <c r="C1192" s="3" t="inlineStr">
        <is>
          <t>의무 회피</t>
        </is>
      </c>
      <c r="D1192" s="4" t="inlineStr">
        <is>
          <t>get out of</t>
        </is>
      </c>
      <c r="E1192" s="11" t="inlineStr">
        <is>
          <t>(귀찮은 약속이나 일에서) 빠져나오다, 회피하다</t>
        </is>
      </c>
      <c r="F1192" s="11" t="inlineStr">
        <is>
          <t>I'm trying to find an excuse to get out of the boring dinner.</t>
        </is>
      </c>
      <c r="G1192" s="11" t="inlineStr">
        <is>
          <t>지루한 저녁 회식 자리에서 빠져나올 핑계를 찾는 중이야.</t>
        </is>
      </c>
      <c r="H1192" s="5">
        <f>HYPERLINK("https://www.youtube.com/watch?v=oVbnvHWjsII", "영상 보기 ▶")</f>
        <v/>
      </c>
    </row>
    <row r="1193" ht="26" customHeight="1">
      <c r="A1193" s="6" t="n">
        <v>1192</v>
      </c>
      <c r="B1193" s="7" t="inlineStr">
        <is>
          <t>총정리 24탄</t>
        </is>
      </c>
      <c r="C1193" s="7" t="inlineStr">
        <is>
          <t>극복 회복</t>
        </is>
      </c>
      <c r="D1193" s="8" t="inlineStr">
        <is>
          <t>get over</t>
        </is>
      </c>
      <c r="E1193" s="12" t="inlineStr">
        <is>
          <t>(충격/질병/실연을) 극복하다, 털고 일어나다</t>
        </is>
      </c>
      <c r="F1193" s="12" t="inlineStr">
        <is>
          <t>It took him several months to get over the rejection.</t>
        </is>
      </c>
      <c r="G1193" s="12" t="inlineStr">
        <is>
          <t>투자 거절의 충격을 털고 일어서기까지 몇 달이 걸렸습니다.</t>
        </is>
      </c>
      <c r="H1193" s="9">
        <f>HYPERLINK("https://www.youtube.com/watch?v=oVbnvHWjsII", "영상 보기 ▶")</f>
        <v/>
      </c>
    </row>
    <row r="1194" ht="26" customHeight="1">
      <c r="A1194" s="2" t="n">
        <v>1193</v>
      </c>
      <c r="B1194" s="3" t="inlineStr">
        <is>
          <t>총정리 24탄</t>
        </is>
      </c>
      <c r="C1194" s="3" t="inlineStr">
        <is>
          <t>난관 통과</t>
        </is>
      </c>
      <c r="D1194" s="4" t="inlineStr">
        <is>
          <t>get through</t>
        </is>
      </c>
      <c r="E1194" s="11" t="inlineStr">
        <is>
          <t>(힘든 시기를) 꿋꿋이 헤쳐 나가다, 전화 연결되다</t>
        </is>
      </c>
      <c r="F1194" s="11" t="inlineStr">
        <is>
          <t>We supported each other to get through the product crisis.</t>
        </is>
      </c>
      <c r="G1194" s="11" t="inlineStr">
        <is>
          <t>우리는 제품 위기를 헤쳐 나가기 위해 서로를 든든히 지탱해 주었습니다.</t>
        </is>
      </c>
      <c r="H1194" s="5">
        <f>HYPERLINK("https://www.youtube.com/watch?v=oVbnvHWjsII", "영상 보기 ▶")</f>
        <v/>
      </c>
    </row>
    <row r="1195" ht="26" customHeight="1">
      <c r="A1195" s="6" t="n">
        <v>1194</v>
      </c>
      <c r="B1195" s="7" t="inlineStr">
        <is>
          <t>총정리 24탄</t>
        </is>
      </c>
      <c r="C1195" s="7" t="inlineStr">
        <is>
          <t>진도 도달</t>
        </is>
      </c>
      <c r="D1195" s="8" t="inlineStr">
        <is>
          <t>get up to</t>
        </is>
      </c>
      <c r="E1195" s="12" t="inlineStr">
        <is>
          <t>(어떤 분량/진도까지) 도달하다, 마치다</t>
        </is>
      </c>
      <c r="F1195" s="12" t="inlineStr">
        <is>
          <t>Which chapter did you get up to in the reading?</t>
        </is>
      </c>
      <c r="G1195" s="12" t="inlineStr">
        <is>
          <t>독서 과제 몇 장까지 진도를 나갔어?</t>
        </is>
      </c>
      <c r="H1195" s="9">
        <f>HYPERLINK("https://www.youtube.com/watch?v=oVbnvHWjsII", "영상 보기 ▶")</f>
        <v/>
      </c>
    </row>
    <row r="1196" ht="26" customHeight="1">
      <c r="A1196" s="2" t="n">
        <v>1195</v>
      </c>
      <c r="B1196" s="3" t="inlineStr">
        <is>
          <t>총정리 24탄</t>
        </is>
      </c>
      <c r="C1196" s="3" t="inlineStr">
        <is>
          <t>임기응변</t>
        </is>
      </c>
      <c r="D1196" s="4" t="inlineStr">
        <is>
          <t>make do</t>
        </is>
      </c>
      <c r="E1196" s="11" t="inlineStr">
        <is>
          <t>아쉬운 대로 그럭저럭 때우다/만족하다</t>
        </is>
      </c>
      <c r="F1196" s="11" t="inlineStr">
        <is>
          <t>We don't have a projector, so we'll have to make do with handouts.</t>
        </is>
      </c>
      <c r="G1196" s="11" t="inlineStr">
        <is>
          <t>프로젝터가 없으니 아쉬운 대로 유인물로 때우며 진행해야겠어.</t>
        </is>
      </c>
      <c r="H1196" s="5">
        <f>HYPERLINK("https://www.youtube.com/watch?v=oVbnvHWjsII", "영상 보기 ▶")</f>
        <v/>
      </c>
    </row>
    <row r="1197" ht="26" customHeight="1">
      <c r="A1197" s="6" t="n">
        <v>1196</v>
      </c>
      <c r="B1197" s="7" t="inlineStr">
        <is>
          <t>총정리 24탄</t>
        </is>
      </c>
      <c r="C1197" s="7" t="inlineStr">
        <is>
          <t>파악 판독</t>
        </is>
      </c>
      <c r="D1197" s="8" t="inlineStr">
        <is>
          <t>make out</t>
        </is>
      </c>
      <c r="E1197" s="12" t="inlineStr">
        <is>
          <t>(흐릿한 글씨나 소리를) 알아보다, 판독하다</t>
        </is>
      </c>
      <c r="F1197" s="12" t="inlineStr">
        <is>
          <t>I can barely make out his messy handwritten notes.</t>
        </is>
      </c>
      <c r="G1197" s="12" t="inlineStr">
        <is>
          <t>그의 엉망인 손글씨 메모는 도저히 무슨 글자인지 알아보기 힘들어.</t>
        </is>
      </c>
      <c r="H1197" s="9">
        <f>HYPERLINK("https://www.youtube.com/watch?v=oVbnvHWjsII", "영상 보기 ▶")</f>
        <v/>
      </c>
    </row>
    <row r="1198" ht="26" customHeight="1">
      <c r="A1198" s="2" t="n">
        <v>1197</v>
      </c>
      <c r="B1198" s="3" t="inlineStr">
        <is>
          <t>총정리 24탄</t>
        </is>
      </c>
      <c r="C1198" s="3" t="inlineStr">
        <is>
          <t>도주 횡재</t>
        </is>
      </c>
      <c r="D1198" s="4" t="inlineStr">
        <is>
          <t>make off</t>
        </is>
      </c>
      <c r="E1198" s="11" t="inlineStr">
        <is>
          <t>급히 달아나다, 가로채 달아나다</t>
        </is>
      </c>
      <c r="F1198" s="11" t="inlineStr">
        <is>
          <t>The startup founders made off with a huge profit after the buyout.</t>
        </is>
      </c>
      <c r="G1198" s="11" t="inlineStr">
        <is>
          <t>스타트업 창업자들은 기업 매각 후 막대한 차익을 챙겼습니다.</t>
        </is>
      </c>
      <c r="H1198" s="5">
        <f>HYPERLINK("https://www.youtube.com/watch?v=oVbnvHWjsII", "영상 보기 ▶")</f>
        <v/>
      </c>
    </row>
    <row r="1199" ht="26" customHeight="1">
      <c r="A1199" s="6" t="n">
        <v>1198</v>
      </c>
      <c r="B1199" s="7" t="inlineStr">
        <is>
          <t>총정리 24탄</t>
        </is>
      </c>
      <c r="C1199" s="7" t="inlineStr">
        <is>
          <t>이치 타당</t>
        </is>
      </c>
      <c r="D1199" s="8" t="inlineStr">
        <is>
          <t>make sense</t>
        </is>
      </c>
      <c r="E1199" s="12" t="inlineStr">
        <is>
          <t>말이 되다, 이치에 맞다, 이해가 가다</t>
        </is>
      </c>
      <c r="F1199" s="12" t="inlineStr">
        <is>
          <t>That explanation makes total sense now; thank you.</t>
        </is>
      </c>
      <c r="G1199" s="12" t="inlineStr">
        <is>
          <t>그 설명을 듣고 나니 이제 완전히 납득이 가고 이해되네요. 감사합니다.</t>
        </is>
      </c>
      <c r="H1199" s="9">
        <f>HYPERLINK("https://www.youtube.com/watch?v=oVbnvHWjsII", "영상 보기 ▶")</f>
        <v/>
      </c>
    </row>
    <row r="1200" ht="26" customHeight="1">
      <c r="A1200" s="2" t="n">
        <v>1199</v>
      </c>
      <c r="B1200" s="3" t="inlineStr">
        <is>
          <t>총정리 24탄</t>
        </is>
      </c>
      <c r="C1200" s="3" t="inlineStr">
        <is>
          <t>보상 만회</t>
        </is>
      </c>
      <c r="D1200" s="4" t="inlineStr">
        <is>
          <t>make up for</t>
        </is>
      </c>
      <c r="E1200" s="11" t="inlineStr">
        <is>
          <t>(실수나 손실을) 만회하다, 보상하다</t>
        </is>
      </c>
      <c r="F1200" s="11" t="inlineStr">
        <is>
          <t>I'll work through the weekend to make up for lost time.</t>
        </is>
      </c>
      <c r="G1200" s="11" t="inlineStr">
        <is>
          <t>지연된 일정을 만회하기 위해 이번 주말에도 출근해 일할게요.</t>
        </is>
      </c>
      <c r="H1200" s="5">
        <f>HYPERLINK("https://www.youtube.com/watch?v=oVbnvHWjsII", "영상 보기 ▶")</f>
        <v/>
      </c>
    </row>
    <row r="1201" ht="26" customHeight="1">
      <c r="A1201" s="6" t="n">
        <v>1200</v>
      </c>
      <c r="B1201" s="7" t="inlineStr">
        <is>
          <t>총정리 24탄</t>
        </is>
      </c>
      <c r="C1201" s="7" t="inlineStr">
        <is>
          <t>길 터주기</t>
        </is>
      </c>
      <c r="D1201" s="8" t="inlineStr">
        <is>
          <t>make way for</t>
        </is>
      </c>
      <c r="E1201" s="12" t="inlineStr">
        <is>
          <t>~를 위해 길을 비켜주다, 자리를 양보하다</t>
        </is>
      </c>
      <c r="F1201" s="12" t="inlineStr">
        <is>
          <t>Legacy software must make way for modern cloud systems.</t>
        </is>
      </c>
      <c r="G1201" s="12" t="inlineStr">
        <is>
          <t>구형 레거시 소프트웨어는 현대적인 클라우드 시스템에 자리를 내주어야 합니다.</t>
        </is>
      </c>
      <c r="H1201" s="9">
        <f>HYPERLINK("https://www.youtube.com/watch?v=oVbnvHWjsII", "영상 보기 ▶")</f>
        <v/>
      </c>
    </row>
    <row r="1202" ht="26" customHeight="1">
      <c r="A1202" s="2" t="n">
        <v>1201</v>
      </c>
      <c r="B1202" s="3" t="inlineStr">
        <is>
          <t>총정리 25탄</t>
        </is>
      </c>
      <c r="C1202" s="3" t="inlineStr">
        <is>
          <t>솔직한 고백</t>
        </is>
      </c>
      <c r="D1202" s="4" t="inlineStr">
        <is>
          <t>level with</t>
        </is>
      </c>
      <c r="E1202" s="11" t="inlineStr">
        <is>
          <t>솔직하게 털어놓고 말하다 (Just level with me)</t>
        </is>
      </c>
      <c r="F1202" s="11" t="inlineStr">
        <is>
          <t>Just level with me: do we actually have a chance to win?</t>
        </is>
      </c>
      <c r="G1202" s="11" t="inlineStr">
        <is>
          <t>솔직하게 까놓고 말해봐: 우리 진짜 수주를 따낼 승산이 있어?</t>
        </is>
      </c>
      <c r="H1202" s="5">
        <f>HYPERLINK("https://www.youtube.com/watch?v=RuhL0VkISDM", "영상 보기 ▶")</f>
        <v/>
      </c>
    </row>
    <row r="1203" ht="26" customHeight="1">
      <c r="A1203" s="6" t="n">
        <v>1202</v>
      </c>
      <c r="B1203" s="7" t="inlineStr">
        <is>
          <t>총정리 25탄</t>
        </is>
      </c>
      <c r="C1203" s="7" t="inlineStr">
        <is>
          <t>침착 냉정</t>
        </is>
      </c>
      <c r="D1203" s="8" t="inlineStr">
        <is>
          <t>level-headed</t>
        </is>
      </c>
      <c r="E1203" s="12" t="inlineStr">
        <is>
          <t>침착한, 냉철한, 분별력 있는</t>
        </is>
      </c>
      <c r="F1203" s="12" t="inlineStr">
        <is>
          <t>She remains remarkably level-headed even during crises.</t>
        </is>
      </c>
      <c r="G1203" s="12" t="inlineStr">
        <is>
          <t>그녀는 위기 상황에서도 놀라울 정도로 침착하고 냉철함을 유지합니다.</t>
        </is>
      </c>
      <c r="H1203" s="9">
        <f>HYPERLINK("https://www.youtube.com/watch?v=RuhL0VkISDM", "영상 보기 ▶")</f>
        <v/>
      </c>
    </row>
    <row r="1204" ht="26" customHeight="1">
      <c r="A1204" s="2" t="n">
        <v>1203</v>
      </c>
      <c r="B1204" s="3" t="inlineStr">
        <is>
          <t>총정리 25탄</t>
        </is>
      </c>
      <c r="C1204" s="3" t="inlineStr">
        <is>
          <t>공정 경쟁</t>
        </is>
      </c>
      <c r="D1204" s="4" t="inlineStr">
        <is>
          <t>level playing field</t>
        </is>
      </c>
      <c r="E1204" s="11" t="inlineStr">
        <is>
          <t>공평한 경쟁 환경, 공정한 기회</t>
        </is>
      </c>
      <c r="F1204" s="11" t="inlineStr">
        <is>
          <t>Regulations should ensure a level playing field for all startups.</t>
        </is>
      </c>
      <c r="G1204" s="11" t="inlineStr">
        <is>
          <t>규제 정책은 모든 스타트업에 공평한 경쟁 환경을 보장해 주어야 합니다.</t>
        </is>
      </c>
      <c r="H1204" s="5">
        <f>HYPERLINK("https://www.youtube.com/watch?v=RuhL0VkISDM", "영상 보기 ▶")</f>
        <v/>
      </c>
    </row>
    <row r="1205" ht="26" customHeight="1">
      <c r="A1205" s="6" t="n">
        <v>1204</v>
      </c>
      <c r="B1205" s="7" t="inlineStr">
        <is>
          <t>총정리 25탄</t>
        </is>
      </c>
      <c r="C1205" s="7" t="inlineStr">
        <is>
          <t>정직 신뢰</t>
        </is>
      </c>
      <c r="D1205" s="8" t="inlineStr">
        <is>
          <t>on the level</t>
        </is>
      </c>
      <c r="E1205" s="12" t="inlineStr">
        <is>
          <t>정직한, 합법적인, 믿을 수 있는</t>
        </is>
      </c>
      <c r="F1205" s="12" t="inlineStr">
        <is>
          <t>Don't worry about the supplier; they are completely on the level.</t>
        </is>
      </c>
      <c r="G1205" s="12" t="inlineStr">
        <is>
          <t>그 공급업체는 걱정하지 마세요, 완전히 정직하고 믿을 만한 곳입니다.</t>
        </is>
      </c>
      <c r="H1205" s="9">
        <f>HYPERLINK("https://www.youtube.com/watch?v=RuhL0VkISDM", "영상 보기 ▶")</f>
        <v/>
      </c>
    </row>
    <row r="1206" ht="26" customHeight="1">
      <c r="A1206" s="2" t="n">
        <v>1205</v>
      </c>
      <c r="B1206" s="3" t="inlineStr">
        <is>
          <t>총정리 25탄</t>
        </is>
      </c>
      <c r="C1206" s="3" t="inlineStr">
        <is>
          <t>차원 도약</t>
        </is>
      </c>
      <c r="D1206" s="4" t="inlineStr">
        <is>
          <t>next level</t>
        </is>
      </c>
      <c r="E1206" s="11" t="inlineStr">
        <is>
          <t>한 차원 더 높은 수준의, 차원이 다른</t>
        </is>
      </c>
      <c r="F1206" s="11" t="inlineStr">
        <is>
          <t>Her culinary skills are on a completely next level.</t>
        </is>
      </c>
      <c r="G1206" s="11" t="inlineStr">
        <is>
          <t>그녀의 요리 솜씨는 그야말로 차원이 다른 경지에 도달해 있어.</t>
        </is>
      </c>
      <c r="H1206" s="5">
        <f>HYPERLINK("https://www.youtube.com/watch?v=RuhL0VkISDM", "영상 보기 ▶")</f>
        <v/>
      </c>
    </row>
    <row r="1207" ht="26" customHeight="1">
      <c r="A1207" s="6" t="n">
        <v>1206</v>
      </c>
      <c r="B1207" s="7" t="inlineStr">
        <is>
          <t>총정리 25탄</t>
        </is>
      </c>
      <c r="C1207" s="7" t="inlineStr">
        <is>
          <t>위기 극복</t>
        </is>
      </c>
      <c r="D1207" s="8" t="inlineStr">
        <is>
          <t>rise to the occasion</t>
        </is>
      </c>
      <c r="E1207" s="12" t="inlineStr">
        <is>
          <t>위기나 기회에 발맞춰 훌륭히 역량을 발휘하다</t>
        </is>
      </c>
      <c r="F1207" s="12" t="inlineStr">
        <is>
          <t>When the lead fell ill, she rose to the occasion brilliantly.</t>
        </is>
      </c>
      <c r="G1207" s="12" t="inlineStr">
        <is>
          <t>팀장이 병가를 냈을 때 그녀는 멋지게 역량을 발휘해 공백을 메웠어.</t>
        </is>
      </c>
      <c r="H1207" s="9">
        <f>HYPERLINK("https://www.youtube.com/watch?v=RuhL0VkISDM", "영상 보기 ▶")</f>
        <v/>
      </c>
    </row>
    <row r="1208" ht="26" customHeight="1">
      <c r="A1208" s="2" t="n">
        <v>1207</v>
      </c>
      <c r="B1208" s="3" t="inlineStr">
        <is>
          <t>총정리 25탄</t>
        </is>
      </c>
      <c r="C1208" s="3" t="inlineStr">
        <is>
          <t>도덕적 품격</t>
        </is>
      </c>
      <c r="D1208" s="4" t="inlineStr">
        <is>
          <t>take the high road</t>
        </is>
      </c>
      <c r="E1208" s="11" t="inlineStr">
        <is>
          <t>치사하게 굴지 않고 도덕적으로 품격 있게 처신하다</t>
        </is>
      </c>
      <c r="F1208" s="11" t="inlineStr">
        <is>
          <t>Instead of trading insults, he chose to take the high road.</t>
        </is>
      </c>
      <c r="G1208" s="11" t="inlineStr">
        <is>
          <t>유치하게 인신공격을 주고받는 대신 그는 도덕적으로 품위 있게 대처했어.</t>
        </is>
      </c>
      <c r="H1208" s="5">
        <f>HYPERLINK("https://www.youtube.com/watch?v=RuhL0VkISDM", "영상 보기 ▶")</f>
        <v/>
      </c>
    </row>
    <row r="1209" ht="26" customHeight="1">
      <c r="A1209" s="6" t="n">
        <v>1208</v>
      </c>
      <c r="B1209" s="7" t="inlineStr">
        <is>
          <t>총정리 25탄</t>
        </is>
      </c>
      <c r="C1209" s="7" t="inlineStr">
        <is>
          <t>막대한 판돈</t>
        </is>
      </c>
      <c r="D1209" s="8" t="inlineStr">
        <is>
          <t>high stakes</t>
        </is>
      </c>
      <c r="E1209" s="12" t="inlineStr">
        <is>
          <t>성패에 막대한 판돈/위험이 걸린 (a high-stakes game)</t>
        </is>
      </c>
      <c r="F1209" s="12" t="inlineStr">
        <is>
          <t>These high-stakes negotiations will determine our future.</t>
        </is>
      </c>
      <c r="G1209" s="12" t="inlineStr">
        <is>
          <t>이 중대한 사활이 걸린 협상이 우리 회사의 미래를 결정지을 것입니다.</t>
        </is>
      </c>
      <c r="H1209" s="9">
        <f>HYPERLINK("https://www.youtube.com/watch?v=RuhL0VkISDM", "영상 보기 ▶")</f>
        <v/>
      </c>
    </row>
    <row r="1210" ht="26" customHeight="1">
      <c r="A1210" s="2" t="n">
        <v>1209</v>
      </c>
      <c r="B1210" s="3" t="inlineStr">
        <is>
          <t>총정리 25탄</t>
        </is>
      </c>
      <c r="C1210" s="3" t="inlineStr">
        <is>
          <t>고급 품질</t>
        </is>
      </c>
      <c r="D1210" s="4" t="inlineStr">
        <is>
          <t>high-end</t>
        </is>
      </c>
      <c r="E1210" s="11" t="inlineStr">
        <is>
          <t>최고급의, 고가의 (high-end luxury products)</t>
        </is>
      </c>
      <c r="F1210" s="11" t="inlineStr">
        <is>
          <t>The studio invested in high-end audio recording equipment.</t>
        </is>
      </c>
      <c r="G1210" s="11" t="inlineStr">
        <is>
          <t>스튜디오는 최고급 고성능 오디오 녹음 장비에 과감히 투자했습니다.</t>
        </is>
      </c>
      <c r="H1210" s="5">
        <f>HYPERLINK("https://www.youtube.com/watch?v=RuhL0VkISDM", "영상 보기 ▶")</f>
        <v/>
      </c>
    </row>
    <row r="1211" ht="26" customHeight="1">
      <c r="A1211" s="6" t="n">
        <v>1210</v>
      </c>
      <c r="B1211" s="7" t="inlineStr">
        <is>
          <t>총정리 25탄</t>
        </is>
      </c>
      <c r="C1211" s="7" t="inlineStr">
        <is>
          <t>이목 집중</t>
        </is>
      </c>
      <c r="D1211" s="8" t="inlineStr">
        <is>
          <t>high-profile</t>
        </is>
      </c>
      <c r="E1211" s="12" t="inlineStr">
        <is>
          <t>세간의 이목을 끄는, 저명한 (a high-profile lawsuit)</t>
        </is>
      </c>
      <c r="F1211" s="12" t="inlineStr">
        <is>
          <t>He successfully handled several high-profile corporate cases.</t>
        </is>
      </c>
      <c r="G1211" s="12" t="inlineStr">
        <is>
          <t>그는 세간의 이목이 집중된 굵직한 기업 소송들을 성공적으로 처리했습니다.</t>
        </is>
      </c>
      <c r="H1211" s="9">
        <f>HYPERLINK("https://www.youtube.com/watch?v=RuhL0VkISDM", "영상 보기 ▶")</f>
        <v/>
      </c>
    </row>
    <row r="1212" ht="26" customHeight="1">
      <c r="A1212" s="2" t="n">
        <v>1211</v>
      </c>
      <c r="B1212" s="3" t="inlineStr">
        <is>
          <t>총정리 25탄</t>
        </is>
      </c>
      <c r="C1212" s="3" t="inlineStr">
        <is>
          <t>은근함/절제</t>
        </is>
      </c>
      <c r="D1212" s="4" t="inlineStr">
        <is>
          <t>low-key</t>
        </is>
      </c>
      <c r="E1212" s="11" t="inlineStr">
        <is>
          <t>요란 떨지 않고 은근한, 조촐한</t>
        </is>
      </c>
      <c r="F1212" s="11" t="inlineStr">
        <is>
          <t>We celebrated our anniversary with a low-key dinner at home.</t>
        </is>
      </c>
      <c r="G1212" s="11" t="inlineStr">
        <is>
          <t>우리는 집에서 조촐하고 은근하게 저녁 식사를 하며 기념일을 축하했어.</t>
        </is>
      </c>
      <c r="H1212" s="5">
        <f>HYPERLINK("https://www.youtube.com/watch?v=RuhL0VkISDM", "영상 보기 ▶")</f>
        <v/>
      </c>
    </row>
    <row r="1213" ht="26" customHeight="1">
      <c r="A1213" s="6" t="n">
        <v>1212</v>
      </c>
      <c r="B1213" s="7" t="inlineStr">
        <is>
          <t>총정리 25탄</t>
        </is>
      </c>
      <c r="C1213" s="7" t="inlineStr">
        <is>
          <t>축소 평가</t>
        </is>
      </c>
      <c r="D1213" s="8" t="inlineStr">
        <is>
          <t>downplay</t>
        </is>
      </c>
      <c r="E1213" s="12" t="inlineStr">
        <is>
          <t>(심각성이나 중요성을) 대수롭지 않게 낮춰 말하다</t>
        </is>
      </c>
      <c r="F1213" s="12" t="inlineStr">
        <is>
          <t>The official tried to downplay the impact of the data breach.</t>
        </is>
      </c>
      <c r="G1213" s="12" t="inlineStr">
        <is>
          <t>담당자는 개인정보 유출 사고의 파장을 대수롭지 않게 축소하려 애썼어.</t>
        </is>
      </c>
      <c r="H1213" s="9">
        <f>HYPERLINK("https://www.youtube.com/watch?v=RuhL0VkISDM", "영상 보기 ▶")</f>
        <v/>
      </c>
    </row>
    <row r="1214" ht="26" customHeight="1">
      <c r="A1214" s="2" t="n">
        <v>1213</v>
      </c>
      <c r="B1214" s="3" t="inlineStr">
        <is>
          <t>총정리 25탄</t>
        </is>
      </c>
      <c r="C1214" s="3" t="inlineStr">
        <is>
          <t>소탈 겸손</t>
        </is>
      </c>
      <c r="D1214" s="4" t="inlineStr">
        <is>
          <t>down to earth</t>
        </is>
      </c>
      <c r="E1214" s="11" t="inlineStr">
        <is>
          <t>가식 없고 소탈한, 현실적인</t>
        </is>
      </c>
      <c r="F1214" s="11" t="inlineStr">
        <is>
          <t>Despite his fame and wealth, he is remarkably down to earth.</t>
        </is>
      </c>
      <c r="G1214" s="11" t="inlineStr">
        <is>
          <t>엄청난 명성과 부에도 불구하고 그는 대단히 소탈하고 겸손해.</t>
        </is>
      </c>
      <c r="H1214" s="5">
        <f>HYPERLINK("https://www.youtube.com/watch?v=RuhL0VkISDM", "영상 보기 ▶")</f>
        <v/>
      </c>
    </row>
    <row r="1215" ht="26" customHeight="1">
      <c r="A1215" s="6" t="n">
        <v>1214</v>
      </c>
      <c r="B1215" s="7" t="inlineStr">
        <is>
          <t>총정리 25탄</t>
        </is>
      </c>
      <c r="C1215" s="7" t="inlineStr">
        <is>
          <t>장점/호재</t>
        </is>
      </c>
      <c r="D1215" s="8" t="inlineStr">
        <is>
          <t>upside</t>
        </is>
      </c>
      <c r="E1215" s="12" t="inlineStr">
        <is>
          <t>장점, 긍정적인 면, 주가 상승 잠재력</t>
        </is>
      </c>
      <c r="F1215" s="12" t="inlineStr">
        <is>
          <t>The investment carries risk, but the potential upside is huge.</t>
        </is>
      </c>
      <c r="G1215" s="12" t="inlineStr">
        <is>
          <t>그 투자는 위험이 따르지만 잠재적인 상승 이익은 엄청납니다.</t>
        </is>
      </c>
      <c r="H1215" s="9">
        <f>HYPERLINK("https://www.youtube.com/watch?v=RuhL0VkISDM", "영상 보기 ▶")</f>
        <v/>
      </c>
    </row>
    <row r="1216" ht="26" customHeight="1">
      <c r="A1216" s="2" t="n">
        <v>1215</v>
      </c>
      <c r="B1216" s="3" t="inlineStr">
        <is>
          <t>총정리 25탄</t>
        </is>
      </c>
      <c r="C1216" s="3" t="inlineStr">
        <is>
          <t>단점/악재</t>
        </is>
      </c>
      <c r="D1216" s="4" t="inlineStr">
        <is>
          <t>downside</t>
        </is>
      </c>
      <c r="E1216" s="11" t="inlineStr">
        <is>
          <t>단점, 부정적인 측면</t>
        </is>
      </c>
      <c r="F1216" s="11" t="inlineStr">
        <is>
          <t>Working remotely is great, but isolation is a clear downside.</t>
        </is>
      </c>
      <c r="G1216" s="11" t="inlineStr">
        <is>
          <t>재택근무는 훌륭하지만 고립감이 든다는 것은 명백한 단점입니다.</t>
        </is>
      </c>
      <c r="H1216" s="5">
        <f>HYPERLINK("https://www.youtube.com/watch?v=RuhL0VkISDM", "영상 보기 ▶")</f>
        <v/>
      </c>
    </row>
    <row r="1217" ht="26" customHeight="1">
      <c r="A1217" s="6" t="n">
        <v>1216</v>
      </c>
      <c r="B1217" s="7" t="inlineStr">
        <is>
          <t>총정리 25탄</t>
        </is>
      </c>
      <c r="C1217" s="7" t="inlineStr">
        <is>
          <t>부작용</t>
        </is>
      </c>
      <c r="D1217" s="8" t="inlineStr">
        <is>
          <t>side effect</t>
        </is>
      </c>
      <c r="E1217" s="12" t="inlineStr">
        <is>
          <t>(약물이나 정책의) 부작용, 파생 효과</t>
        </is>
      </c>
      <c r="F1217" s="12" t="inlineStr">
        <is>
          <t>Rising housing costs are an unintended side effect of growth.</t>
        </is>
      </c>
      <c r="G1217" s="12" t="inlineStr">
        <is>
          <t>치솟는 집값은 급격한 경제 성장이 낳은 의도치 않은 부작용입니다.</t>
        </is>
      </c>
      <c r="H1217" s="9">
        <f>HYPERLINK("https://www.youtube.com/watch?v=RuhL0VkISDM", "영상 보기 ▶")</f>
        <v/>
      </c>
    </row>
    <row r="1218" ht="26" customHeight="1">
      <c r="A1218" s="2" t="n">
        <v>1217</v>
      </c>
      <c r="B1218" s="3" t="inlineStr">
        <is>
          <t>총정리 25탄</t>
        </is>
      </c>
      <c r="C1218" s="3" t="inlineStr">
        <is>
          <t>편들기</t>
        </is>
      </c>
      <c r="D1218" s="4" t="inlineStr">
        <is>
          <t>take sides</t>
        </is>
      </c>
      <c r="E1218" s="11" t="inlineStr">
        <is>
          <t>(갈등에서 어느 한쪽의) 편을 들다</t>
        </is>
      </c>
      <c r="F1218" s="11" t="inlineStr">
        <is>
          <t>As a neutral mediator, I try never to take sides.</t>
        </is>
      </c>
      <c r="G1218" s="11" t="inlineStr">
        <is>
          <t>중립적인 중재자로서 저는 절대 어느 한쪽 편도 들지 않으려 합니다.</t>
        </is>
      </c>
      <c r="H1218" s="5">
        <f>HYPERLINK("https://www.youtube.com/watch?v=RuhL0VkISDM", "영상 보기 ▶")</f>
        <v/>
      </c>
    </row>
    <row r="1219" ht="26" customHeight="1">
      <c r="A1219" s="6" t="n">
        <v>1218</v>
      </c>
      <c r="B1219" s="7" t="inlineStr">
        <is>
          <t>총정리 25탄</t>
        </is>
      </c>
      <c r="C1219" s="7" t="inlineStr">
        <is>
          <t>동조/편들기</t>
        </is>
      </c>
      <c r="D1219" s="8" t="inlineStr">
        <is>
          <t>side with</t>
        </is>
      </c>
      <c r="E1219" s="12" t="inlineStr">
        <is>
          <t>~의 편에 서다, 동조하다</t>
        </is>
      </c>
      <c r="F1219" s="12" t="inlineStr">
        <is>
          <t>The committee ultimately decided to side with the workers.</t>
        </is>
      </c>
      <c r="G1219" s="12" t="inlineStr">
        <is>
          <t>위원회는 고심 끝에 결국 노동자 측의 손을 들어주었습니다.</t>
        </is>
      </c>
      <c r="H1219" s="9">
        <f>HYPERLINK("https://www.youtube.com/watch?v=RuhL0VkISDM", "영상 보기 ▶")</f>
        <v/>
      </c>
    </row>
    <row r="1220" ht="26" customHeight="1">
      <c r="A1220" s="2" t="n">
        <v>1219</v>
      </c>
      <c r="B1220" s="3" t="inlineStr">
        <is>
          <t>총정리 25탄</t>
        </is>
      </c>
      <c r="C1220" s="3" t="inlineStr">
        <is>
          <t>삼천포 빠짐</t>
        </is>
      </c>
      <c r="D1220" s="4" t="inlineStr">
        <is>
          <t>side-track</t>
        </is>
      </c>
      <c r="E1220" s="11" t="inlineStr">
        <is>
          <t>(주제에서 벗어나) 삼천포로 빠지게 하다</t>
        </is>
      </c>
      <c r="F1220" s="11" t="inlineStr">
        <is>
          <t>Let's not get side-tracked by minor formatting arguments.</t>
        </is>
      </c>
      <c r="G1220" s="11" t="inlineStr">
        <is>
          <t>사소한 서식 논쟁 때문에 본론에서 벗어나 삼천포로 빠지지 맙시다.</t>
        </is>
      </c>
      <c r="H1220" s="5">
        <f>HYPERLINK("https://www.youtube.com/watch?v=RuhL0VkISDM", "영상 보기 ▶")</f>
        <v/>
      </c>
    </row>
    <row r="1221" ht="26" customHeight="1">
      <c r="A1221" s="6" t="n">
        <v>1220</v>
      </c>
      <c r="B1221" s="7" t="inlineStr">
        <is>
          <t>총정리 25탄</t>
        </is>
      </c>
      <c r="C1221" s="7" t="inlineStr">
        <is>
          <t>부산물</t>
        </is>
      </c>
      <c r="D1221" s="8" t="inlineStr">
        <is>
          <t>by-product</t>
        </is>
      </c>
      <c r="E1221" s="12" t="inlineStr">
        <is>
          <t>부산물, 뜻하지 않은 파생 결과</t>
        </is>
      </c>
      <c r="F1221" s="12" t="inlineStr">
        <is>
          <t>A close friendship was a wonderful by-product of our teamwork.</t>
        </is>
      </c>
      <c r="G1221" s="12" t="inlineStr">
        <is>
          <t>끈끈한 우정은 우리가 함께 팀워크를 발휘하며 얻은 멋진 부산물이었어.</t>
        </is>
      </c>
      <c r="H1221" s="9">
        <f>HYPERLINK("https://www.youtube.com/watch?v=RuhL0VkISDM", "영상 보기 ▶")</f>
        <v/>
      </c>
    </row>
    <row r="1222" ht="26" customHeight="1">
      <c r="A1222" s="2" t="n">
        <v>1221</v>
      </c>
      <c r="B1222" s="3" t="inlineStr">
        <is>
          <t>총정리 25탄</t>
        </is>
      </c>
      <c r="C1222" s="3" t="inlineStr">
        <is>
          <t>화제 전환</t>
        </is>
      </c>
      <c r="D1222" s="4" t="inlineStr">
        <is>
          <t>by the way</t>
        </is>
      </c>
      <c r="E1222" s="11" t="inlineStr">
        <is>
          <t>그런데, 그나저나 (화제 전환)</t>
        </is>
      </c>
      <c r="F1222" s="11" t="inlineStr">
        <is>
          <t>By the way, did you receive the revised invoice?</t>
        </is>
      </c>
      <c r="G1222" s="11" t="inlineStr">
        <is>
          <t>그나저나 수정된 세금계산서 메일로 잘 받으셨나요?</t>
        </is>
      </c>
      <c r="H1222" s="5">
        <f>HYPERLINK("https://www.youtube.com/watch?v=RuhL0VkISDM", "영상 보기 ▶")</f>
        <v/>
      </c>
    </row>
    <row r="1223" ht="26" customHeight="1">
      <c r="A1223" s="6" t="n">
        <v>1222</v>
      </c>
      <c r="B1223" s="7" t="inlineStr">
        <is>
          <t>총정리 25탄</t>
        </is>
      </c>
      <c r="C1223" s="7" t="inlineStr">
        <is>
          <t>흔쾌한 허락</t>
        </is>
      </c>
      <c r="D1223" s="8" t="inlineStr">
        <is>
          <t>by all means</t>
        </is>
      </c>
      <c r="E1223" s="12" t="inlineStr">
        <is>
          <t>얼마든지요, 물론이죠 (적극적 찬동)</t>
        </is>
      </c>
      <c r="F1223" s="12" t="inlineStr">
        <is>
          <t>May I invite a colleague to the workshop? - By all means!</t>
        </is>
      </c>
      <c r="G1223" s="12" t="inlineStr">
        <is>
          <t>워크숍에 동료를 한 명 초대해도 될까요? - 얼마든지요, 대환영입니다!</t>
        </is>
      </c>
      <c r="H1223" s="9">
        <f>HYPERLINK("https://www.youtube.com/watch?v=RuhL0VkISDM", "영상 보기 ▶")</f>
        <v/>
      </c>
    </row>
    <row r="1224" ht="26" customHeight="1">
      <c r="A1224" s="2" t="n">
        <v>1223</v>
      </c>
      <c r="B1224" s="3" t="inlineStr">
        <is>
          <t>총정리 25탄</t>
        </is>
      </c>
      <c r="C1224" s="3" t="inlineStr">
        <is>
          <t>결코 아님</t>
        </is>
      </c>
      <c r="D1224" s="4" t="inlineStr">
        <is>
          <t>by no means</t>
        </is>
      </c>
      <c r="E1224" s="11" t="inlineStr">
        <is>
          <t>결코 ~가 아니다 (절대 부정)</t>
        </is>
      </c>
      <c r="F1224" s="11" t="inlineStr">
        <is>
          <t>Our victory is by no means guaranteed; stay vigilant.</t>
        </is>
      </c>
      <c r="G1224" s="11" t="inlineStr">
        <is>
          <t>우리의 승리는 결코 보장된 것이 아니니 끝까지 긴장을 늦추지 마세요.</t>
        </is>
      </c>
      <c r="H1224" s="5">
        <f>HYPERLINK("https://www.youtube.com/watch?v=RuhL0VkISDM", "영상 보기 ▶")</f>
        <v/>
      </c>
    </row>
    <row r="1225" ht="26" customHeight="1">
      <c r="A1225" s="6" t="n">
        <v>1224</v>
      </c>
      <c r="B1225" s="7" t="inlineStr">
        <is>
          <t>총정리 25탄</t>
        </is>
      </c>
      <c r="C1225" s="7" t="inlineStr">
        <is>
          <t>단연코</t>
        </is>
      </c>
      <c r="D1225" s="8" t="inlineStr">
        <is>
          <t>by far</t>
        </is>
      </c>
      <c r="E1225" s="12" t="inlineStr">
        <is>
          <t>단연코, 훨씬 (최상급 강조)</t>
        </is>
      </c>
      <c r="F1225" s="12" t="inlineStr">
        <is>
          <t>This is by far the most reliable laptop I have ever owned.</t>
        </is>
      </c>
      <c r="G1225" s="12" t="inlineStr">
        <is>
          <t>이 노트북은 내가 지금까지 써본 것 중 단연코 가장 안정적이야.</t>
        </is>
      </c>
      <c r="H1225" s="9">
        <f>HYPERLINK("https://www.youtube.com/watch?v=RuhL0VkISDM", "영상 보기 ▶")</f>
        <v/>
      </c>
    </row>
    <row r="1226" ht="26" customHeight="1">
      <c r="A1226" s="2" t="n">
        <v>1225</v>
      </c>
      <c r="B1226" s="3" t="inlineStr">
        <is>
          <t>총정리 25탄</t>
        </is>
      </c>
      <c r="C1226" s="3" t="inlineStr">
        <is>
          <t>우연히</t>
        </is>
      </c>
      <c r="D1226" s="4" t="inlineStr">
        <is>
          <t>by chance</t>
        </is>
      </c>
      <c r="E1226" s="11" t="inlineStr">
        <is>
          <t>우연히, 어쩌다가</t>
        </is>
      </c>
      <c r="F1226" s="11" t="inlineStr">
        <is>
          <t>I bumped into our former client by chance at the airport.</t>
        </is>
      </c>
      <c r="G1226" s="11" t="inlineStr">
        <is>
          <t>공항에서 예전 고객사 담당자를 정말 우연히 마주쳤어.</t>
        </is>
      </c>
      <c r="H1226" s="5">
        <f>HYPERLINK("https://www.youtube.com/watch?v=RuhL0VkISDM", "영상 보기 ▶")</f>
        <v/>
      </c>
    </row>
    <row r="1227" ht="26" customHeight="1">
      <c r="A1227" s="6" t="n">
        <v>1226</v>
      </c>
      <c r="B1227" s="7" t="inlineStr">
        <is>
          <t>총정리 25탄</t>
        </is>
      </c>
      <c r="C1227" s="7" t="inlineStr">
        <is>
          <t>현실 수용</t>
        </is>
      </c>
      <c r="D1227" s="8" t="inlineStr">
        <is>
          <t>come to terms with</t>
        </is>
      </c>
      <c r="E1227" s="12" t="inlineStr">
        <is>
          <t>(어려운 현실을) 인정하고 받아들이다</t>
        </is>
      </c>
      <c r="F1227" s="12" t="inlineStr">
        <is>
          <t>He finally came to terms with the reality of market shifts.</t>
        </is>
      </c>
      <c r="G1227" s="12" t="inlineStr">
        <is>
          <t>그는 마침내 시장 변화라는 냉혹한 현실을 인정하고 받아들였습니다.</t>
        </is>
      </c>
      <c r="H1227" s="9">
        <f>HYPERLINK("https://www.youtube.com/watch?v=RuhL0VkISDM", "영상 보기 ▶")</f>
        <v/>
      </c>
    </row>
    <row r="1228" ht="26" customHeight="1">
      <c r="A1228" s="2" t="n">
        <v>1227</v>
      </c>
      <c r="B1228" s="3" t="inlineStr">
        <is>
          <t>총정리 25탄</t>
        </is>
      </c>
      <c r="C1228" s="3" t="inlineStr">
        <is>
          <t>진실 규명</t>
        </is>
      </c>
      <c r="D1228" s="4" t="inlineStr">
        <is>
          <t>come to light</t>
        </is>
      </c>
      <c r="E1228" s="11" t="inlineStr">
        <is>
          <t>(숨겨진 진실이나 비리가) 밝혀지다, 드러나다</t>
        </is>
      </c>
      <c r="F1228" s="11" t="inlineStr">
        <is>
          <t>New evidence came to light during the independent audit.</t>
        </is>
      </c>
      <c r="G1228" s="11" t="inlineStr">
        <is>
          <t>독립 감사 과정에서 새로운 결정적 증거들이 만천하에 드러났습니다.</t>
        </is>
      </c>
      <c r="H1228" s="5">
        <f>HYPERLINK("https://www.youtube.com/watch?v=RuhL0VkISDM", "영상 보기 ▶")</f>
        <v/>
      </c>
    </row>
    <row r="1229" ht="26" customHeight="1">
      <c r="A1229" s="6" t="n">
        <v>1228</v>
      </c>
      <c r="B1229" s="7" t="inlineStr">
        <is>
          <t>총정리 25탄</t>
        </is>
      </c>
      <c r="C1229" s="7" t="inlineStr">
        <is>
          <t>결실 맺음</t>
        </is>
      </c>
      <c r="D1229" s="8" t="inlineStr">
        <is>
          <t>come to fruition</t>
        </is>
      </c>
      <c r="E1229" s="12" t="inlineStr">
        <is>
          <t>(오랜 계획이나 노력이) 결실을 맺다</t>
        </is>
      </c>
      <c r="F1229" s="12" t="inlineStr">
        <is>
          <t>Years of hard research have finally come to fruition.</t>
        </is>
      </c>
      <c r="G1229" s="12" t="inlineStr">
        <is>
          <t>수년간의 끈질긴 연구 노력이 마침내 값진 결실을 맺었습니다.</t>
        </is>
      </c>
      <c r="H1229" s="9">
        <f>HYPERLINK("https://www.youtube.com/watch?v=RuhL0VkISDM", "영상 보기 ▶")</f>
        <v/>
      </c>
    </row>
    <row r="1230" ht="26" customHeight="1">
      <c r="A1230" s="2" t="n">
        <v>1229</v>
      </c>
      <c r="B1230" s="3" t="inlineStr">
        <is>
          <t>총정리 25탄</t>
        </is>
      </c>
      <c r="C1230" s="3" t="inlineStr">
        <is>
          <t>자백/실토</t>
        </is>
      </c>
      <c r="D1230" s="4" t="inlineStr">
        <is>
          <t>come clean</t>
        </is>
      </c>
      <c r="E1230" s="11" t="inlineStr">
        <is>
          <t>(숨기던 잘못을) 솔직히 털어놓다, 자백하다</t>
        </is>
      </c>
      <c r="F1230" s="11" t="inlineStr">
        <is>
          <t>It's best to come clean about the bug before the product launch.</t>
        </is>
      </c>
      <c r="G1230" s="11" t="inlineStr">
        <is>
          <t>제품 출시 전에 버그에 대해 솔직히 털어놓고 고백하는 것이 상책입니다.</t>
        </is>
      </c>
      <c r="H1230" s="5">
        <f>HYPERLINK("https://www.youtube.com/watch?v=RuhL0VkISDM", "영상 보기 ▶")</f>
        <v/>
      </c>
    </row>
    <row r="1231" ht="26" customHeight="1">
      <c r="A1231" s="6" t="n">
        <v>1230</v>
      </c>
      <c r="B1231" s="7" t="inlineStr">
        <is>
          <t>총정리 25탄</t>
        </is>
      </c>
      <c r="C1231" s="7" t="inlineStr">
        <is>
          <t>우연 발견</t>
        </is>
      </c>
      <c r="D1231" s="8" t="inlineStr">
        <is>
          <t>come across</t>
        </is>
      </c>
      <c r="E1231" s="12" t="inlineStr">
        <is>
          <t>우연히 마주치다, 특정한 인상을 주다</t>
        </is>
      </c>
      <c r="F1231" s="12" t="inlineStr">
        <is>
          <t>I came across an insightful case study while browsing.</t>
        </is>
      </c>
      <c r="G1231" s="12" t="inlineStr">
        <is>
          <t>자료를 검색하다가 대단히 통찰력 있는 사례 연구를 우연히 발견했어요.</t>
        </is>
      </c>
      <c r="H1231" s="9">
        <f>HYPERLINK("https://www.youtube.com/watch?v=RuhL0VkISDM", "영상 보기 ▶")</f>
        <v/>
      </c>
    </row>
    <row r="1232" ht="26" customHeight="1">
      <c r="A1232" s="2" t="n">
        <v>1231</v>
      </c>
      <c r="B1232" s="3" t="inlineStr">
        <is>
          <t>총정리 25탄</t>
        </is>
      </c>
      <c r="C1232" s="3" t="inlineStr">
        <is>
          <t>작용/영향</t>
        </is>
      </c>
      <c r="D1232" s="4" t="inlineStr">
        <is>
          <t>come into play</t>
        </is>
      </c>
      <c r="E1232" s="11" t="inlineStr">
        <is>
          <t>(요인이) 작용하기 시작하다, 영향을 미치다</t>
        </is>
      </c>
      <c r="F1232" s="11" t="inlineStr">
        <is>
          <t>Emotional intelligence comes into play during high-pressure crises.</t>
        </is>
      </c>
      <c r="G1232" s="11" t="inlineStr">
        <is>
          <t>극심한 압박의 위기 상황에서는 감성 지능이 결정적으로 작용합니다.</t>
        </is>
      </c>
      <c r="H1232" s="5">
        <f>HYPERLINK("https://www.youtube.com/watch?v=RuhL0VkISDM", "영상 보기 ▶")</f>
        <v/>
      </c>
    </row>
    <row r="1233" ht="26" customHeight="1">
      <c r="A1233" s="6" t="n">
        <v>1232</v>
      </c>
      <c r="B1233" s="7" t="inlineStr">
        <is>
          <t>총정리 25탄</t>
        </is>
      </c>
      <c r="C1233" s="7" t="inlineStr">
        <is>
          <t>축소 경시</t>
        </is>
      </c>
      <c r="D1233" s="8" t="inlineStr">
        <is>
          <t>play down</t>
        </is>
      </c>
      <c r="E1233" s="12" t="inlineStr">
        <is>
          <t>대수롭지 않게 깎아내리다, 축소하다</t>
        </is>
      </c>
      <c r="F1233" s="12" t="inlineStr">
        <is>
          <t>They attempted to play down the severity of the loss.</t>
        </is>
      </c>
      <c r="G1233" s="12" t="inlineStr">
        <is>
          <t>그들은 손실의 심각성을 대수롭지 않게 축소하려 시도했습니다.</t>
        </is>
      </c>
      <c r="H1233" s="9">
        <f>HYPERLINK("https://www.youtube.com/watch?v=RuhL0VkISDM", "영상 보기 ▶")</f>
        <v/>
      </c>
    </row>
    <row r="1234" ht="26" customHeight="1">
      <c r="A1234" s="2" t="n">
        <v>1233</v>
      </c>
      <c r="B1234" s="3" t="inlineStr">
        <is>
          <t>총정리 25탄</t>
        </is>
      </c>
      <c r="C1234" s="3" t="inlineStr">
        <is>
          <t>장단 맞추기</t>
        </is>
      </c>
      <c r="D1234" s="4" t="inlineStr">
        <is>
          <t>play along</t>
        </is>
      </c>
      <c r="E1234" s="11" t="inlineStr">
        <is>
          <t>(상황을 부드럽게 하려) 장단을 맞춰주다</t>
        </is>
      </c>
      <c r="F1234" s="11" t="inlineStr">
        <is>
          <t>I didn't agree, but I played along to avoid creating a scene.</t>
        </is>
      </c>
      <c r="G1234" s="11" t="inlineStr">
        <is>
          <t>동의하진 않았지만 소란을 피우고 싶지 않아 일단 장단을 맞춰주었어.</t>
        </is>
      </c>
      <c r="H1234" s="5">
        <f>HYPERLINK("https://www.youtube.com/watch?v=RuhL0VkISDM", "영상 보기 ▶")</f>
        <v/>
      </c>
    </row>
    <row r="1235" ht="26" customHeight="1">
      <c r="A1235" s="6" t="n">
        <v>1234</v>
      </c>
      <c r="B1235" s="7" t="inlineStr">
        <is>
          <t>총정리 25탄</t>
        </is>
      </c>
      <c r="C1235" s="7" t="inlineStr">
        <is>
          <t>안전제일</t>
        </is>
      </c>
      <c r="D1235" s="8" t="inlineStr">
        <is>
          <t>play it safe</t>
        </is>
      </c>
      <c r="E1235" s="12" t="inlineStr">
        <is>
          <t>위험을 피하고 안전하게 가다, 무리하지 않다</t>
        </is>
      </c>
      <c r="F1235" s="12" t="inlineStr">
        <is>
          <t>Given the market volatility, let's play it safe this quarter.</t>
        </is>
      </c>
      <c r="G1235" s="12" t="inlineStr">
        <is>
          <t>시장 변동성을 감안하여 이번 분기에는 무리하지 말고 안전하게 갑시다.</t>
        </is>
      </c>
      <c r="H1235" s="9">
        <f>HYPERLINK("https://www.youtube.com/watch?v=RuhL0VkISDM", "영상 보기 ▶")</f>
        <v/>
      </c>
    </row>
    <row r="1236" ht="26" customHeight="1">
      <c r="A1236" s="2" t="n">
        <v>1235</v>
      </c>
      <c r="B1236" s="3" t="inlineStr">
        <is>
          <t>총정리 25탄</t>
        </is>
      </c>
      <c r="C1236" s="3" t="inlineStr">
        <is>
          <t>원칙 준수</t>
        </is>
      </c>
      <c r="D1236" s="4" t="inlineStr">
        <is>
          <t>play by the rules</t>
        </is>
      </c>
      <c r="E1236" s="11" t="inlineStr">
        <is>
          <t>정정당당하게 규칙을 준수하다</t>
        </is>
      </c>
      <c r="F1236" s="11" t="inlineStr">
        <is>
          <t>We win clients fairly because we always play by the rules.</t>
        </is>
      </c>
      <c r="G1236" s="11" t="inlineStr">
        <is>
          <t>우리는 언제나 원칙과 규칙을 철저히 준수하기에 떳떳하게 수주합니다.</t>
        </is>
      </c>
      <c r="H1236" s="5">
        <f>HYPERLINK("https://www.youtube.com/watch?v=RuhL0VkISDM", "영상 보기 ▶")</f>
        <v/>
      </c>
    </row>
    <row r="1237" ht="26" customHeight="1">
      <c r="A1237" s="6" t="n">
        <v>1236</v>
      </c>
      <c r="B1237" s="7" t="inlineStr">
        <is>
          <t>총정리 25탄</t>
        </is>
      </c>
      <c r="C1237" s="7" t="inlineStr">
        <is>
          <t>배제/제외</t>
        </is>
      </c>
      <c r="D1237" s="8" t="inlineStr">
        <is>
          <t>rule out</t>
        </is>
      </c>
      <c r="E1237" s="12" t="inlineStr">
        <is>
          <t>(가능성을) 배제하다, 제외하다</t>
        </is>
      </c>
      <c r="F1237" s="12" t="inlineStr">
        <is>
          <t>We cannot rule out the possibility of further price increases.</t>
        </is>
      </c>
      <c r="G1237" s="12" t="inlineStr">
        <is>
          <t>추가적인 가격 인상 가능성을 결코 완전히 배제할 수는 없습니다.</t>
        </is>
      </c>
      <c r="H1237" s="9">
        <f>HYPERLINK("https://www.youtube.com/watch?v=RuhL0VkISDM", "영상 보기 ▶")</f>
        <v/>
      </c>
    </row>
    <row r="1238" ht="26" customHeight="1">
      <c r="A1238" s="2" t="n">
        <v>1237</v>
      </c>
      <c r="B1238" s="3" t="inlineStr">
        <is>
          <t>총정리 25탄</t>
        </is>
      </c>
      <c r="C1238" s="3" t="inlineStr">
        <is>
          <t>일반 원칙</t>
        </is>
      </c>
      <c r="D1238" s="4" t="inlineStr">
        <is>
          <t>as a rule</t>
        </is>
      </c>
      <c r="E1238" s="11" t="inlineStr">
        <is>
          <t>대체로, 통상적으로, 원칙적으로</t>
        </is>
      </c>
      <c r="F1238" s="11" t="inlineStr">
        <is>
          <t>As a rule, we respond to all inquiries within 24 hours.</t>
        </is>
      </c>
      <c r="G1238" s="11" t="inlineStr">
        <is>
          <t>원칙적으로 저희는 24시간 이내에 모든 고객 문의에 회신합니다.</t>
        </is>
      </c>
      <c r="H1238" s="5">
        <f>HYPERLINK("https://www.youtube.com/watch?v=RuhL0VkISDM", "영상 보기 ▶")</f>
        <v/>
      </c>
    </row>
    <row r="1239" ht="26" customHeight="1">
      <c r="A1239" s="6" t="n">
        <v>1238</v>
      </c>
      <c r="B1239" s="7" t="inlineStr">
        <is>
          <t>총정리 25탄</t>
        </is>
      </c>
      <c r="C1239" s="7" t="inlineStr">
        <is>
          <t>황금률</t>
        </is>
      </c>
      <c r="D1239" s="8" t="inlineStr">
        <is>
          <t>golden rule</t>
        </is>
      </c>
      <c r="E1239" s="12" t="inlineStr">
        <is>
          <t>가장 중요한 절대 황금률/제1원칙</t>
        </is>
      </c>
      <c r="F1239" s="12" t="inlineStr">
        <is>
          <t>Treating clients with empathy is our agency's golden rule.</t>
        </is>
      </c>
      <c r="G1239" s="12" t="inlineStr">
        <is>
          <t>고객을 진심 어린 공감으로 대하는 것이 우리 에이전시의 제1 황금률입니다.</t>
        </is>
      </c>
      <c r="H1239" s="9">
        <f>HYPERLINK("https://www.youtube.com/watch?v=RuhL0VkISDM", "영상 보기 ▶")</f>
        <v/>
      </c>
    </row>
    <row r="1240" ht="26" customHeight="1">
      <c r="A1240" s="2" t="n">
        <v>1239</v>
      </c>
      <c r="B1240" s="3" t="inlineStr">
        <is>
          <t>총정리 25탄</t>
        </is>
      </c>
      <c r="C1240" s="3" t="inlineStr">
        <is>
          <t>융통성</t>
        </is>
      </c>
      <c r="D1240" s="4" t="inlineStr">
        <is>
          <t>bend the rules</t>
        </is>
      </c>
      <c r="E1240" s="11" t="inlineStr">
        <is>
          <t>(상황에 맞게) 규칙을 살짝 융통성 있게 적용하다</t>
        </is>
      </c>
      <c r="F1240" s="11" t="inlineStr">
        <is>
          <t>Can you bend the rules just this once for an emergency?</t>
        </is>
      </c>
      <c r="G1240" s="11" t="inlineStr">
        <is>
          <t>응급 상황이니 이번 딱 한 번만 규칙을 융통성 있게 봐주실 수 있나요?</t>
        </is>
      </c>
      <c r="H1240" s="5">
        <f>HYPERLINK("https://www.youtube.com/watch?v=RuhL0VkISDM", "영상 보기 ▶")</f>
        <v/>
      </c>
    </row>
    <row r="1241" ht="26" customHeight="1">
      <c r="A1241" s="6" t="n">
        <v>1240</v>
      </c>
      <c r="B1241" s="7" t="inlineStr">
        <is>
          <t>총정리 25탄</t>
        </is>
      </c>
      <c r="C1241" s="7" t="inlineStr">
        <is>
          <t>불문율</t>
        </is>
      </c>
      <c r="D1241" s="8" t="inlineStr">
        <is>
          <t>unwritten rule</t>
        </is>
      </c>
      <c r="E1241" s="12" t="inlineStr">
        <is>
          <t>명문화되지 않은 암묵적인 룰, 불문율</t>
        </is>
      </c>
      <c r="F1241" s="12" t="inlineStr">
        <is>
          <t>Leaving clean meeting rooms is an unwritten rule here.</t>
        </is>
      </c>
      <c r="G1241" s="12" t="inlineStr">
        <is>
          <t>회의 후 회의실을 깔끔히 치워두는 것은 이곳의 암묵적인 불문율입니다.</t>
        </is>
      </c>
      <c r="H1241" s="9">
        <f>HYPERLINK("https://www.youtube.com/watch?v=RuhL0VkISDM", "영상 보기 ▶")</f>
        <v/>
      </c>
    </row>
    <row r="1242" ht="26" customHeight="1">
      <c r="A1242" s="2" t="n">
        <v>1241</v>
      </c>
      <c r="B1242" s="3" t="inlineStr">
        <is>
          <t>총정리 25탄</t>
        </is>
      </c>
      <c r="C1242" s="3" t="inlineStr">
        <is>
          <t>어색함 깨기</t>
        </is>
      </c>
      <c r="D1242" s="4" t="inlineStr">
        <is>
          <t>break the ice</t>
        </is>
      </c>
      <c r="E1242" s="11" t="inlineStr">
        <is>
          <t>(서먹서먹한) 어색한 분위기를 깨다</t>
        </is>
      </c>
      <c r="F1242" s="11" t="inlineStr">
        <is>
          <t>A quick funny quiz helped break the ice at the workshop.</t>
        </is>
      </c>
      <c r="G1242" s="11" t="inlineStr">
        <is>
          <t>간단한 넌센스 퀴즈가 워크숍의 서먹서먹한 어색한 분위기를 깨주었어.</t>
        </is>
      </c>
      <c r="H1242" s="5">
        <f>HYPERLINK("https://www.youtube.com/watch?v=RuhL0VkISDM", "영상 보기 ▶")</f>
        <v/>
      </c>
    </row>
    <row r="1243" ht="26" customHeight="1">
      <c r="A1243" s="6" t="n">
        <v>1242</v>
      </c>
      <c r="B1243" s="7" t="inlineStr">
        <is>
          <t>총정리 25탄</t>
        </is>
      </c>
      <c r="C1243" s="7" t="inlineStr">
        <is>
          <t>아이스브레이커</t>
        </is>
      </c>
      <c r="D1243" s="8" t="inlineStr">
        <is>
          <t>icebreaker</t>
        </is>
      </c>
      <c r="E1243" s="12" t="inlineStr">
        <is>
          <t>서먹함을 풀어주는 가벼운 대화나 게임</t>
        </is>
      </c>
      <c r="F1243" s="12" t="inlineStr">
        <is>
          <t>Let's begin with a light icebreaker before presentations.</t>
        </is>
      </c>
      <c r="G1243" s="12" t="inlineStr">
        <is>
          <t>발표에 앞서 가벼운 아이스브레이킹 대화로 서먹함을 풀어봅시다.</t>
        </is>
      </c>
      <c r="H1243" s="9">
        <f>HYPERLINK("https://www.youtube.com/watch?v=RuhL0VkISDM", "영상 보기 ▶")</f>
        <v/>
      </c>
    </row>
    <row r="1244" ht="26" customHeight="1">
      <c r="A1244" s="2" t="n">
        <v>1243</v>
      </c>
      <c r="B1244" s="3" t="inlineStr">
        <is>
          <t>총정리 25탄</t>
        </is>
      </c>
      <c r="C1244" s="3" t="inlineStr">
        <is>
          <t>살얼음판</t>
        </is>
      </c>
      <c r="D1244" s="4" t="inlineStr">
        <is>
          <t>skate on thin ice</t>
        </is>
      </c>
      <c r="E1244" s="11" t="inlineStr">
        <is>
          <t>위태위태한 살얼음판을 걷다, 위험을 무릅쓰다</t>
        </is>
      </c>
      <c r="F1244" s="11" t="inlineStr">
        <is>
          <t>Showing up late repeatedly means you're skating on thin ice.</t>
        </is>
      </c>
      <c r="G1244" s="11" t="inlineStr">
        <is>
          <t>계속해서 지각하는 건 인사고과 상 살얼음판을 걷고 있는 짓이야.</t>
        </is>
      </c>
      <c r="H1244" s="5">
        <f>HYPERLINK("https://www.youtube.com/watch?v=RuhL0VkISDM", "영상 보기 ▶")</f>
        <v/>
      </c>
    </row>
    <row r="1245" ht="26" customHeight="1">
      <c r="A1245" s="6" t="n">
        <v>1244</v>
      </c>
      <c r="B1245" s="7" t="inlineStr">
        <is>
          <t>총정리 25탄</t>
        </is>
      </c>
      <c r="C1245" s="7" t="inlineStr">
        <is>
          <t>막판 망설임</t>
        </is>
      </c>
      <c r="D1245" s="8" t="inlineStr">
        <is>
          <t>cold feet</t>
        </is>
      </c>
      <c r="E1245" s="12" t="inlineStr">
        <is>
          <t>(결혼이나 계약 직전) 두려움으로 망설이다</t>
        </is>
      </c>
      <c r="F1245" s="12" t="inlineStr">
        <is>
          <t>He got cold feet right before signing the mortgage papers.</t>
        </is>
      </c>
      <c r="G1245" s="12" t="inlineStr">
        <is>
          <t>그는 주택담보대출 서류에 서명하기 직전에 두려움이 엄습해 망설였어.</t>
        </is>
      </c>
      <c r="H1245" s="9">
        <f>HYPERLINK("https://www.youtube.com/watch?v=RuhL0VkISDM", "영상 보기 ▶")</f>
        <v/>
      </c>
    </row>
    <row r="1246" ht="26" customHeight="1">
      <c r="A1246" s="2" t="n">
        <v>1245</v>
      </c>
      <c r="B1246" s="3" t="inlineStr">
        <is>
          <t>총정리 25탄</t>
        </is>
      </c>
      <c r="C1246" s="3" t="inlineStr">
        <is>
          <t>냉대/문전박대</t>
        </is>
      </c>
      <c r="D1246" s="4" t="inlineStr">
        <is>
          <t>cold shoulder</t>
        </is>
      </c>
      <c r="E1246" s="11" t="inlineStr">
        <is>
          <t>쌀쌀맞은 냉대, 무시 (give the cold shoulder)</t>
        </is>
      </c>
      <c r="F1246" s="11" t="inlineStr">
        <is>
          <t>She gave him the cold shoulder after their bitter argument.</t>
        </is>
      </c>
      <c r="G1246" s="11" t="inlineStr">
        <is>
          <t>격한 말다툼을 벌인 뒤 그녀는 그를 아주 쌀쌀맞게 냉대했어.</t>
        </is>
      </c>
      <c r="H1246" s="5">
        <f>HYPERLINK("https://www.youtube.com/watch?v=RuhL0VkISDM", "영상 보기 ▶")</f>
        <v/>
      </c>
    </row>
    <row r="1247" ht="26" customHeight="1">
      <c r="A1247" s="6" t="n">
        <v>1246</v>
      </c>
      <c r="B1247" s="7" t="inlineStr">
        <is>
          <t>총정리 25탄</t>
        </is>
      </c>
      <c r="C1247" s="7" t="inlineStr">
        <is>
          <t>냉혹/무자비</t>
        </is>
      </c>
      <c r="D1247" s="8" t="inlineStr">
        <is>
          <t>in cold blood</t>
        </is>
      </c>
      <c r="E1247" s="12" t="inlineStr">
        <is>
          <t>피도 눈물도 없이, 냉혹하고 무자비하게</t>
        </is>
      </c>
      <c r="F1247" s="12" t="inlineStr">
        <is>
          <t>The hostile takeover was planned in ruthless, cold blood.</t>
        </is>
      </c>
      <c r="G1247" s="12" t="inlineStr">
        <is>
          <t>그 적대적 인수합병은 피도 눈물도 없는 냉혹한 치밀함 속에 기획되었습니다.</t>
        </is>
      </c>
      <c r="H1247" s="9">
        <f>HYPERLINK("https://www.youtube.com/watch?v=RuhL0VkISDM", "영상 보기 ▶")</f>
        <v/>
      </c>
    </row>
    <row r="1248" ht="26" customHeight="1">
      <c r="A1248" s="2" t="n">
        <v>1247</v>
      </c>
      <c r="B1248" s="3" t="inlineStr">
        <is>
          <t>총정리 25탄</t>
        </is>
      </c>
      <c r="C1248" s="3" t="inlineStr">
        <is>
          <t>마음 열림</t>
        </is>
      </c>
      <c r="D1248" s="4" t="inlineStr">
        <is>
          <t>warm up to</t>
        </is>
      </c>
      <c r="E1248" s="11" t="inlineStr">
        <is>
          <t>(서먹하던 사람이나 아이디어에) 마음을 열다, 호감을 갖다</t>
        </is>
      </c>
      <c r="F1248" s="11" t="inlineStr">
        <is>
          <t>The team was hesitant initially, but warmed up to the idea.</t>
        </is>
      </c>
      <c r="G1248" s="11" t="inlineStr">
        <is>
          <t>팀원들은 처음엔 주저했지만 점차 그 아이디어에 호감을 갖고 마음을 열었어.</t>
        </is>
      </c>
      <c r="H1248" s="5">
        <f>HYPERLINK("https://www.youtube.com/watch?v=RuhL0VkISDM", "영상 보기 ▶")</f>
        <v/>
      </c>
    </row>
    <row r="1249" ht="26" customHeight="1">
      <c r="A1249" s="6" t="n">
        <v>1248</v>
      </c>
      <c r="B1249" s="7" t="inlineStr">
        <is>
          <t>총정리 25탄</t>
        </is>
      </c>
      <c r="C1249" s="7" t="inlineStr">
        <is>
          <t>곤경/위기</t>
        </is>
      </c>
      <c r="D1249" s="8" t="inlineStr">
        <is>
          <t>in hot water</t>
        </is>
      </c>
      <c r="E1249" s="12" t="inlineStr">
        <is>
          <t>심각한 곤경에 처한, 징계를 받을 위기인</t>
        </is>
      </c>
      <c r="F1249" s="12" t="inlineStr">
        <is>
          <t>The CFO is in hot water over the undisclosed tax error.</t>
        </is>
      </c>
      <c r="G1249" s="12" t="inlineStr">
        <is>
          <t>재무이사는 누락된 세금 오류 건으로 인해 심각한 징계 위기에 처했습니다.</t>
        </is>
      </c>
      <c r="H1249" s="9">
        <f>HYPERLINK("https://www.youtube.com/watch?v=RuhL0VkISDM", "영상 보기 ▶")</f>
        <v/>
      </c>
    </row>
    <row r="1250" ht="26" customHeight="1">
      <c r="A1250" s="2" t="n">
        <v>1249</v>
      </c>
      <c r="B1250" s="3" t="inlineStr">
        <is>
          <t>총정리 25탄</t>
        </is>
      </c>
      <c r="C1250" s="3" t="inlineStr">
        <is>
          <t>뜨거운 감자</t>
        </is>
      </c>
      <c r="D1250" s="4" t="inlineStr">
        <is>
          <t>hot potato</t>
        </is>
      </c>
      <c r="E1250" s="11" t="inlineStr">
        <is>
          <t>다루기 껄끄러워 서로 떠넘기는 뜨거운 감자</t>
        </is>
      </c>
      <c r="F1250" s="11" t="inlineStr">
        <is>
          <t>Office seating policy became a political hot potato.</t>
        </is>
      </c>
      <c r="G1250" s="11" t="inlineStr">
        <is>
          <t>자율 좌석제 정책은 사내에서 아무도 손대기 싫어하는 뜨거운 감자가 되었어.</t>
        </is>
      </c>
      <c r="H1250" s="5">
        <f>HYPERLINK("https://www.youtube.com/watch?v=RuhL0VkISDM", "영상 보기 ▶")</f>
        <v/>
      </c>
    </row>
    <row r="1251" ht="26" customHeight="1">
      <c r="A1251" s="6" t="n">
        <v>1250</v>
      </c>
      <c r="B1251" s="7" t="inlineStr">
        <is>
          <t>총정리 25탄</t>
        </is>
      </c>
      <c r="C1251" s="7" t="inlineStr">
        <is>
          <t>기회 포착</t>
        </is>
      </c>
      <c r="D1251" s="8" t="inlineStr">
        <is>
          <t>strike while the iron is hot</t>
        </is>
      </c>
      <c r="E1251" s="12" t="inlineStr">
        <is>
          <t>쇠뿔도 단김에 빼라, 기회가 왔을 때 즉시 잡아라</t>
        </is>
      </c>
      <c r="F1251" s="12" t="inlineStr">
        <is>
          <t>Client interest is peak; let's strike while the iron is hot!</t>
        </is>
      </c>
      <c r="G1251" s="12" t="inlineStr">
        <is>
          <t>고객사의 관심이 최고조에 달했으니, 쇠뿔도 단김에 빼듯 지금 바로 계약을 밀어붙입시다!</t>
        </is>
      </c>
      <c r="H1251" s="9">
        <f>HYPERLINK("https://www.youtube.com/watch?v=RuhL0VkISDM", "영상 보기 ▶")</f>
        <v/>
      </c>
    </row>
    <row r="1252" ht="26" customHeight="1">
      <c r="A1252" s="2" t="n">
        <v>1251</v>
      </c>
      <c r="B1252" s="3" t="inlineStr">
        <is>
          <t>총정리 26탄</t>
        </is>
      </c>
      <c r="C1252" s="3" t="inlineStr">
        <is>
          <t>실전회화/표현</t>
        </is>
      </c>
      <c r="D1252" s="4" t="inlineStr">
        <is>
          <t>managed to</t>
        </is>
      </c>
      <c r="E1252" s="11" t="inlineStr">
        <is>
          <t>간신히, 가까스로 ~하다</t>
        </is>
      </c>
      <c r="F1252" s="11" t="inlineStr">
        <is>
          <t>We managed to finish the project on time.</t>
        </is>
      </c>
      <c r="G1252" s="11" t="inlineStr">
        <is>
          <t>쉽지 않았지만 프로젝트를 제시간에 끝냈어.</t>
        </is>
      </c>
      <c r="H1252" s="5">
        <f>HYPERLINK("https://www.youtube.com/watch?v=GRXUIzkV_HA", "영상 보기 ▶")</f>
        <v/>
      </c>
    </row>
    <row r="1253" ht="26" customHeight="1">
      <c r="A1253" s="6" t="n">
        <v>1252</v>
      </c>
      <c r="B1253" s="7" t="inlineStr">
        <is>
          <t>총정리 26탄</t>
        </is>
      </c>
      <c r="C1253" s="7" t="inlineStr">
        <is>
          <t>공감/감정</t>
        </is>
      </c>
      <c r="D1253" s="8" t="inlineStr">
        <is>
          <t>justify</t>
        </is>
      </c>
      <c r="E1253" s="12" t="inlineStr">
        <is>
          <t>정당화, 합리화하다</t>
        </is>
      </c>
      <c r="F1253" s="12" t="inlineStr">
        <is>
          <t>I can't justify the cost.</t>
        </is>
      </c>
      <c r="G1253" s="12" t="inlineStr">
        <is>
          <t>아무리 생각해도 비용이 말이 안되는 듯.</t>
        </is>
      </c>
      <c r="H1253" s="9">
        <f>HYPERLINK("https://www.youtube.com/watch?v=GRXUIzkV_HA", "영상 보기 ▶")</f>
        <v/>
      </c>
    </row>
    <row r="1254" ht="26" customHeight="1">
      <c r="A1254" s="2" t="n">
        <v>1253</v>
      </c>
      <c r="B1254" s="3" t="inlineStr">
        <is>
          <t>총정리 26탄</t>
        </is>
      </c>
      <c r="C1254" s="3" t="inlineStr">
        <is>
          <t>실전회화/표현</t>
        </is>
      </c>
      <c r="D1254" s="4" t="inlineStr">
        <is>
          <t>What's new?</t>
        </is>
      </c>
      <c r="E1254" s="11" t="inlineStr">
        <is>
          <t>별 일 없어?</t>
        </is>
      </c>
      <c r="F1254" s="11" t="inlineStr">
        <is>
          <t>A: What's new?</t>
        </is>
      </c>
      <c r="G1254" s="11" t="inlineStr">
        <is>
          <t>별 일 없어?</t>
        </is>
      </c>
      <c r="H1254" s="5">
        <f>HYPERLINK("https://www.youtube.com/watch?v=GRXUIzkV_HA", "영상 보기 ▶")</f>
        <v/>
      </c>
    </row>
    <row r="1255" ht="26" customHeight="1">
      <c r="A1255" s="6" t="n">
        <v>1254</v>
      </c>
      <c r="B1255" s="7" t="inlineStr">
        <is>
          <t>총정리 26탄</t>
        </is>
      </c>
      <c r="C1255" s="7" t="inlineStr">
        <is>
          <t>실전회화/표현</t>
        </is>
      </c>
      <c r="D1255" s="8" t="inlineStr">
        <is>
          <t>count</t>
        </is>
      </c>
      <c r="E1255" s="12" t="inlineStr">
        <is>
          <t>인정되다, 인정하다</t>
        </is>
      </c>
      <c r="F1255" s="12" t="inlineStr">
        <is>
          <t>You have to apologize in person. Texting 'I'm sorry' doesn't count.</t>
        </is>
      </c>
      <c r="G1255" s="12" t="inlineStr">
        <is>
          <t>직접 만나서 사과를 해야지. 그냥 문자로 사과하는 건 사과가 아니야.</t>
        </is>
      </c>
      <c r="H1255" s="9">
        <f>HYPERLINK("https://www.youtube.com/watch?v=GRXUIzkV_HA", "영상 보기 ▶")</f>
        <v/>
      </c>
    </row>
    <row r="1256" ht="26" customHeight="1">
      <c r="A1256" s="2" t="n">
        <v>1255</v>
      </c>
      <c r="B1256" s="3" t="inlineStr">
        <is>
          <t>총정리 26탄</t>
        </is>
      </c>
      <c r="C1256" s="3" t="inlineStr">
        <is>
          <t>실전회화/표현</t>
        </is>
      </c>
      <c r="D1256" s="4" t="inlineStr">
        <is>
          <t>count (as) ~</t>
        </is>
      </c>
      <c r="E1256" s="11" t="inlineStr">
        <is>
          <t>라고 간주하다, 여기다</t>
        </is>
      </c>
      <c r="F1256" s="11" t="inlineStr">
        <is>
          <t>I count myself lucky.</t>
        </is>
      </c>
      <c r="G1256" s="11" t="inlineStr">
        <is>
          <t>전 제가 운이 좋다고 생각해요.</t>
        </is>
      </c>
      <c r="H1256" s="5">
        <f>HYPERLINK("https://www.youtube.com/watch?v=GRXUIzkV_HA", "영상 보기 ▶")</f>
        <v/>
      </c>
    </row>
    <row r="1257" ht="26" customHeight="1">
      <c r="A1257" s="6" t="n">
        <v>1256</v>
      </c>
      <c r="B1257" s="7" t="inlineStr">
        <is>
          <t>총정리 26탄</t>
        </is>
      </c>
      <c r="C1257" s="7" t="inlineStr">
        <is>
          <t>실전회화/표현</t>
        </is>
      </c>
      <c r="D1257" s="8" t="inlineStr">
        <is>
          <t>count</t>
        </is>
      </c>
      <c r="E1257" s="12" t="inlineStr">
        <is>
          <t>중요하다</t>
        </is>
      </c>
      <c r="F1257" s="12" t="inlineStr">
        <is>
          <t>Every second counts.</t>
        </is>
      </c>
      <c r="G1257" s="12" t="inlineStr">
        <is>
          <t>일분 일초가 소중해.</t>
        </is>
      </c>
      <c r="H1257" s="9">
        <f>HYPERLINK("https://www.youtube.com/watch?v=GRXUIzkV_HA", "영상 보기 ▶")</f>
        <v/>
      </c>
    </row>
    <row r="1258" ht="26" customHeight="1">
      <c r="A1258" s="2" t="n">
        <v>1257</v>
      </c>
      <c r="B1258" s="3" t="inlineStr">
        <is>
          <t>총정리 26탄</t>
        </is>
      </c>
      <c r="C1258" s="3" t="inlineStr">
        <is>
          <t>공감/감정</t>
        </is>
      </c>
      <c r="D1258" s="4" t="inlineStr">
        <is>
          <t>enlighten</t>
        </is>
      </c>
      <c r="E1258" s="11" t="inlineStr">
        <is>
          <t>이해시키다, 일깨워주다</t>
        </is>
      </c>
      <c r="F1258" s="11" t="inlineStr">
        <is>
          <t>I'm not familiar with the concept. Could you enlighten me?</t>
        </is>
      </c>
      <c r="G1258" s="11" t="inlineStr">
        <is>
          <t>개념이 익숙치가 않아서 그런데, 정확히 어떤건지 알려주시겠어요?</t>
        </is>
      </c>
      <c r="H1258" s="5">
        <f>HYPERLINK("https://www.youtube.com/watch?v=GRXUIzkV_HA", "영상 보기 ▶")</f>
        <v/>
      </c>
    </row>
    <row r="1259" ht="26" customHeight="1">
      <c r="A1259" s="6" t="n">
        <v>1258</v>
      </c>
      <c r="B1259" s="7" t="inlineStr">
        <is>
          <t>총정리 26탄</t>
        </is>
      </c>
      <c r="C1259" s="7" t="inlineStr">
        <is>
          <t>실전회화/표현</t>
        </is>
      </c>
      <c r="D1259" s="8" t="inlineStr">
        <is>
          <t>enlightening</t>
        </is>
      </c>
      <c r="E1259" s="12" t="inlineStr">
        <is>
          <t>큰 깨우침을 주는, 아주 도움이 되는</t>
        </is>
      </c>
      <c r="F1259" s="12" t="inlineStr">
        <is>
          <t>A: How was the seminar?</t>
        </is>
      </c>
      <c r="G1259" s="12" t="inlineStr">
        <is>
          <t>세미나는 어땠어?</t>
        </is>
      </c>
      <c r="H1259" s="9">
        <f>HYPERLINK("https://www.youtube.com/watch?v=GRXUIzkV_HA", "영상 보기 ▶")</f>
        <v/>
      </c>
    </row>
    <row r="1260" ht="26" customHeight="1">
      <c r="A1260" s="2" t="n">
        <v>1259</v>
      </c>
      <c r="B1260" s="3" t="inlineStr">
        <is>
          <t>총정리 26탄</t>
        </is>
      </c>
      <c r="C1260" s="3" t="inlineStr">
        <is>
          <t>실전회화/표현</t>
        </is>
      </c>
      <c r="D1260" s="4" t="inlineStr">
        <is>
          <t>get a hold of</t>
        </is>
      </c>
      <c r="E1260" s="11" t="inlineStr">
        <is>
          <t>연락이 닿다</t>
        </is>
      </c>
      <c r="F1260" s="11" t="inlineStr">
        <is>
          <t>Did you get a hold of Sarah?</t>
        </is>
      </c>
      <c r="G1260" s="11" t="inlineStr">
        <is>
          <t>Sarah와 연락 됐어?</t>
        </is>
      </c>
      <c r="H1260" s="5">
        <f>HYPERLINK("https://www.youtube.com/watch?v=GRXUIzkV_HA", "영상 보기 ▶")</f>
        <v/>
      </c>
    </row>
    <row r="1261" ht="26" customHeight="1">
      <c r="A1261" s="6" t="n">
        <v>1260</v>
      </c>
      <c r="B1261" s="7" t="inlineStr">
        <is>
          <t>총정리 26탄</t>
        </is>
      </c>
      <c r="C1261" s="7" t="inlineStr">
        <is>
          <t>실전회화/표현</t>
        </is>
      </c>
      <c r="D1261" s="8" t="inlineStr">
        <is>
          <t>rave about</t>
        </is>
      </c>
      <c r="E1261" s="12" t="inlineStr">
        <is>
          <t>극찬하다, 열변을 토하다</t>
        </is>
      </c>
      <c r="F1261" s="12" t="inlineStr">
        <is>
          <t>We should go there for dinner. Everyone at the office has been raving about it.</t>
        </is>
      </c>
      <c r="G1261" s="12" t="inlineStr">
        <is>
          <t>거기 저녁먹으러 가자. 다들 거기 엄청 맛있다고 난리더라구.</t>
        </is>
      </c>
      <c r="H1261" s="9">
        <f>HYPERLINK("https://www.youtube.com/watch?v=GRXUIzkV_HA", "영상 보기 ▶")</f>
        <v/>
      </c>
    </row>
    <row r="1262" ht="26" customHeight="1">
      <c r="A1262" s="2" t="n">
        <v>1261</v>
      </c>
      <c r="B1262" s="3" t="inlineStr">
        <is>
          <t>총정리 26탄</t>
        </is>
      </c>
      <c r="C1262" s="3" t="inlineStr">
        <is>
          <t>공감/감정</t>
        </is>
      </c>
      <c r="D1262" s="4" t="inlineStr">
        <is>
          <t>You made my day.</t>
        </is>
      </c>
      <c r="E1262" s="11" t="inlineStr">
        <is>
          <t>덕분에 정말 기분 좋은 하루인걸.</t>
        </is>
      </c>
      <c r="F1262" s="11" t="inlineStr">
        <is>
          <t>A: Amelia was raving about your pie on the way over.</t>
        </is>
      </c>
      <c r="G1262" s="11" t="inlineStr">
        <is>
          <t>Amelia가 오는 길에 파이가 맛있다고 얼마나 말하던지요.</t>
        </is>
      </c>
      <c r="H1262" s="5">
        <f>HYPERLINK("https://www.youtube.com/watch?v=GRXUIzkV_HA", "영상 보기 ▶")</f>
        <v/>
      </c>
    </row>
    <row r="1263" ht="26" customHeight="1">
      <c r="A1263" s="6" t="n">
        <v>1262</v>
      </c>
      <c r="B1263" s="7" t="inlineStr">
        <is>
          <t>총정리 26탄</t>
        </is>
      </c>
      <c r="C1263" s="7" t="inlineStr">
        <is>
          <t>실전회화/표현</t>
        </is>
      </c>
      <c r="D1263" s="8" t="inlineStr">
        <is>
          <t>caught up in ~</t>
        </is>
      </c>
      <c r="E1263" s="12" t="inlineStr">
        <is>
          <t>에 휘말린, 사로잡힌, 얽매인</t>
        </is>
      </c>
      <c r="F1263" s="12" t="inlineStr">
        <is>
          <t>Sorry I'm late. I got caught up in a meeting.</t>
        </is>
      </c>
      <c r="G1263" s="12" t="inlineStr">
        <is>
          <t>늦어서 미안해. 미팅에 붙잡혀 있었어.</t>
        </is>
      </c>
      <c r="H1263" s="9">
        <f>HYPERLINK("https://www.youtube.com/watch?v=GRXUIzkV_HA", "영상 보기 ▶")</f>
        <v/>
      </c>
    </row>
    <row r="1264" ht="26" customHeight="1">
      <c r="A1264" s="2" t="n">
        <v>1263</v>
      </c>
      <c r="B1264" s="3" t="inlineStr">
        <is>
          <t>총정리 26탄</t>
        </is>
      </c>
      <c r="C1264" s="3" t="inlineStr">
        <is>
          <t>공감/감정</t>
        </is>
      </c>
      <c r="D1264" s="4" t="inlineStr">
        <is>
          <t>I got caught up in the moment.</t>
        </is>
      </c>
      <c r="E1264" s="11" t="inlineStr">
        <is>
          <t>순간의 분위기에 휩쓸렸어.</t>
        </is>
      </c>
      <c r="F1264" s="11" t="inlineStr">
        <is>
          <t>I got caught up in the moment.</t>
        </is>
      </c>
      <c r="G1264" s="11" t="inlineStr">
        <is>
          <t>순간의 분위기에 휩쓸렸어.</t>
        </is>
      </c>
      <c r="H1264" s="5">
        <f>HYPERLINK("https://www.youtube.com/watch?v=GRXUIzkV_HA", "영상 보기 ▶")</f>
        <v/>
      </c>
    </row>
    <row r="1265" ht="26" customHeight="1">
      <c r="A1265" s="6" t="n">
        <v>1264</v>
      </c>
      <c r="B1265" s="7" t="inlineStr">
        <is>
          <t>총정리 26탄</t>
        </is>
      </c>
      <c r="C1265" s="7" t="inlineStr">
        <is>
          <t>실전회화/표현</t>
        </is>
      </c>
      <c r="D1265" s="8" t="inlineStr">
        <is>
          <t>I'm counting down the days.</t>
        </is>
      </c>
      <c r="E1265" s="12" t="inlineStr">
        <is>
          <t>그 날만 기다리고 있어.</t>
        </is>
      </c>
      <c r="F1265" s="12" t="inlineStr">
        <is>
          <t>A: Your vacation is coming up.</t>
        </is>
      </c>
      <c r="G1265" s="12" t="inlineStr">
        <is>
          <t>곧 너의 방학이네.</t>
        </is>
      </c>
      <c r="H1265" s="9">
        <f>HYPERLINK("https://www.youtube.com/watch?v=GRXUIzkV_HA", "영상 보기 ▶")</f>
        <v/>
      </c>
    </row>
    <row r="1266" ht="26" customHeight="1">
      <c r="A1266" s="2" t="n">
        <v>1265</v>
      </c>
      <c r="B1266" s="3" t="inlineStr">
        <is>
          <t>총정리 26탄</t>
        </is>
      </c>
      <c r="C1266" s="3" t="inlineStr">
        <is>
          <t>실전회화/표현</t>
        </is>
      </c>
      <c r="D1266" s="4" t="inlineStr">
        <is>
          <t>pay off</t>
        </is>
      </c>
      <c r="E1266" s="11" t="inlineStr">
        <is>
          <t>빛을 발하다, 성과를 거두다</t>
        </is>
      </c>
      <c r="F1266" s="11" t="inlineStr">
        <is>
          <t>Out hard work paid off.</t>
        </is>
      </c>
      <c r="G1266" s="11" t="inlineStr">
        <is>
          <t>열심히 일한 보람이 있네.</t>
        </is>
      </c>
      <c r="H1266" s="5">
        <f>HYPERLINK("https://www.youtube.com/watch?v=GRXUIzkV_HA", "영상 보기 ▶")</f>
        <v/>
      </c>
    </row>
    <row r="1267" ht="26" customHeight="1">
      <c r="A1267" s="6" t="n">
        <v>1266</v>
      </c>
      <c r="B1267" s="7" t="inlineStr">
        <is>
          <t>총정리 26탄</t>
        </is>
      </c>
      <c r="C1267" s="7" t="inlineStr">
        <is>
          <t>실전회화/표현</t>
        </is>
      </c>
      <c r="D1267" s="8" t="inlineStr">
        <is>
          <t>unprecedented</t>
        </is>
      </c>
      <c r="E1267" s="12" t="inlineStr">
        <is>
          <t>전례없는, 이례없는</t>
        </is>
      </c>
      <c r="F1267" s="12" t="inlineStr">
        <is>
          <t>I have to admit, it's unprecedented.</t>
        </is>
      </c>
      <c r="G1267" s="12" t="inlineStr">
        <is>
          <t>솔직히 한번도 이런 적 없어.</t>
        </is>
      </c>
      <c r="H1267" s="9">
        <f>HYPERLINK("https://www.youtube.com/watch?v=GRXUIzkV_HA", "영상 보기 ▶")</f>
        <v/>
      </c>
    </row>
    <row r="1268" ht="26" customHeight="1">
      <c r="A1268" s="2" t="n">
        <v>1267</v>
      </c>
      <c r="B1268" s="3" t="inlineStr">
        <is>
          <t>총정리 26탄</t>
        </is>
      </c>
      <c r="C1268" s="3" t="inlineStr">
        <is>
          <t>실전회화/표현</t>
        </is>
      </c>
      <c r="D1268" s="4" t="inlineStr">
        <is>
          <t>flawless</t>
        </is>
      </c>
      <c r="E1268" s="11" t="inlineStr">
        <is>
          <t>흠잡을데 없는</t>
        </is>
      </c>
      <c r="F1268" s="11" t="inlineStr">
        <is>
          <t>It's flawless.</t>
        </is>
      </c>
      <c r="G1268" s="11" t="inlineStr">
        <is>
          <t>나무랄데 없이 완벽해.</t>
        </is>
      </c>
      <c r="H1268" s="5">
        <f>HYPERLINK("https://www.youtube.com/watch?v=GRXUIzkV_HA", "영상 보기 ▶")</f>
        <v/>
      </c>
    </row>
    <row r="1269" ht="26" customHeight="1">
      <c r="A1269" s="6" t="n">
        <v>1268</v>
      </c>
      <c r="B1269" s="7" t="inlineStr">
        <is>
          <t>총정리 26탄</t>
        </is>
      </c>
      <c r="C1269" s="7" t="inlineStr">
        <is>
          <t>사교/관심</t>
        </is>
      </c>
      <c r="D1269" s="8" t="inlineStr">
        <is>
          <t>What's your story?</t>
        </is>
      </c>
      <c r="E1269" s="12" t="inlineStr">
        <is>
          <t>어떤 사연/배경이 있으신가요? (어쩌다 여기까지 오게 되셨어요?)</t>
        </is>
      </c>
      <c r="F1269" s="12" t="inlineStr">
        <is>
          <t>So, what's your story? How did you end up in tech?</t>
        </is>
      </c>
      <c r="G1269" s="12" t="inlineStr">
        <is>
          <t>그래, 넌 어떤 사연이 있어? 어쩌다 IT 업계로 오게 된 거야?</t>
        </is>
      </c>
      <c r="H1269" s="9">
        <f>HYPERLINK("https://www.youtube.com/watch?v=GRXUIzkV_HA", "영상 보기 ▶")</f>
        <v/>
      </c>
    </row>
    <row r="1270" ht="26" customHeight="1">
      <c r="A1270" s="2" t="n">
        <v>1269</v>
      </c>
      <c r="B1270" s="3" t="inlineStr">
        <is>
          <t>총정리 26탄</t>
        </is>
      </c>
      <c r="C1270" s="3" t="inlineStr">
        <is>
          <t>실전회화/표현</t>
        </is>
      </c>
      <c r="D1270" s="4" t="inlineStr">
        <is>
          <t>invaluable (</t>
        </is>
      </c>
      <c r="E1270" s="11" t="inlineStr">
        <is>
          <t>값을 매길 수 없을 정도로) 매우 귀중한</t>
        </is>
      </c>
      <c r="F1270" s="11" t="inlineStr">
        <is>
          <t>She's invaluable to our team.</t>
        </is>
      </c>
      <c r="G1270" s="11" t="inlineStr">
        <is>
          <t>그녀는 우리 팀에 없어서는 안 될 존재야.</t>
        </is>
      </c>
      <c r="H1270" s="5">
        <f>HYPERLINK("https://www.youtube.com/watch?v=GRXUIzkV_HA", "영상 보기 ▶")</f>
        <v/>
      </c>
    </row>
    <row r="1271" ht="26" customHeight="1">
      <c r="A1271" s="6" t="n">
        <v>1270</v>
      </c>
      <c r="B1271" s="7" t="inlineStr">
        <is>
          <t>총정리 26탄</t>
        </is>
      </c>
      <c r="C1271" s="7" t="inlineStr">
        <is>
          <t>실전회화/표현</t>
        </is>
      </c>
      <c r="D1271" s="8" t="inlineStr">
        <is>
          <t>priceless (</t>
        </is>
      </c>
      <c r="E1271" s="12" t="inlineStr">
        <is>
          <t>가격을 매길 수 없을 정도로) 매우 귀중한</t>
        </is>
      </c>
      <c r="F1271" s="12" t="inlineStr">
        <is>
          <t>Our friendship is priceless.</t>
        </is>
      </c>
      <c r="G1271" s="12" t="inlineStr">
        <is>
          <t>우리 우정은 돈 주고도 살 수 없어.</t>
        </is>
      </c>
      <c r="H1271" s="9">
        <f>HYPERLINK("https://www.youtube.com/watch?v=GRXUIzkV_HA", "영상 보기 ▶")</f>
        <v/>
      </c>
    </row>
    <row r="1272" ht="26" customHeight="1">
      <c r="A1272" s="2" t="n">
        <v>1271</v>
      </c>
      <c r="B1272" s="3" t="inlineStr">
        <is>
          <t>총정리 26탄</t>
        </is>
      </c>
      <c r="C1272" s="3" t="inlineStr">
        <is>
          <t>공감/감정</t>
        </is>
      </c>
      <c r="D1272" s="4" t="inlineStr">
        <is>
          <t>It's the thought that counts.</t>
        </is>
      </c>
      <c r="E1272" s="11" t="inlineStr">
        <is>
          <t>마음이 중요한 거지.</t>
        </is>
      </c>
      <c r="F1272" s="11" t="inlineStr">
        <is>
          <t>A: I wonder how much she spent on this.</t>
        </is>
      </c>
      <c r="G1272" s="11" t="inlineStr">
        <is>
          <t>얼마나 여기 썼을지 궁금하네.</t>
        </is>
      </c>
      <c r="H1272" s="5">
        <f>HYPERLINK("https://www.youtube.com/watch?v=GRXUIzkV_HA", "영상 보기 ▶")</f>
        <v/>
      </c>
    </row>
    <row r="1273" ht="26" customHeight="1">
      <c r="A1273" s="6" t="n">
        <v>1272</v>
      </c>
      <c r="B1273" s="7" t="inlineStr">
        <is>
          <t>총정리 26탄</t>
        </is>
      </c>
      <c r="C1273" s="7" t="inlineStr">
        <is>
          <t>실전회화/표현</t>
        </is>
      </c>
      <c r="D1273" s="8" t="inlineStr">
        <is>
          <t>timeless</t>
        </is>
      </c>
      <c r="E1273" s="12" t="inlineStr">
        <is>
          <t>세월이 흘러도 변치 않는, 유행을 타지 않는</t>
        </is>
      </c>
      <c r="F1273" s="12" t="inlineStr">
        <is>
          <t>It's a timeless design.</t>
        </is>
      </c>
      <c r="G1273" s="12" t="inlineStr">
        <is>
          <t>그건 유행을 타지 않는 디자인이야.</t>
        </is>
      </c>
      <c r="H1273" s="9">
        <f>HYPERLINK("https://www.youtube.com/watch?v=GRXUIzkV_HA", "영상 보기 ▶")</f>
        <v/>
      </c>
    </row>
    <row r="1274" ht="26" customHeight="1">
      <c r="A1274" s="2" t="n">
        <v>1273</v>
      </c>
      <c r="B1274" s="3" t="inlineStr">
        <is>
          <t>총정리 26탄</t>
        </is>
      </c>
      <c r="C1274" s="3" t="inlineStr">
        <is>
          <t>실전회화/표현</t>
        </is>
      </c>
      <c r="D1274" s="4" t="inlineStr">
        <is>
          <t>effortless</t>
        </is>
      </c>
      <c r="E1274" s="11" t="inlineStr">
        <is>
          <t>노력/힘이 들지 않는, 쉽게 되는</t>
        </is>
      </c>
      <c r="F1274" s="11" t="inlineStr">
        <is>
          <t>He's effortlessly charming.</t>
        </is>
      </c>
      <c r="G1274" s="11" t="inlineStr">
        <is>
          <t>그는 노력하지 않아도 매력적이야.</t>
        </is>
      </c>
      <c r="H1274" s="5">
        <f>HYPERLINK("https://www.youtube.com/watch?v=GRXUIzkV_HA", "영상 보기 ▶")</f>
        <v/>
      </c>
    </row>
    <row r="1275" ht="26" customHeight="1">
      <c r="A1275" s="6" t="n">
        <v>1274</v>
      </c>
      <c r="B1275" s="7" t="inlineStr">
        <is>
          <t>총정리 26탄</t>
        </is>
      </c>
      <c r="C1275" s="7" t="inlineStr">
        <is>
          <t>실전회화/표현</t>
        </is>
      </c>
      <c r="D1275" s="8" t="inlineStr">
        <is>
          <t>concrete</t>
        </is>
      </c>
      <c r="E1275" s="12" t="inlineStr">
        <is>
          <t>구체적인, 확실한</t>
        </is>
      </c>
      <c r="F1275" s="12" t="inlineStr">
        <is>
          <t>I haven't made any concrete plans yet.</t>
        </is>
      </c>
      <c r="G1275" s="12" t="inlineStr">
        <is>
          <t>아직 구체적인 계획은 세우지 않았어.</t>
        </is>
      </c>
      <c r="H1275" s="9">
        <f>HYPERLINK("https://www.youtube.com/watch?v=GRXUIzkV_HA", "영상 보기 ▶")</f>
        <v/>
      </c>
    </row>
    <row r="1276" ht="26" customHeight="1">
      <c r="A1276" s="2" t="n">
        <v>1275</v>
      </c>
      <c r="B1276" s="3" t="inlineStr">
        <is>
          <t>총정리 26탄</t>
        </is>
      </c>
      <c r="C1276" s="3" t="inlineStr">
        <is>
          <t>실전회화/표현</t>
        </is>
      </c>
      <c r="D1276" s="4" t="inlineStr">
        <is>
          <t>take steps</t>
        </is>
      </c>
      <c r="E1276" s="11" t="inlineStr">
        <is>
          <t>조치를 취하다</t>
        </is>
      </c>
      <c r="F1276" s="11" t="inlineStr">
        <is>
          <t>We need to take concrete steps instead of just talking about it.</t>
        </is>
      </c>
      <c r="G1276" s="11" t="inlineStr">
        <is>
          <t>그냥 말로만 하는게 아니라 실질적인 조치를 취해야해.</t>
        </is>
      </c>
      <c r="H1276" s="5">
        <f>HYPERLINK("https://www.youtube.com/watch?v=GRXUIzkV_HA", "영상 보기 ▶")</f>
        <v/>
      </c>
    </row>
    <row r="1277" ht="26" customHeight="1">
      <c r="A1277" s="6" t="n">
        <v>1276</v>
      </c>
      <c r="B1277" s="7" t="inlineStr">
        <is>
          <t>총정리 26탄</t>
        </is>
      </c>
      <c r="C1277" s="7" t="inlineStr">
        <is>
          <t>실전회화/표현</t>
        </is>
      </c>
      <c r="D1277" s="8" t="inlineStr">
        <is>
          <t>take one step at a time</t>
        </is>
      </c>
      <c r="E1277" s="12" t="inlineStr">
        <is>
          <t>하나씩 차근차근 해결하다</t>
        </is>
      </c>
      <c r="F1277" s="12" t="inlineStr">
        <is>
          <t>Let's take it one step at a time.</t>
        </is>
      </c>
      <c r="G1277" s="12" t="inlineStr">
        <is>
          <t>차근차근 해결해보자.</t>
        </is>
      </c>
      <c r="H1277" s="9">
        <f>HYPERLINK("https://www.youtube.com/watch?v=GRXUIzkV_HA", "영상 보기 ▶")</f>
        <v/>
      </c>
    </row>
    <row r="1278" ht="26" customHeight="1">
      <c r="A1278" s="2" t="n">
        <v>1277</v>
      </c>
      <c r="B1278" s="3" t="inlineStr">
        <is>
          <t>총정리 26탄</t>
        </is>
      </c>
      <c r="C1278" s="3" t="inlineStr">
        <is>
          <t>실전회화/표현</t>
        </is>
      </c>
      <c r="D1278" s="4" t="inlineStr">
        <is>
          <t>step back</t>
        </is>
      </c>
      <c r="E1278" s="11" t="inlineStr">
        <is>
          <t>한걸음 물러서다</t>
        </is>
      </c>
      <c r="F1278" s="11" t="inlineStr">
        <is>
          <t>Let's take a step back for a moment.</t>
        </is>
      </c>
      <c r="G1278" s="11" t="inlineStr">
        <is>
          <t>잠시 한 걸음 물러서서 생각해보자.</t>
        </is>
      </c>
      <c r="H1278" s="5">
        <f>HYPERLINK("https://www.youtube.com/watch?v=GRXUIzkV_HA", "영상 보기 ▶")</f>
        <v/>
      </c>
    </row>
    <row r="1279" ht="26" customHeight="1">
      <c r="A1279" s="6" t="n">
        <v>1278</v>
      </c>
      <c r="B1279" s="7" t="inlineStr">
        <is>
          <t>총정리 26탄</t>
        </is>
      </c>
      <c r="C1279" s="7" t="inlineStr">
        <is>
          <t>의견/의사결정</t>
        </is>
      </c>
      <c r="D1279" s="8" t="inlineStr">
        <is>
          <t>second opinion</t>
        </is>
      </c>
      <c r="E1279" s="12" t="inlineStr">
        <is>
          <t>다른 사람의 의견, 견해</t>
        </is>
      </c>
      <c r="F1279" s="12" t="inlineStr">
        <is>
          <t>Let's show it to Ted. It wouldn't hurt to get a second opinion.</t>
        </is>
      </c>
      <c r="G1279" s="12" t="inlineStr">
        <is>
          <t>Ted에게 보여주자. 다른 의견을 들어서 손해볼 건 없지.</t>
        </is>
      </c>
      <c r="H1279" s="9">
        <f>HYPERLINK("https://www.youtube.com/watch?v=GRXUIzkV_HA", "영상 보기 ▶")</f>
        <v/>
      </c>
    </row>
    <row r="1280" ht="26" customHeight="1">
      <c r="A1280" s="2" t="n">
        <v>1279</v>
      </c>
      <c r="B1280" s="3" t="inlineStr">
        <is>
          <t>총정리 26탄</t>
        </is>
      </c>
      <c r="C1280" s="3" t="inlineStr">
        <is>
          <t>의견/의사결정</t>
        </is>
      </c>
      <c r="D1280" s="4" t="inlineStr">
        <is>
          <t>get another set/pair of eyes</t>
        </is>
      </c>
      <c r="E1280" s="11" t="inlineStr">
        <is>
          <t>확인차 ~를 보여주다, 다른 의견을 묻다</t>
        </is>
      </c>
      <c r="F1280" s="11" t="inlineStr">
        <is>
          <t>Let's show it to Ted. It wouldn't hurt to get another set of eyes on this.</t>
        </is>
      </c>
      <c r="G1280" s="11" t="inlineStr">
        <is>
          <t>Ted에게 보여주자. 다른 의견을 들어봐서 나쁠 건 없잖아.</t>
        </is>
      </c>
      <c r="H1280" s="5">
        <f>HYPERLINK("https://www.youtube.com/watch?v=GRXUIzkV_HA", "영상 보기 ▶")</f>
        <v/>
      </c>
    </row>
    <row r="1281" ht="26" customHeight="1">
      <c r="A1281" s="6" t="n">
        <v>1280</v>
      </c>
      <c r="B1281" s="7" t="inlineStr">
        <is>
          <t>총정리 26탄</t>
        </is>
      </c>
      <c r="C1281" s="7" t="inlineStr">
        <is>
          <t>실전회화/표현</t>
        </is>
      </c>
      <c r="D1281" s="8" t="inlineStr">
        <is>
          <t>miss</t>
        </is>
      </c>
      <c r="E1281" s="12" t="inlineStr">
        <is>
          <t>그리워하다, 아쉬워하다, (자리에 없어) 허전하다</t>
        </is>
      </c>
      <c r="F1281" s="12" t="inlineStr">
        <is>
          <t>We missed you at the meeting this morning.</t>
        </is>
      </c>
      <c r="G1281" s="12" t="inlineStr">
        <is>
          <t>네가 없어서 허전했어 or 오늘 회의에 안왔더라?</t>
        </is>
      </c>
      <c r="H1281" s="9">
        <f>HYPERLINK("https://www.youtube.com/watch?v=GRXUIzkV_HA", "영상 보기 ▶")</f>
        <v/>
      </c>
    </row>
    <row r="1282" ht="26" customHeight="1">
      <c r="A1282" s="2" t="n">
        <v>1281</v>
      </c>
      <c r="B1282" s="3" t="inlineStr">
        <is>
          <t>총정리 26탄</t>
        </is>
      </c>
      <c r="C1282" s="3" t="inlineStr">
        <is>
          <t>의견/의사결정</t>
        </is>
      </c>
      <c r="D1282" s="4" t="inlineStr">
        <is>
          <t>think of ~</t>
        </is>
      </c>
      <c r="E1282" s="11" t="inlineStr">
        <is>
          <t>를 떠올리다, 생각해내다</t>
        </is>
      </c>
      <c r="F1282" s="11" t="inlineStr">
        <is>
          <t>That's a brilliant idea. How did you think of that?</t>
        </is>
      </c>
      <c r="G1282" s="11" t="inlineStr">
        <is>
          <t>정말 좋은 생각이다, 어떻게 생각해낸거야?</t>
        </is>
      </c>
      <c r="H1282" s="5">
        <f>HYPERLINK("https://www.youtube.com/watch?v=GRXUIzkV_HA", "영상 보기 ▶")</f>
        <v/>
      </c>
    </row>
    <row r="1283" ht="26" customHeight="1">
      <c r="A1283" s="6" t="n">
        <v>1282</v>
      </c>
      <c r="B1283" s="7" t="inlineStr">
        <is>
          <t>총정리 26탄</t>
        </is>
      </c>
      <c r="C1283" s="7" t="inlineStr">
        <is>
          <t>실전회화/표현</t>
        </is>
      </c>
      <c r="D1283" s="8" t="inlineStr">
        <is>
          <t>think of A as B A</t>
        </is>
      </c>
      <c r="E1283" s="12" t="inlineStr">
        <is>
          <t>를 B라고 여기다</t>
        </is>
      </c>
      <c r="F1283" s="12" t="inlineStr">
        <is>
          <t>I think of her as a friend, not just a college.</t>
        </is>
      </c>
      <c r="G1283" s="12" t="inlineStr">
        <is>
          <t>난 그녀를 단순히 동료가 아닌 친구로 생각해.</t>
        </is>
      </c>
      <c r="H1283" s="9">
        <f>HYPERLINK("https://www.youtube.com/watch?v=GRXUIzkV_HA", "영상 보기 ▶")</f>
        <v/>
      </c>
    </row>
    <row r="1284" ht="26" customHeight="1">
      <c r="A1284" s="2" t="n">
        <v>1283</v>
      </c>
      <c r="B1284" s="3" t="inlineStr">
        <is>
          <t>총정리 26탄</t>
        </is>
      </c>
      <c r="C1284" s="3" t="inlineStr">
        <is>
          <t>실전회화/표현</t>
        </is>
      </c>
      <c r="D1284" s="4" t="inlineStr">
        <is>
          <t>Count me in</t>
        </is>
      </c>
      <c r="E1284" s="11" t="inlineStr">
        <is>
          <t>나도 끼워줘.</t>
        </is>
      </c>
      <c r="F1284" s="11" t="inlineStr">
        <is>
          <t>A: We are going to the movies tonight. Do you want to join us?</t>
        </is>
      </c>
      <c r="G1284" s="11" t="inlineStr">
        <is>
          <t>우리 오늘 밤에 영화 보러 갈건데 너도 같이 갈래?</t>
        </is>
      </c>
      <c r="H1284" s="5">
        <f>HYPERLINK("https://www.youtube.com/watch?v=GRXUIzkV_HA", "영상 보기 ▶")</f>
        <v/>
      </c>
    </row>
    <row r="1285" ht="26" customHeight="1">
      <c r="A1285" s="6" t="n">
        <v>1284</v>
      </c>
      <c r="B1285" s="7" t="inlineStr">
        <is>
          <t>총정리 26탄</t>
        </is>
      </c>
      <c r="C1285" s="7" t="inlineStr">
        <is>
          <t>실전회화/표현</t>
        </is>
      </c>
      <c r="D1285" s="8" t="inlineStr">
        <is>
          <t>Count me out.</t>
        </is>
      </c>
      <c r="E1285" s="12" t="inlineStr">
        <is>
          <t>난 빠질래.</t>
        </is>
      </c>
      <c r="F1285" s="12" t="inlineStr">
        <is>
          <t>A: Do you want to join us for a drink after work?</t>
        </is>
      </c>
      <c r="G1285" s="12" t="inlineStr">
        <is>
          <t>퇴근하고 우리랑 한잔할래?</t>
        </is>
      </c>
      <c r="H1285" s="9">
        <f>HYPERLINK("https://www.youtube.com/watch?v=GRXUIzkV_HA", "영상 보기 ▶")</f>
        <v/>
      </c>
    </row>
    <row r="1286" ht="26" customHeight="1">
      <c r="A1286" s="2" t="n">
        <v>1285</v>
      </c>
      <c r="B1286" s="3" t="inlineStr">
        <is>
          <t>총정리 26탄</t>
        </is>
      </c>
      <c r="C1286" s="3" t="inlineStr">
        <is>
          <t>실전회화/표현</t>
        </is>
      </c>
      <c r="D1286" s="4" t="inlineStr">
        <is>
          <t>affect</t>
        </is>
      </c>
      <c r="E1286" s="11" t="inlineStr">
        <is>
          <t>영향을 미치다</t>
        </is>
      </c>
      <c r="F1286" s="11" t="inlineStr">
        <is>
          <t>We argue all the time. It's so stressful. It's even affecting my work.</t>
        </is>
      </c>
      <c r="G1286" s="11" t="inlineStr">
        <is>
          <t>툭하면 싸워서 너무 스트레스 받아. 일에도 영향을 미칠 정도야.</t>
        </is>
      </c>
      <c r="H1286" s="5">
        <f>HYPERLINK("https://www.youtube.com/watch?v=GRXUIzkV_HA", "영상 보기 ▶")</f>
        <v/>
      </c>
    </row>
    <row r="1287" ht="26" customHeight="1">
      <c r="A1287" s="6" t="n">
        <v>1286</v>
      </c>
      <c r="B1287" s="7" t="inlineStr">
        <is>
          <t>총정리 26탄</t>
        </is>
      </c>
      <c r="C1287" s="7" t="inlineStr">
        <is>
          <t>실전회화/표현</t>
        </is>
      </c>
      <c r="D1287" s="8" t="inlineStr">
        <is>
          <t>effect</t>
        </is>
      </c>
      <c r="E1287" s="12" t="inlineStr">
        <is>
          <t>영향, 효과</t>
        </is>
      </c>
      <c r="F1287" s="12" t="inlineStr">
        <is>
          <t>His speech affected the stock market, and its effects were immediate.</t>
        </is>
      </c>
      <c r="G1287" s="12" t="inlineStr">
        <is>
          <t>그의 연설은 주식 시장에 영향을 미쳤고 그 영향은 즉각적이었어.</t>
        </is>
      </c>
      <c r="H1287" s="9">
        <f>HYPERLINK("https://www.youtube.com/watch?v=GRXUIzkV_HA", "영상 보기 ▶")</f>
        <v/>
      </c>
    </row>
    <row r="1288" ht="26" customHeight="1">
      <c r="A1288" s="2" t="n">
        <v>1287</v>
      </c>
      <c r="B1288" s="3" t="inlineStr">
        <is>
          <t>총정리 26탄</t>
        </is>
      </c>
      <c r="C1288" s="3" t="inlineStr">
        <is>
          <t>공감/감정</t>
        </is>
      </c>
      <c r="D1288" s="4" t="inlineStr">
        <is>
          <t>effect change</t>
        </is>
      </c>
      <c r="E1288" s="11" t="inlineStr">
        <is>
          <t>변화를 일으키다</t>
        </is>
      </c>
      <c r="F1288" s="11" t="inlineStr">
        <is>
          <t>This new management may effect change in our company culture.</t>
        </is>
      </c>
      <c r="G1288" s="11" t="inlineStr">
        <is>
          <t>새로운 경영진이 회사 문화에 변화를 일으킬 수 있어.</t>
        </is>
      </c>
      <c r="H1288" s="5">
        <f>HYPERLINK("https://www.youtube.com/watch?v=GRXUIzkV_HA", "영상 보기 ▶")</f>
        <v/>
      </c>
    </row>
    <row r="1289" ht="26" customHeight="1">
      <c r="A1289" s="6" t="n">
        <v>1288</v>
      </c>
      <c r="B1289" s="7" t="inlineStr">
        <is>
          <t>총정리 26탄</t>
        </is>
      </c>
      <c r="C1289" s="7" t="inlineStr">
        <is>
          <t>실전회화/표현</t>
        </is>
      </c>
      <c r="D1289" s="8" t="inlineStr">
        <is>
          <t>throw</t>
        </is>
      </c>
      <c r="E1289" s="12" t="inlineStr">
        <is>
          <t>사람 off ~를 헷갈리게, 혼란스럽게 하다</t>
        </is>
      </c>
      <c r="F1289" s="12" t="inlineStr">
        <is>
          <t>I liked the design, but the color kind of threw me off.</t>
        </is>
      </c>
      <c r="G1289" s="12" t="inlineStr">
        <is>
          <t>디자인은 마음에 들었는데, 왜 그런 색상을 쓴건지 좀 혼란스러웠어.</t>
        </is>
      </c>
      <c r="H1289" s="9">
        <f>HYPERLINK("https://www.youtube.com/watch?v=GRXUIzkV_HA", "영상 보기 ▶")</f>
        <v/>
      </c>
    </row>
    <row r="1290" ht="26" customHeight="1">
      <c r="A1290" s="2" t="n">
        <v>1289</v>
      </c>
      <c r="B1290" s="3" t="inlineStr">
        <is>
          <t>총정리 26탄</t>
        </is>
      </c>
      <c r="C1290" s="3" t="inlineStr">
        <is>
          <t>실전회화/표현</t>
        </is>
      </c>
      <c r="D1290" s="4" t="inlineStr">
        <is>
          <t>though</t>
        </is>
      </c>
      <c r="E1290" s="11" t="inlineStr">
        <is>
          <t>그래도</t>
        </is>
      </c>
      <c r="F1290" s="11" t="inlineStr">
        <is>
          <t>I'm good. Thank you, though.</t>
        </is>
      </c>
      <c r="G1290" s="11" t="inlineStr">
        <is>
          <t>전 괜찮아요, 그래도 고맙습니다.</t>
        </is>
      </c>
      <c r="H1290" s="5">
        <f>HYPERLINK("https://www.youtube.com/watch?v=GRXUIzkV_HA", "영상 보기 ▶")</f>
        <v/>
      </c>
    </row>
    <row r="1291" ht="26" customHeight="1">
      <c r="A1291" s="6" t="n">
        <v>1290</v>
      </c>
      <c r="B1291" s="7" t="inlineStr">
        <is>
          <t>총정리 26탄</t>
        </is>
      </c>
      <c r="C1291" s="7" t="inlineStr">
        <is>
          <t>실전회화/표현</t>
        </is>
      </c>
      <c r="D1291" s="8" t="inlineStr">
        <is>
          <t>count on</t>
        </is>
      </c>
      <c r="E1291" s="12" t="inlineStr">
        <is>
          <t>사람 ~에게 기대다, 의지하다</t>
        </is>
      </c>
      <c r="F1291" s="12" t="inlineStr">
        <is>
          <t>You can't count on anyone these days.</t>
        </is>
      </c>
      <c r="G1291" s="12" t="inlineStr">
        <is>
          <t>요즘엔 그 누구도 의지할 수 없어.</t>
        </is>
      </c>
      <c r="H1291" s="9">
        <f>HYPERLINK("https://www.youtube.com/watch?v=GRXUIzkV_HA", "영상 보기 ▶")</f>
        <v/>
      </c>
    </row>
    <row r="1292" ht="26" customHeight="1">
      <c r="A1292" s="2" t="n">
        <v>1291</v>
      </c>
      <c r="B1292" s="3" t="inlineStr">
        <is>
          <t>총정리 26탄</t>
        </is>
      </c>
      <c r="C1292" s="3" t="inlineStr">
        <is>
          <t>실전회화/표현</t>
        </is>
      </c>
      <c r="D1292" s="4" t="inlineStr">
        <is>
          <t>count on</t>
        </is>
      </c>
      <c r="E1292" s="11" t="inlineStr">
        <is>
          <t>대상 ~를 기대하다, 어떤 일이 일어날거라 믿다</t>
        </is>
      </c>
      <c r="F1292" s="11" t="inlineStr">
        <is>
          <t>I'm counting on that money to come in.</t>
        </is>
      </c>
      <c r="G1292" s="11" t="inlineStr">
        <is>
          <t>그 돈이 들어 올거라 믿고 있어.</t>
        </is>
      </c>
      <c r="H1292" s="5">
        <f>HYPERLINK("https://www.youtube.com/watch?v=GRXUIzkV_HA", "영상 보기 ▶")</f>
        <v/>
      </c>
    </row>
    <row r="1293" ht="26" customHeight="1">
      <c r="A1293" s="6" t="n">
        <v>1292</v>
      </c>
      <c r="B1293" s="7" t="inlineStr">
        <is>
          <t>총정리 26탄</t>
        </is>
      </c>
      <c r="C1293" s="7" t="inlineStr">
        <is>
          <t>실전회화/표현</t>
        </is>
      </c>
      <c r="D1293" s="8" t="inlineStr">
        <is>
          <t>cost-effective</t>
        </is>
      </c>
      <c r="E1293" s="12" t="inlineStr">
        <is>
          <t>가성비 좋은</t>
        </is>
      </c>
      <c r="F1293" s="12" t="inlineStr">
        <is>
          <t>You should buy in bulk. It's way more cost-effective.</t>
        </is>
      </c>
      <c r="G1293" s="12" t="inlineStr">
        <is>
          <t>대량으로 구매 해. 그게 훨씬 가성비가 좋아.</t>
        </is>
      </c>
      <c r="H1293" s="9">
        <f>HYPERLINK("https://www.youtube.com/watch?v=GRXUIzkV_HA", "영상 보기 ▶")</f>
        <v/>
      </c>
    </row>
    <row r="1294" ht="26" customHeight="1">
      <c r="A1294" s="2" t="n">
        <v>1293</v>
      </c>
      <c r="B1294" s="3" t="inlineStr">
        <is>
          <t>총정리 26탄</t>
        </is>
      </c>
      <c r="C1294" s="3" t="inlineStr">
        <is>
          <t>실전회화/표현</t>
        </is>
      </c>
      <c r="D1294" s="4" t="inlineStr">
        <is>
          <t>effective</t>
        </is>
      </c>
      <c r="E1294" s="11" t="inlineStr">
        <is>
          <t>효과적인, 효력이 생기는</t>
        </is>
      </c>
      <c r="F1294" s="11" t="inlineStr">
        <is>
          <t>When is this change effective?</t>
        </is>
      </c>
      <c r="G1294" s="11" t="inlineStr">
        <is>
          <t>언제부터 이 변경 사항이 적용되나요?</t>
        </is>
      </c>
      <c r="H1294" s="5">
        <f>HYPERLINK("https://www.youtube.com/watch?v=GRXUIzkV_HA", "영상 보기 ▶")</f>
        <v/>
      </c>
    </row>
    <row r="1295" ht="26" customHeight="1">
      <c r="A1295" s="6" t="n">
        <v>1294</v>
      </c>
      <c r="B1295" s="7" t="inlineStr">
        <is>
          <t>총정리 26탄</t>
        </is>
      </c>
      <c r="C1295" s="7" t="inlineStr">
        <is>
          <t>실전회화/표현</t>
        </is>
      </c>
      <c r="D1295" s="8" t="inlineStr">
        <is>
          <t>etc.</t>
        </is>
      </c>
      <c r="E1295" s="12" t="inlineStr">
        <is>
          <t>기타 등등 (&amp;#x3D; et cetera)</t>
        </is>
      </c>
      <c r="F1295" s="12" t="inlineStr">
        <is>
          <t>There are many things to consider, such as price, design, color, etc.</t>
        </is>
      </c>
      <c r="G1295" s="12" t="inlineStr">
        <is>
          <t>가격, 디자인, 색상 등 고려할게 많아.</t>
        </is>
      </c>
      <c r="H1295" s="9">
        <f>HYPERLINK("https://www.youtube.com/watch?v=GRXUIzkV_HA", "영상 보기 ▶")</f>
        <v/>
      </c>
    </row>
    <row r="1296" ht="26" customHeight="1">
      <c r="A1296" s="2" t="n">
        <v>1295</v>
      </c>
      <c r="B1296" s="3" t="inlineStr">
        <is>
          <t>총정리 26탄</t>
        </is>
      </c>
      <c r="C1296" s="3" t="inlineStr">
        <is>
          <t>실전회화/표현</t>
        </is>
      </c>
      <c r="D1296" s="4" t="inlineStr">
        <is>
          <t>chaos</t>
        </is>
      </c>
      <c r="E1296" s="11" t="inlineStr">
        <is>
          <t>혼란, 난장판</t>
        </is>
      </c>
      <c r="F1296" s="11" t="inlineStr">
        <is>
          <t>It's chaos.</t>
        </is>
      </c>
      <c r="G1296" s="11" t="inlineStr">
        <is>
          <t>진짜 정신이 하나도 없다.</t>
        </is>
      </c>
      <c r="H1296" s="5">
        <f>HYPERLINK("https://www.youtube.com/watch?v=GRXUIzkV_HA", "영상 보기 ▶")</f>
        <v/>
      </c>
    </row>
    <row r="1297" ht="26" customHeight="1">
      <c r="A1297" s="6" t="n">
        <v>1296</v>
      </c>
      <c r="B1297" s="7" t="inlineStr">
        <is>
          <t>총정리 26탄</t>
        </is>
      </c>
      <c r="C1297" s="7" t="inlineStr">
        <is>
          <t>실전회화/표현</t>
        </is>
      </c>
      <c r="D1297" s="8" t="inlineStr">
        <is>
          <t>loose end</t>
        </is>
      </c>
      <c r="E1297" s="12" t="inlineStr">
        <is>
          <t>미해결인 부분</t>
        </is>
      </c>
      <c r="F1297" s="12" t="inlineStr">
        <is>
          <t>I can't agree to this. There are so many loose ends.</t>
        </is>
      </c>
      <c r="G1297" s="12" t="inlineStr">
        <is>
          <t>아직 허술한 부분이 많아서 동의할 수 없어.</t>
        </is>
      </c>
      <c r="H1297" s="9">
        <f>HYPERLINK("https://www.youtube.com/watch?v=GRXUIzkV_HA", "영상 보기 ▶")</f>
        <v/>
      </c>
    </row>
    <row r="1298" ht="26" customHeight="1">
      <c r="A1298" s="2" t="n">
        <v>1297</v>
      </c>
      <c r="B1298" s="3" t="inlineStr">
        <is>
          <t>총정리 26탄</t>
        </is>
      </c>
      <c r="C1298" s="3" t="inlineStr">
        <is>
          <t>실전회화/표현</t>
        </is>
      </c>
      <c r="D1298" s="4" t="inlineStr">
        <is>
          <t>tie up loose ends</t>
        </is>
      </c>
      <c r="E1298" s="11" t="inlineStr">
        <is>
          <t>마무리 하다, 결말 짓다</t>
        </is>
      </c>
      <c r="F1298" s="11" t="inlineStr">
        <is>
          <t>Let's tie up loose ends from yesterday.</t>
        </is>
      </c>
      <c r="G1298" s="11" t="inlineStr">
        <is>
          <t>어제 하던 일을 마무리 하자.</t>
        </is>
      </c>
      <c r="H1298" s="5">
        <f>HYPERLINK("https://www.youtube.com/watch?v=GRXUIzkV_HA", "영상 보기 ▶")</f>
        <v/>
      </c>
    </row>
    <row r="1299" ht="26" customHeight="1">
      <c r="A1299" s="6" t="n">
        <v>1298</v>
      </c>
      <c r="B1299" s="7" t="inlineStr">
        <is>
          <t>총정리 26탄</t>
        </is>
      </c>
      <c r="C1299" s="7" t="inlineStr">
        <is>
          <t>실전회화/표현</t>
        </is>
      </c>
      <c r="D1299" s="8" t="inlineStr">
        <is>
          <t>I'm not in a position to ~ ~</t>
        </is>
      </c>
      <c r="E1299" s="12" t="inlineStr">
        <is>
          <t>할 수 있는 처지가 아니야.</t>
        </is>
      </c>
      <c r="F1299" s="12" t="inlineStr">
        <is>
          <t>I'm not in a position to make that kind of purchase.</t>
        </is>
      </c>
      <c r="G1299" s="12" t="inlineStr">
        <is>
          <t>내가 그런 구매를 할 상황이 아니야.</t>
        </is>
      </c>
      <c r="H1299" s="9">
        <f>HYPERLINK("https://www.youtube.com/watch?v=GRXUIzkV_HA", "영상 보기 ▶")</f>
        <v/>
      </c>
    </row>
    <row r="1300" ht="26" customHeight="1">
      <c r="A1300" s="2" t="n">
        <v>1299</v>
      </c>
      <c r="B1300" s="3" t="inlineStr">
        <is>
          <t>총정리 26탄</t>
        </is>
      </c>
      <c r="C1300" s="3" t="inlineStr">
        <is>
          <t>실전회화/표현</t>
        </is>
      </c>
      <c r="D1300" s="4" t="inlineStr">
        <is>
          <t>basic</t>
        </is>
      </c>
      <c r="E1300" s="11" t="inlineStr">
        <is>
          <t>기본, 기초</t>
        </is>
      </c>
      <c r="F1300" s="11" t="inlineStr">
        <is>
          <t>A: Did I miss anything important?</t>
        </is>
      </c>
      <c r="G1300" s="11" t="inlineStr">
        <is>
          <t>내가 놓친 중요한 내용이 있었어?</t>
        </is>
      </c>
      <c r="H1300" s="5">
        <f>HYPERLINK("https://www.youtube.com/watch?v=GRXUIzkV_HA", "영상 보기 ▶")</f>
        <v/>
      </c>
    </row>
    <row r="1301" ht="26" customHeight="1">
      <c r="A1301" s="6" t="n">
        <v>1300</v>
      </c>
      <c r="B1301" s="7" t="inlineStr">
        <is>
          <t>총정리 26탄</t>
        </is>
      </c>
      <c r="C1301" s="7" t="inlineStr">
        <is>
          <t>실전회화/표현</t>
        </is>
      </c>
      <c r="D1301" s="8" t="inlineStr">
        <is>
          <t>get the hang of</t>
        </is>
      </c>
      <c r="E1301" s="12" t="inlineStr">
        <is>
          <t>요령을 터득하다, 감을 잡다</t>
        </is>
      </c>
      <c r="F1301" s="12" t="inlineStr">
        <is>
          <t>Don't worry. You'll get the hang of it.</t>
        </is>
      </c>
      <c r="G1301" s="12" t="inlineStr">
        <is>
          <t>걱정마, 감을 잡게 될 거야.</t>
        </is>
      </c>
      <c r="H1301" s="9">
        <f>HYPERLINK("https://www.youtube.com/watch?v=GRXUIzkV_HA", "영상 보기 ▶")</f>
        <v/>
      </c>
    </row>
    <row r="1302" ht="26" customHeight="1">
      <c r="A1302" s="2" t="n">
        <v>1301</v>
      </c>
      <c r="B1302" s="3" t="inlineStr">
        <is>
          <t>총정리 27탄</t>
        </is>
      </c>
      <c r="C1302" s="3" t="inlineStr">
        <is>
          <t>실전회화/표현</t>
        </is>
      </c>
      <c r="D1302" s="4" t="inlineStr">
        <is>
          <t>mull over ~</t>
        </is>
      </c>
      <c r="E1302" s="11" t="inlineStr">
        <is>
          <t>에 대해 숙고하다</t>
        </is>
      </c>
      <c r="F1302" s="11" t="inlineStr">
        <is>
          <t>Let's touch base next week. I need some time to mull it over.</t>
        </is>
      </c>
      <c r="G1302" s="11" t="inlineStr">
        <is>
          <t>다음주에 다시 연락하도록 하죠. 생각할 시간이 좀 필요해서요.</t>
        </is>
      </c>
      <c r="H1302" s="5">
        <f>HYPERLINK("https://www.youtube.com/watch?v=FpHJaIjKUdE", "영상 보기 ▶")</f>
        <v/>
      </c>
    </row>
    <row r="1303" ht="26" customHeight="1">
      <c r="A1303" s="6" t="n">
        <v>1302</v>
      </c>
      <c r="B1303" s="7" t="inlineStr">
        <is>
          <t>총정리 27탄</t>
        </is>
      </c>
      <c r="C1303" s="7" t="inlineStr">
        <is>
          <t>실전회화/표현</t>
        </is>
      </c>
      <c r="D1303" s="8" t="inlineStr">
        <is>
          <t>be underway</t>
        </is>
      </c>
      <c r="E1303" s="12" t="inlineStr">
        <is>
          <t>진행 중이다, 나아가고 있다</t>
        </is>
      </c>
      <c r="F1303" s="12" t="inlineStr">
        <is>
          <t>Is the project underway?</t>
        </is>
      </c>
      <c r="G1303" s="12" t="inlineStr">
        <is>
          <t>프로젝트 진행 중이야?</t>
        </is>
      </c>
      <c r="H1303" s="9">
        <f>HYPERLINK("https://www.youtube.com/watch?v=FpHJaIjKUdE", "영상 보기 ▶")</f>
        <v/>
      </c>
    </row>
    <row r="1304" ht="26" customHeight="1">
      <c r="A1304" s="2" t="n">
        <v>1303</v>
      </c>
      <c r="B1304" s="3" t="inlineStr">
        <is>
          <t>총정리 27탄</t>
        </is>
      </c>
      <c r="C1304" s="3" t="inlineStr">
        <is>
          <t>실전회화/표현</t>
        </is>
      </c>
      <c r="D1304" s="4" t="inlineStr">
        <is>
          <t>from the get-go</t>
        </is>
      </c>
      <c r="E1304" s="11" t="inlineStr">
        <is>
          <t>처음부터</t>
        </is>
      </c>
      <c r="F1304" s="11" t="inlineStr">
        <is>
          <t>It was successful from the get-go.</t>
        </is>
      </c>
      <c r="G1304" s="11" t="inlineStr">
        <is>
          <t>처음부터 성공적이었어.</t>
        </is>
      </c>
      <c r="H1304" s="5">
        <f>HYPERLINK("https://www.youtube.com/watch?v=FpHJaIjKUdE", "영상 보기 ▶")</f>
        <v/>
      </c>
    </row>
    <row r="1305" ht="26" customHeight="1">
      <c r="A1305" s="6" t="n">
        <v>1304</v>
      </c>
      <c r="B1305" s="7" t="inlineStr">
        <is>
          <t>총정리 27탄</t>
        </is>
      </c>
      <c r="C1305" s="7" t="inlineStr">
        <is>
          <t>의견/의사결정</t>
        </is>
      </c>
      <c r="D1305" s="8" t="inlineStr">
        <is>
          <t>ball's in one's court ~</t>
        </is>
      </c>
      <c r="E1305" s="12" t="inlineStr">
        <is>
          <t>에게 결정권이 달렸다</t>
        </is>
      </c>
      <c r="F1305" s="12" t="inlineStr">
        <is>
          <t>We've done everything we can. The ball's in their court now.</t>
        </is>
      </c>
      <c r="G1305" s="12" t="inlineStr">
        <is>
          <t>우리가 할 수 있는 건 다 했어. 이제 그들이 결정할 일만 남았어.</t>
        </is>
      </c>
      <c r="H1305" s="9">
        <f>HYPERLINK("https://www.youtube.com/watch?v=FpHJaIjKUdE", "영상 보기 ▶")</f>
        <v/>
      </c>
    </row>
    <row r="1306" ht="26" customHeight="1">
      <c r="A1306" s="2" t="n">
        <v>1305</v>
      </c>
      <c r="B1306" s="3" t="inlineStr">
        <is>
          <t>총정리 27탄</t>
        </is>
      </c>
      <c r="C1306" s="3" t="inlineStr">
        <is>
          <t>실전회화/표현</t>
        </is>
      </c>
      <c r="D1306" s="4" t="inlineStr">
        <is>
          <t>table</t>
        </is>
      </c>
      <c r="E1306" s="11" t="inlineStr">
        <is>
          <t>미루다, 연기하다</t>
        </is>
      </c>
      <c r="F1306" s="11" t="inlineStr">
        <is>
          <t>Can we table that?</t>
        </is>
      </c>
      <c r="G1306" s="11" t="inlineStr">
        <is>
          <t>나중에 얘기해도 될까요?</t>
        </is>
      </c>
      <c r="H1306" s="5">
        <f>HYPERLINK("https://www.youtube.com/watch?v=FpHJaIjKUdE", "영상 보기 ▶")</f>
        <v/>
      </c>
    </row>
    <row r="1307" ht="26" customHeight="1">
      <c r="A1307" s="6" t="n">
        <v>1306</v>
      </c>
      <c r="B1307" s="7" t="inlineStr">
        <is>
          <t>총정리 27탄</t>
        </is>
      </c>
      <c r="C1307" s="7" t="inlineStr">
        <is>
          <t>공감/감정</t>
        </is>
      </c>
      <c r="D1307" s="8" t="inlineStr">
        <is>
          <t>mesmerize</t>
        </is>
      </c>
      <c r="E1307" s="12" t="inlineStr">
        <is>
          <t>마음을 사로잡다, 넋을 빼놓다</t>
        </is>
      </c>
      <c r="F1307" s="12" t="inlineStr">
        <is>
          <t>I was mesmerized by his story.</t>
        </is>
      </c>
      <c r="G1307" s="12" t="inlineStr">
        <is>
          <t>그의 이야기에 푹 빠져들었어.</t>
        </is>
      </c>
      <c r="H1307" s="9">
        <f>HYPERLINK("https://www.youtube.com/watch?v=FpHJaIjKUdE", "영상 보기 ▶")</f>
        <v/>
      </c>
    </row>
    <row r="1308" ht="26" customHeight="1">
      <c r="A1308" s="2" t="n">
        <v>1307</v>
      </c>
      <c r="B1308" s="3" t="inlineStr">
        <is>
          <t>총정리 27탄</t>
        </is>
      </c>
      <c r="C1308" s="3" t="inlineStr">
        <is>
          <t>실전회화/표현</t>
        </is>
      </c>
      <c r="D1308" s="4" t="inlineStr">
        <is>
          <t>cut corners</t>
        </is>
      </c>
      <c r="E1308" s="11" t="inlineStr">
        <is>
          <t>절차를 생략하다, 대충 해치우다</t>
        </is>
      </c>
      <c r="F1308" s="11" t="inlineStr">
        <is>
          <t>I don't cut corners.</t>
        </is>
      </c>
      <c r="G1308" s="11" t="inlineStr">
        <is>
          <t>전 일을 대충하지 않아요.</t>
        </is>
      </c>
      <c r="H1308" s="5">
        <f>HYPERLINK("https://www.youtube.com/watch?v=FpHJaIjKUdE", "영상 보기 ▶")</f>
        <v/>
      </c>
    </row>
    <row r="1309" ht="26" customHeight="1">
      <c r="A1309" s="6" t="n">
        <v>1308</v>
      </c>
      <c r="B1309" s="7" t="inlineStr">
        <is>
          <t>총정리 27탄</t>
        </is>
      </c>
      <c r="C1309" s="7" t="inlineStr">
        <is>
          <t>의견/의사결정</t>
        </is>
      </c>
      <c r="D1309" s="8" t="inlineStr">
        <is>
          <t>don't see eye to eye</t>
        </is>
      </c>
      <c r="E1309" s="12" t="inlineStr">
        <is>
          <t>의견, 생각이 다르다</t>
        </is>
      </c>
      <c r="F1309" s="12" t="inlineStr">
        <is>
          <t>We don't see eye to eye on the new marketing strategy.</t>
        </is>
      </c>
      <c r="G1309" s="12" t="inlineStr">
        <is>
          <t>새로운 마케팅 전략에 대해 의견이 달라.</t>
        </is>
      </c>
      <c r="H1309" s="9">
        <f>HYPERLINK("https://www.youtube.com/watch?v=FpHJaIjKUdE", "영상 보기 ▶")</f>
        <v/>
      </c>
    </row>
    <row r="1310" ht="26" customHeight="1">
      <c r="A1310" s="2" t="n">
        <v>1309</v>
      </c>
      <c r="B1310" s="3" t="inlineStr">
        <is>
          <t>총정리 27탄</t>
        </is>
      </c>
      <c r="C1310" s="3" t="inlineStr">
        <is>
          <t>공감/감정</t>
        </is>
      </c>
      <c r="D1310" s="4" t="inlineStr">
        <is>
          <t>digest</t>
        </is>
      </c>
      <c r="E1310" s="11" t="inlineStr">
        <is>
          <t>소화하다, 완전히 이해하다</t>
        </is>
      </c>
      <c r="F1310" s="11" t="inlineStr">
        <is>
          <t>You covered a lot of information. I need some time to digest.</t>
        </is>
      </c>
      <c r="G1310" s="11" t="inlineStr">
        <is>
          <t>네가 많은 내용을 다뤄서, 이해할 시간이 좀 필요해.</t>
        </is>
      </c>
      <c r="H1310" s="5">
        <f>HYPERLINK("https://www.youtube.com/watch?v=FpHJaIjKUdE", "영상 보기 ▶")</f>
        <v/>
      </c>
    </row>
    <row r="1311" ht="26" customHeight="1">
      <c r="A1311" s="6" t="n">
        <v>1310</v>
      </c>
      <c r="B1311" s="7" t="inlineStr">
        <is>
          <t>총정리 27탄</t>
        </is>
      </c>
      <c r="C1311" s="7" t="inlineStr">
        <is>
          <t>실전회화/표현</t>
        </is>
      </c>
      <c r="D1311" s="8" t="inlineStr">
        <is>
          <t>skeleton in the closet</t>
        </is>
      </c>
      <c r="E1311" s="12" t="inlineStr">
        <is>
          <t>숨기고 싶은 비밀</t>
        </is>
      </c>
      <c r="F1311" s="12" t="inlineStr">
        <is>
          <t>We all have skeletons in our closet.</t>
        </is>
      </c>
      <c r="G1311" s="12" t="inlineStr">
        <is>
          <t>누구나 숨기고 싶은 비밀이 있잖아요.</t>
        </is>
      </c>
      <c r="H1311" s="9">
        <f>HYPERLINK("https://www.youtube.com/watch?v=FpHJaIjKUdE", "영상 보기 ▶")</f>
        <v/>
      </c>
    </row>
    <row r="1312" ht="26" customHeight="1">
      <c r="A1312" s="2" t="n">
        <v>1311</v>
      </c>
      <c r="B1312" s="3" t="inlineStr">
        <is>
          <t>총정리 27탄</t>
        </is>
      </c>
      <c r="C1312" s="3" t="inlineStr">
        <is>
          <t>실전회화/표현</t>
        </is>
      </c>
      <c r="D1312" s="4" t="inlineStr">
        <is>
          <t>add up</t>
        </is>
      </c>
      <c r="E1312" s="11" t="inlineStr">
        <is>
          <t>말이 되다, 앞뒤가 맞다</t>
        </is>
      </c>
      <c r="F1312" s="11" t="inlineStr">
        <is>
          <t>Something doesn't add up.</t>
        </is>
      </c>
      <c r="G1312" s="11" t="inlineStr">
        <is>
          <t>뭔가 앞뒤가 안 맞아.</t>
        </is>
      </c>
      <c r="H1312" s="5">
        <f>HYPERLINK("https://www.youtube.com/watch?v=FpHJaIjKUdE", "영상 보기 ▶")</f>
        <v/>
      </c>
    </row>
    <row r="1313" ht="26" customHeight="1">
      <c r="A1313" s="6" t="n">
        <v>1312</v>
      </c>
      <c r="B1313" s="7" t="inlineStr">
        <is>
          <t>총정리 27탄</t>
        </is>
      </c>
      <c r="C1313" s="7" t="inlineStr">
        <is>
          <t>실전회화/표현</t>
        </is>
      </c>
      <c r="D1313" s="8" t="inlineStr">
        <is>
          <t>Last but not least</t>
        </is>
      </c>
      <c r="E1313" s="12" t="inlineStr">
        <is>
          <t>마지막으로 (하지만 앞서 언급한 것만큼 중요한)</t>
        </is>
      </c>
      <c r="F1313" s="12" t="inlineStr">
        <is>
          <t>Last but not least, I'd like to talk about ~.</t>
        </is>
      </c>
      <c r="G1313" s="12" t="inlineStr">
        <is>
          <t>마지막으로 ~에 대해 얘기하고 싶어요.</t>
        </is>
      </c>
      <c r="H1313" s="9">
        <f>HYPERLINK("https://www.youtube.com/watch?v=FpHJaIjKUdE", "영상 보기 ▶")</f>
        <v/>
      </c>
    </row>
    <row r="1314" ht="26" customHeight="1">
      <c r="A1314" s="2" t="n">
        <v>1313</v>
      </c>
      <c r="B1314" s="3" t="inlineStr">
        <is>
          <t>총정리 27탄</t>
        </is>
      </c>
      <c r="C1314" s="3" t="inlineStr">
        <is>
          <t>실전회화/표현</t>
        </is>
      </c>
      <c r="D1314" s="4" t="inlineStr">
        <is>
          <t>First things first</t>
        </is>
      </c>
      <c r="E1314" s="11" t="inlineStr">
        <is>
          <t>가장 먼저, 우선</t>
        </is>
      </c>
      <c r="F1314" s="11" t="inlineStr">
        <is>
          <t>First things first, I need you to fill out these forms.</t>
        </is>
      </c>
      <c r="G1314" s="11" t="inlineStr">
        <is>
          <t>먼저 이 양식부터 작성해주세요.</t>
        </is>
      </c>
      <c r="H1314" s="5">
        <f>HYPERLINK("https://www.youtube.com/watch?v=FpHJaIjKUdE", "영상 보기 ▶")</f>
        <v/>
      </c>
    </row>
    <row r="1315" ht="26" customHeight="1">
      <c r="A1315" s="6" t="n">
        <v>1314</v>
      </c>
      <c r="B1315" s="7" t="inlineStr">
        <is>
          <t>총정리 27탄</t>
        </is>
      </c>
      <c r="C1315" s="7" t="inlineStr">
        <is>
          <t>실전회화/표현</t>
        </is>
      </c>
      <c r="D1315" s="8" t="inlineStr">
        <is>
          <t>out of the blue</t>
        </is>
      </c>
      <c r="E1315" s="12" t="inlineStr">
        <is>
          <t>갑자기, 난데없이</t>
        </is>
      </c>
      <c r="F1315" s="12" t="inlineStr">
        <is>
          <t>She just called me out of the blue.</t>
        </is>
      </c>
      <c r="G1315" s="12" t="inlineStr">
        <is>
          <t>그냥 갑자기 나한테 전화했어.</t>
        </is>
      </c>
      <c r="H1315" s="9">
        <f>HYPERLINK("https://www.youtube.com/watch?v=FpHJaIjKUdE", "영상 보기 ▶")</f>
        <v/>
      </c>
    </row>
    <row r="1316" ht="26" customHeight="1">
      <c r="A1316" s="2" t="n">
        <v>1315</v>
      </c>
      <c r="B1316" s="3" t="inlineStr">
        <is>
          <t>총정리 27탄</t>
        </is>
      </c>
      <c r="C1316" s="3" t="inlineStr">
        <is>
          <t>실전회화/표현</t>
        </is>
      </c>
      <c r="D1316" s="4" t="inlineStr">
        <is>
          <t>touchy</t>
        </is>
      </c>
      <c r="E1316" s="11" t="inlineStr">
        <is>
          <t>민감한, 조심해서 다뤄야 하는</t>
        </is>
      </c>
      <c r="F1316" s="11" t="inlineStr">
        <is>
          <t>It's a touchy subject for her.</t>
        </is>
      </c>
      <c r="G1316" s="11" t="inlineStr">
        <is>
          <t>그건 그녀에게 민감한 주제야.</t>
        </is>
      </c>
      <c r="H1316" s="5">
        <f>HYPERLINK("https://www.youtube.com/watch?v=FpHJaIjKUdE", "영상 보기 ▶")</f>
        <v/>
      </c>
    </row>
    <row r="1317" ht="26" customHeight="1">
      <c r="A1317" s="6" t="n">
        <v>1316</v>
      </c>
      <c r="B1317" s="7" t="inlineStr">
        <is>
          <t>총정리 27탄</t>
        </is>
      </c>
      <c r="C1317" s="7" t="inlineStr">
        <is>
          <t>실전회화/표현</t>
        </is>
      </c>
      <c r="D1317" s="8" t="inlineStr">
        <is>
          <t>be open to ~</t>
        </is>
      </c>
      <c r="E1317" s="12" t="inlineStr">
        <is>
          <t>를 고려할 의향이 있다</t>
        </is>
      </c>
      <c r="F1317" s="12" t="inlineStr">
        <is>
          <t>I'm open to your ideas.</t>
        </is>
      </c>
      <c r="G1317" s="12" t="inlineStr">
        <is>
          <t>네 생각을 고려해볼테니 말해봐.</t>
        </is>
      </c>
      <c r="H1317" s="9">
        <f>HYPERLINK("https://www.youtube.com/watch?v=FpHJaIjKUdE", "영상 보기 ▶")</f>
        <v/>
      </c>
    </row>
    <row r="1318" ht="26" customHeight="1">
      <c r="A1318" s="2" t="n">
        <v>1317</v>
      </c>
      <c r="B1318" s="3" t="inlineStr">
        <is>
          <t>총정리 27탄</t>
        </is>
      </c>
      <c r="C1318" s="3" t="inlineStr">
        <is>
          <t>실전회화/표현</t>
        </is>
      </c>
      <c r="D1318" s="4" t="inlineStr">
        <is>
          <t>exhaustive</t>
        </is>
      </c>
      <c r="E1318" s="11" t="inlineStr">
        <is>
          <t>철저한, 완전한</t>
        </is>
      </c>
      <c r="F1318" s="11" t="inlineStr">
        <is>
          <t>This is by no means an exhaustive list.</t>
        </is>
      </c>
      <c r="G1318" s="11" t="inlineStr">
        <is>
          <t>이 리스트에 나와있는게 절대 다가 아니야.</t>
        </is>
      </c>
      <c r="H1318" s="5">
        <f>HYPERLINK("https://www.youtube.com/watch?v=FpHJaIjKUdE", "영상 보기 ▶")</f>
        <v/>
      </c>
    </row>
    <row r="1319" ht="26" customHeight="1">
      <c r="A1319" s="6" t="n">
        <v>1318</v>
      </c>
      <c r="B1319" s="7" t="inlineStr">
        <is>
          <t>총정리 27탄</t>
        </is>
      </c>
      <c r="C1319" s="7" t="inlineStr">
        <is>
          <t>공감/이해</t>
        </is>
      </c>
      <c r="D1319" s="8" t="inlineStr">
        <is>
          <t>I understand where you're coming from.</t>
        </is>
      </c>
      <c r="E1319" s="12" t="inlineStr">
        <is>
          <t>네가 왜 그러는지/어떤 입장인지 충분히 이해해</t>
        </is>
      </c>
      <c r="F1319" s="12" t="inlineStr">
        <is>
          <t>I understand where you're coming from, but we still have a budget.</t>
        </is>
      </c>
      <c r="G1319" s="12" t="inlineStr">
        <is>
          <t>네 입장이 어떤지 충분히 이해하지만, 여전히 예산 한계가 있어.</t>
        </is>
      </c>
      <c r="H1319" s="9">
        <f>HYPERLINK("https://www.youtube.com/watch?v=FpHJaIjKUdE", "영상 보기 ▶")</f>
        <v/>
      </c>
    </row>
    <row r="1320" ht="26" customHeight="1">
      <c r="A1320" s="2" t="n">
        <v>1319</v>
      </c>
      <c r="B1320" s="3" t="inlineStr">
        <is>
          <t>총정리 27탄</t>
        </is>
      </c>
      <c r="C1320" s="3" t="inlineStr">
        <is>
          <t>실전회화/표현</t>
        </is>
      </c>
      <c r="D1320" s="4" t="inlineStr">
        <is>
          <t>block out</t>
        </is>
      </c>
      <c r="E1320" s="11" t="inlineStr">
        <is>
          <t>시간을 빼놓다</t>
        </is>
      </c>
      <c r="F1320" s="11" t="inlineStr">
        <is>
          <t>A: Do you think she can meet today?</t>
        </is>
      </c>
      <c r="G1320" s="11" t="inlineStr">
        <is>
          <t>그녀가 우리와 오늘 만날 수 있을까?</t>
        </is>
      </c>
      <c r="H1320" s="5">
        <f>HYPERLINK("https://www.youtube.com/watch?v=FpHJaIjKUdE", "영상 보기 ▶")</f>
        <v/>
      </c>
    </row>
    <row r="1321" ht="26" customHeight="1">
      <c r="A1321" s="6" t="n">
        <v>1320</v>
      </c>
      <c r="B1321" s="7" t="inlineStr">
        <is>
          <t>총정리 27탄</t>
        </is>
      </c>
      <c r="C1321" s="7" t="inlineStr">
        <is>
          <t>의견/의사결정</t>
        </is>
      </c>
      <c r="D1321" s="8" t="inlineStr">
        <is>
          <t>put it on the table</t>
        </is>
      </c>
      <c r="E1321" s="12" t="inlineStr">
        <is>
          <t>안건으로 내놓다, 제안하다</t>
        </is>
      </c>
      <c r="F1321" s="12" t="inlineStr">
        <is>
          <t>Let's talk about it. Let's put it on the table and see what he thinks.</t>
        </is>
      </c>
      <c r="G1321" s="12" t="inlineStr">
        <is>
          <t>얘기해보자. 한번 제안해보고 어떤 생각인지 들어보자.</t>
        </is>
      </c>
      <c r="H1321" s="9">
        <f>HYPERLINK("https://www.youtube.com/watch?v=FpHJaIjKUdE", "영상 보기 ▶")</f>
        <v/>
      </c>
    </row>
    <row r="1322" ht="26" customHeight="1">
      <c r="A1322" s="2" t="n">
        <v>1321</v>
      </c>
      <c r="B1322" s="3" t="inlineStr">
        <is>
          <t>총정리 27탄</t>
        </is>
      </c>
      <c r="C1322" s="3" t="inlineStr">
        <is>
          <t>실전회화/표현</t>
        </is>
      </c>
      <c r="D1322" s="4" t="inlineStr">
        <is>
          <t>talk</t>
        </is>
      </c>
      <c r="E1322" s="11" t="inlineStr">
        <is>
          <t>대상 out 얘기로 풀다</t>
        </is>
      </c>
      <c r="F1322" s="11" t="inlineStr">
        <is>
          <t>There's nothing you can't talk out.</t>
        </is>
      </c>
      <c r="G1322" s="11" t="inlineStr">
        <is>
          <t>대화로 못 푸는 건 없어.</t>
        </is>
      </c>
      <c r="H1322" s="5">
        <f>HYPERLINK("https://www.youtube.com/watch?v=FpHJaIjKUdE", "영상 보기 ▶")</f>
        <v/>
      </c>
    </row>
    <row r="1323" ht="26" customHeight="1">
      <c r="A1323" s="6" t="n">
        <v>1322</v>
      </c>
      <c r="B1323" s="7" t="inlineStr">
        <is>
          <t>총정리 27탄</t>
        </is>
      </c>
      <c r="C1323" s="7" t="inlineStr">
        <is>
          <t>실전회화/표현</t>
        </is>
      </c>
      <c r="D1323" s="8" t="inlineStr">
        <is>
          <t>cut out for ~</t>
        </is>
      </c>
      <c r="E1323" s="12" t="inlineStr">
        <is>
          <t>에 적합한, 소질이 있는</t>
        </is>
      </c>
      <c r="F1323" s="12" t="inlineStr">
        <is>
          <t>I'm not cut out for this job.</t>
        </is>
      </c>
      <c r="G1323" s="12" t="inlineStr">
        <is>
          <t>전 이 직업에 적합하지 않아요.</t>
        </is>
      </c>
      <c r="H1323" s="9">
        <f>HYPERLINK("https://www.youtube.com/watch?v=FpHJaIjKUdE", "영상 보기 ▶")</f>
        <v/>
      </c>
    </row>
    <row r="1324" ht="26" customHeight="1">
      <c r="A1324" s="2" t="n">
        <v>1323</v>
      </c>
      <c r="B1324" s="3" t="inlineStr">
        <is>
          <t>총정리 27탄</t>
        </is>
      </c>
      <c r="C1324" s="3" t="inlineStr">
        <is>
          <t>실전회화/표현</t>
        </is>
      </c>
      <c r="D1324" s="4" t="inlineStr">
        <is>
          <t>come down with</t>
        </is>
      </c>
      <c r="E1324" s="11" t="inlineStr">
        <is>
          <t>질병에 걸리다</t>
        </is>
      </c>
      <c r="F1324" s="11" t="inlineStr">
        <is>
          <t>I think I'm coming down with something.</t>
        </is>
      </c>
      <c r="G1324" s="11" t="inlineStr">
        <is>
          <t>나 감기 기운이 있는 것 같아.</t>
        </is>
      </c>
      <c r="H1324" s="5">
        <f>HYPERLINK("https://www.youtube.com/watch?v=FpHJaIjKUdE", "영상 보기 ▶")</f>
        <v/>
      </c>
    </row>
    <row r="1325" ht="26" customHeight="1">
      <c r="A1325" s="6" t="n">
        <v>1324</v>
      </c>
      <c r="B1325" s="7" t="inlineStr">
        <is>
          <t>총정리 27탄</t>
        </is>
      </c>
      <c r="C1325" s="7" t="inlineStr">
        <is>
          <t>실전회화/표현</t>
        </is>
      </c>
      <c r="D1325" s="8" t="inlineStr">
        <is>
          <t>have bigger fish to fry</t>
        </is>
      </c>
      <c r="E1325" s="12" t="inlineStr">
        <is>
          <t>더 중요한 일이 있다</t>
        </is>
      </c>
      <c r="F1325" s="12" t="inlineStr">
        <is>
          <t>Right now, we have bigger fish to fry.</t>
        </is>
      </c>
      <c r="G1325" s="12" t="inlineStr">
        <is>
          <t>지금은 더 급히 해결해야하는 중요한 일이 있잖아.</t>
        </is>
      </c>
      <c r="H1325" s="9">
        <f>HYPERLINK("https://www.youtube.com/watch?v=FpHJaIjKUdE", "영상 보기 ▶")</f>
        <v/>
      </c>
    </row>
    <row r="1326" ht="26" customHeight="1">
      <c r="A1326" s="2" t="n">
        <v>1325</v>
      </c>
      <c r="B1326" s="3" t="inlineStr">
        <is>
          <t>총정리 27탄</t>
        </is>
      </c>
      <c r="C1326" s="3" t="inlineStr">
        <is>
          <t>일상 회화</t>
        </is>
      </c>
      <c r="D1326" s="4" t="inlineStr">
        <is>
          <t>My eyes were bigger than my stomach.</t>
        </is>
      </c>
      <c r="E1326" s="11" t="inlineStr">
        <is>
          <t>욕심껏 많이 시켰는데 배불러서 다 못 먹겠어</t>
        </is>
      </c>
      <c r="F1326" s="11" t="inlineStr">
        <is>
          <t>I shouldn't have ordered two pizzas; my eyes were bigger than my stomach.</t>
        </is>
      </c>
      <c r="G1326" s="11" t="inlineStr">
        <is>
          <t>피자를 두 판이나 시키지 말았어야 했는데, 욕심이 너무 과했어.</t>
        </is>
      </c>
      <c r="H1326" s="5">
        <f>HYPERLINK("https://www.youtube.com/watch?v=FpHJaIjKUdE", "영상 보기 ▶")</f>
        <v/>
      </c>
    </row>
    <row r="1327" ht="26" customHeight="1">
      <c r="A1327" s="6" t="n">
        <v>1326</v>
      </c>
      <c r="B1327" s="7" t="inlineStr">
        <is>
          <t>총정리 27탄</t>
        </is>
      </c>
      <c r="C1327" s="7" t="inlineStr">
        <is>
          <t>실전회화/표현</t>
        </is>
      </c>
      <c r="D1327" s="8" t="inlineStr">
        <is>
          <t>wake-up call</t>
        </is>
      </c>
      <c r="E1327" s="12" t="inlineStr">
        <is>
          <t>정신을 차리게 하는 계기</t>
        </is>
      </c>
      <c r="F1327" s="12" t="inlineStr">
        <is>
          <t>All the other companies are downsizing. This should be a wake-up call to all of us.</t>
        </is>
      </c>
      <c r="G1327" s="12" t="inlineStr">
        <is>
          <t>다른 회사들은 다 구조조정에 들어갔어. 우리 모두 정신차려야 해.</t>
        </is>
      </c>
      <c r="H1327" s="9">
        <f>HYPERLINK("https://www.youtube.com/watch?v=FpHJaIjKUdE", "영상 보기 ▶")</f>
        <v/>
      </c>
    </row>
    <row r="1328" ht="26" customHeight="1">
      <c r="A1328" s="2" t="n">
        <v>1327</v>
      </c>
      <c r="B1328" s="3" t="inlineStr">
        <is>
          <t>총정리 27탄</t>
        </is>
      </c>
      <c r="C1328" s="3" t="inlineStr">
        <is>
          <t>실전회화/표현</t>
        </is>
      </c>
      <c r="D1328" s="4" t="inlineStr">
        <is>
          <t>off</t>
        </is>
      </c>
      <c r="E1328" s="11" t="inlineStr">
        <is>
          <t>잘못된, 틀린</t>
        </is>
      </c>
      <c r="F1328" s="11" t="inlineStr">
        <is>
          <t>Something's off.</t>
        </is>
      </c>
      <c r="G1328" s="11" t="inlineStr">
        <is>
          <t>뭔가 이상한데.</t>
        </is>
      </c>
      <c r="H1328" s="5">
        <f>HYPERLINK("https://www.youtube.com/watch?v=FpHJaIjKUdE", "영상 보기 ▶")</f>
        <v/>
      </c>
    </row>
    <row r="1329" ht="26" customHeight="1">
      <c r="A1329" s="6" t="n">
        <v>1328</v>
      </c>
      <c r="B1329" s="7" t="inlineStr">
        <is>
          <t>총정리 27탄</t>
        </is>
      </c>
      <c r="C1329" s="7" t="inlineStr">
        <is>
          <t>팀워크/총력</t>
        </is>
      </c>
      <c r="D1329" s="8" t="inlineStr">
        <is>
          <t>All hands on deck.</t>
        </is>
      </c>
      <c r="E1329" s="12" t="inlineStr">
        <is>
          <t>모두가 손을 걷어붙이고 힘을 합쳐야 해 (총력전)</t>
        </is>
      </c>
      <c r="F1329" s="12" t="inlineStr">
        <is>
          <t>The deadline is tomorrow, so it's all hands on deck.</t>
        </is>
      </c>
      <c r="G1329" s="12" t="inlineStr">
        <is>
          <t>마감이 내일이라 전원이 총출동해 달라붙어야 합니다.</t>
        </is>
      </c>
      <c r="H1329" s="9">
        <f>HYPERLINK("https://www.youtube.com/watch?v=FpHJaIjKUdE", "영상 보기 ▶")</f>
        <v/>
      </c>
    </row>
    <row r="1330" ht="26" customHeight="1">
      <c r="A1330" s="2" t="n">
        <v>1329</v>
      </c>
      <c r="B1330" s="3" t="inlineStr">
        <is>
          <t>총정리 27탄</t>
        </is>
      </c>
      <c r="C1330" s="3" t="inlineStr">
        <is>
          <t>실전회화/표현</t>
        </is>
      </c>
      <c r="D1330" s="4" t="inlineStr">
        <is>
          <t>I'd rather not ~</t>
        </is>
      </c>
      <c r="E1330" s="11" t="inlineStr">
        <is>
          <t>하지 않는게 낫겠어</t>
        </is>
      </c>
      <c r="F1330" s="11" t="inlineStr">
        <is>
          <t>I'd rather not talk about it. It's a touchy subject for me.</t>
        </is>
      </c>
      <c r="G1330" s="11" t="inlineStr">
        <is>
          <t>그 얘긴 하고싶지 않아. 나한테는 민감한 주제거든.</t>
        </is>
      </c>
      <c r="H1330" s="5">
        <f>HYPERLINK("https://www.youtube.com/watch?v=FpHJaIjKUdE", "영상 보기 ▶")</f>
        <v/>
      </c>
    </row>
    <row r="1331" ht="26" customHeight="1">
      <c r="A1331" s="6" t="n">
        <v>1330</v>
      </c>
      <c r="B1331" s="7" t="inlineStr">
        <is>
          <t>총정리 27탄</t>
        </is>
      </c>
      <c r="C1331" s="7" t="inlineStr">
        <is>
          <t>실전회화/표현</t>
        </is>
      </c>
      <c r="D1331" s="8" t="inlineStr">
        <is>
          <t>late bloomer</t>
        </is>
      </c>
      <c r="E1331" s="12" t="inlineStr">
        <is>
          <t>늦게 피는 꽃, 대기만성형</t>
        </is>
      </c>
      <c r="F1331" s="12" t="inlineStr">
        <is>
          <t>She's a late bloomer.</t>
        </is>
      </c>
      <c r="G1331" s="12" t="inlineStr">
        <is>
          <t>그녀는 늦게 성공한 케이스야.</t>
        </is>
      </c>
      <c r="H1331" s="9">
        <f>HYPERLINK("https://www.youtube.com/watch?v=FpHJaIjKUdE", "영상 보기 ▶")</f>
        <v/>
      </c>
    </row>
    <row r="1332" ht="26" customHeight="1">
      <c r="A1332" s="2" t="n">
        <v>1331</v>
      </c>
      <c r="B1332" s="3" t="inlineStr">
        <is>
          <t>총정리 27탄</t>
        </is>
      </c>
      <c r="C1332" s="3" t="inlineStr">
        <is>
          <t>공감/감정</t>
        </is>
      </c>
      <c r="D1332" s="4" t="inlineStr">
        <is>
          <t>Don't beat yourself up.</t>
        </is>
      </c>
      <c r="E1332" s="11" t="inlineStr">
        <is>
          <t>자책하지 마.</t>
        </is>
      </c>
      <c r="F1332" s="11" t="inlineStr">
        <is>
          <t>Don't beat yourself up too hard. Who knows? You might be a late bloomer.</t>
        </is>
      </c>
      <c r="G1332" s="11" t="inlineStr">
        <is>
          <t>너무 자책하지 마. 누가 알아, 네가 나중에 엄청 성공할지?</t>
        </is>
      </c>
      <c r="H1332" s="5">
        <f>HYPERLINK("https://www.youtube.com/watch?v=FpHJaIjKUdE", "영상 보기 ▶")</f>
        <v/>
      </c>
    </row>
    <row r="1333" ht="26" customHeight="1">
      <c r="A1333" s="6" t="n">
        <v>1332</v>
      </c>
      <c r="B1333" s="7" t="inlineStr">
        <is>
          <t>총정리 27탄</t>
        </is>
      </c>
      <c r="C1333" s="7" t="inlineStr">
        <is>
          <t>실전회화/표현</t>
        </is>
      </c>
      <c r="D1333" s="8" t="inlineStr">
        <is>
          <t>only so many/much</t>
        </is>
      </c>
      <c r="E1333" s="12" t="inlineStr">
        <is>
          <t>제한된, 한계가 있는</t>
        </is>
      </c>
      <c r="F1333" s="12" t="inlineStr">
        <is>
          <t>I know you want to help her, but there's only so much you can do.</t>
        </is>
      </c>
      <c r="G1333" s="12" t="inlineStr">
        <is>
          <t>네가 그녀를 도와주고 싶은 건 알겠지만 네가 할 수 있는 것도 한계가 있어.</t>
        </is>
      </c>
      <c r="H1333" s="9">
        <f>HYPERLINK("https://www.youtube.com/watch?v=FpHJaIjKUdE", "영상 보기 ▶")</f>
        <v/>
      </c>
    </row>
    <row r="1334" ht="26" customHeight="1">
      <c r="A1334" s="2" t="n">
        <v>1333</v>
      </c>
      <c r="B1334" s="3" t="inlineStr">
        <is>
          <t>총정리 27탄</t>
        </is>
      </c>
      <c r="C1334" s="3" t="inlineStr">
        <is>
          <t>실전회화/표현</t>
        </is>
      </c>
      <c r="D1334" s="4" t="inlineStr">
        <is>
          <t>be on the fence</t>
        </is>
      </c>
      <c r="E1334" s="11" t="inlineStr">
        <is>
          <t>고민 중이다</t>
        </is>
      </c>
      <c r="F1334" s="11" t="inlineStr">
        <is>
          <t>I'm still on the fence.</t>
        </is>
      </c>
      <c r="G1334" s="11" t="inlineStr">
        <is>
          <t>아직 고민 중이야.</t>
        </is>
      </c>
      <c r="H1334" s="5">
        <f>HYPERLINK("https://www.youtube.com/watch?v=FpHJaIjKUdE", "영상 보기 ▶")</f>
        <v/>
      </c>
    </row>
    <row r="1335" ht="26" customHeight="1">
      <c r="A1335" s="6" t="n">
        <v>1334</v>
      </c>
      <c r="B1335" s="7" t="inlineStr">
        <is>
          <t>총정리 27탄</t>
        </is>
      </c>
      <c r="C1335" s="7" t="inlineStr">
        <is>
          <t>의견/의사결정</t>
        </is>
      </c>
      <c r="D1335" s="8" t="inlineStr">
        <is>
          <t>sleep on</t>
        </is>
      </c>
      <c r="E1335" s="12" t="inlineStr">
        <is>
          <t>곰곰이 생각해보다</t>
        </is>
      </c>
      <c r="F1335" s="12" t="inlineStr">
        <is>
          <t>A: Think it through, okay? Don't do something you're gonna regret for the rest of your life.</t>
        </is>
      </c>
      <c r="G1335" s="12" t="inlineStr">
        <is>
          <t>잘 생각해봐. 평생 후회할 짓은 하지 말고.</t>
        </is>
      </c>
      <c r="H1335" s="9">
        <f>HYPERLINK("https://www.youtube.com/watch?v=FpHJaIjKUdE", "영상 보기 ▶")</f>
        <v/>
      </c>
    </row>
    <row r="1336" ht="26" customHeight="1">
      <c r="A1336" s="2" t="n">
        <v>1335</v>
      </c>
      <c r="B1336" s="3" t="inlineStr">
        <is>
          <t>총정리 27탄</t>
        </is>
      </c>
      <c r="C1336" s="3" t="inlineStr">
        <is>
          <t>실전회화/표현</t>
        </is>
      </c>
      <c r="D1336" s="4" t="inlineStr">
        <is>
          <t>ever-growing</t>
        </is>
      </c>
      <c r="E1336" s="11" t="inlineStr">
        <is>
          <t>계속 늘어나는, 계속 자라나는</t>
        </is>
      </c>
      <c r="F1336" s="11" t="inlineStr">
        <is>
          <t>It's an ever-growing market.</t>
        </is>
      </c>
      <c r="G1336" s="11" t="inlineStr">
        <is>
          <t>그건 계속 커지는 시장이야.</t>
        </is>
      </c>
      <c r="H1336" s="5">
        <f>HYPERLINK("https://www.youtube.com/watch?v=FpHJaIjKUdE", "영상 보기 ▶")</f>
        <v/>
      </c>
    </row>
    <row r="1337" ht="26" customHeight="1">
      <c r="A1337" s="6" t="n">
        <v>1336</v>
      </c>
      <c r="B1337" s="7" t="inlineStr">
        <is>
          <t>총정리 27탄</t>
        </is>
      </c>
      <c r="C1337" s="7" t="inlineStr">
        <is>
          <t>실전회화/표현</t>
        </is>
      </c>
      <c r="D1337" s="8" t="inlineStr">
        <is>
          <t>on the side</t>
        </is>
      </c>
      <c r="E1337" s="12" t="inlineStr">
        <is>
          <t>사이드에, 따로</t>
        </is>
      </c>
      <c r="F1337" s="12" t="inlineStr">
        <is>
          <t>Can I have the sauce on the side?</t>
        </is>
      </c>
      <c r="G1337" s="12" t="inlineStr">
        <is>
          <t>소스는 따로 주실 수 있나요?</t>
        </is>
      </c>
      <c r="H1337" s="9">
        <f>HYPERLINK("https://www.youtube.com/watch?v=FpHJaIjKUdE", "영상 보기 ▶")</f>
        <v/>
      </c>
    </row>
    <row r="1338" ht="26" customHeight="1">
      <c r="A1338" s="2" t="n">
        <v>1337</v>
      </c>
      <c r="B1338" s="3" t="inlineStr">
        <is>
          <t>총정리 27탄</t>
        </is>
      </c>
      <c r="C1338" s="3" t="inlineStr">
        <is>
          <t>실전회화/표현</t>
        </is>
      </c>
      <c r="D1338" s="4" t="inlineStr">
        <is>
          <t>strong suit</t>
        </is>
      </c>
      <c r="E1338" s="11" t="inlineStr">
        <is>
          <t>강점, 잘 하는 분야</t>
        </is>
      </c>
      <c r="F1338" s="11" t="inlineStr">
        <is>
          <t>A: He's late again.</t>
        </is>
      </c>
      <c r="G1338" s="11" t="inlineStr">
        <is>
          <t>또 늦네.</t>
        </is>
      </c>
      <c r="H1338" s="5">
        <f>HYPERLINK("https://www.youtube.com/watch?v=FpHJaIjKUdE", "영상 보기 ▶")</f>
        <v/>
      </c>
    </row>
    <row r="1339" ht="26" customHeight="1">
      <c r="A1339" s="6" t="n">
        <v>1338</v>
      </c>
      <c r="B1339" s="7" t="inlineStr">
        <is>
          <t>총정리 27탄</t>
        </is>
      </c>
      <c r="C1339" s="7" t="inlineStr">
        <is>
          <t>실전회화/표현</t>
        </is>
      </c>
      <c r="D1339" s="8" t="inlineStr">
        <is>
          <t>cut down on ~</t>
        </is>
      </c>
      <c r="E1339" s="12" t="inlineStr">
        <is>
          <t>를 줄이다</t>
        </is>
      </c>
      <c r="F1339" s="12" t="inlineStr">
        <is>
          <t>I'm trying to cut down on drinking.</t>
        </is>
      </c>
      <c r="G1339" s="12" t="inlineStr">
        <is>
          <t>술을 줄이려고 노력 중이야.</t>
        </is>
      </c>
      <c r="H1339" s="9">
        <f>HYPERLINK("https://www.youtube.com/watch?v=FpHJaIjKUdE", "영상 보기 ▶")</f>
        <v/>
      </c>
    </row>
    <row r="1340" ht="26" customHeight="1">
      <c r="A1340" s="2" t="n">
        <v>1339</v>
      </c>
      <c r="B1340" s="3" t="inlineStr">
        <is>
          <t>총정리 27탄</t>
        </is>
      </c>
      <c r="C1340" s="3" t="inlineStr">
        <is>
          <t>실전회화/표현</t>
        </is>
      </c>
      <c r="D1340" s="4" t="inlineStr">
        <is>
          <t>valet [</t>
        </is>
      </c>
      <c r="E1340" s="11" t="inlineStr">
        <is>
          <t>밸레이]</t>
        </is>
      </c>
      <c r="F1340" s="11" t="inlineStr">
        <is>
          <t>How much is the valet?</t>
        </is>
      </c>
      <c r="G1340" s="11" t="inlineStr">
        <is>
          <t>발렛 파킹비는 얼마에요?</t>
        </is>
      </c>
      <c r="H1340" s="5">
        <f>HYPERLINK("https://www.youtube.com/watch?v=FpHJaIjKUdE", "영상 보기 ▶")</f>
        <v/>
      </c>
    </row>
    <row r="1341" ht="26" customHeight="1">
      <c r="A1341" s="6" t="n">
        <v>1340</v>
      </c>
      <c r="B1341" s="7" t="inlineStr">
        <is>
          <t>총정리 27탄</t>
        </is>
      </c>
      <c r="C1341" s="7" t="inlineStr">
        <is>
          <t>공감/감정</t>
        </is>
      </c>
      <c r="D1341" s="8" t="inlineStr">
        <is>
          <t>streamline</t>
        </is>
      </c>
      <c r="E1341" s="12" t="inlineStr">
        <is>
          <t>간소화하다, 능률화하다</t>
        </is>
      </c>
      <c r="F1341" s="12" t="inlineStr">
        <is>
          <t>It will help us streamline the process.</t>
        </is>
      </c>
      <c r="G1341" s="12" t="inlineStr">
        <is>
          <t>과정을 간소화 시키는데 도움이 될거야.</t>
        </is>
      </c>
      <c r="H1341" s="9">
        <f>HYPERLINK("https://www.youtube.com/watch?v=FpHJaIjKUdE", "영상 보기 ▶")</f>
        <v/>
      </c>
    </row>
    <row r="1342" ht="26" customHeight="1">
      <c r="A1342" s="2" t="n">
        <v>1341</v>
      </c>
      <c r="B1342" s="3" t="inlineStr">
        <is>
          <t>총정리 27탄</t>
        </is>
      </c>
      <c r="C1342" s="3" t="inlineStr">
        <is>
          <t>실전회화/표현</t>
        </is>
      </c>
      <c r="D1342" s="4" t="inlineStr">
        <is>
          <t>tirelessly</t>
        </is>
      </c>
      <c r="E1342" s="11" t="inlineStr">
        <is>
          <t>지칠 줄 모르고, 끊임없이</t>
        </is>
      </c>
      <c r="F1342" s="11" t="inlineStr">
        <is>
          <t>We've been working tirelessly to come up with a solution.</t>
        </is>
      </c>
      <c r="G1342" s="11" t="inlineStr">
        <is>
          <t>해결책을 마련하기 위해 정말 열심히 일했어요.</t>
        </is>
      </c>
      <c r="H1342" s="5">
        <f>HYPERLINK("https://www.youtube.com/watch?v=FpHJaIjKUdE", "영상 보기 ▶")</f>
        <v/>
      </c>
    </row>
    <row r="1343" ht="26" customHeight="1">
      <c r="A1343" s="6" t="n">
        <v>1342</v>
      </c>
      <c r="B1343" s="7" t="inlineStr">
        <is>
          <t>총정리 27탄</t>
        </is>
      </c>
      <c r="C1343" s="7" t="inlineStr">
        <is>
          <t>실전회화/표현</t>
        </is>
      </c>
      <c r="D1343" s="8" t="inlineStr">
        <is>
          <t>if possible</t>
        </is>
      </c>
      <c r="E1343" s="12" t="inlineStr">
        <is>
          <t>가능하다면</t>
        </is>
      </c>
      <c r="F1343" s="12" t="inlineStr">
        <is>
          <t>If possible, could we speed this up and have it done by EOD?</t>
        </is>
      </c>
      <c r="G1343" s="12" t="inlineStr">
        <is>
          <t>가능하다면 좀 더 빨리 처리해서 오늘 퇴근 전까지 끝낼 수 있을까?</t>
        </is>
      </c>
      <c r="H1343" s="9">
        <f>HYPERLINK("https://www.youtube.com/watch?v=FpHJaIjKUdE", "영상 보기 ▶")</f>
        <v/>
      </c>
    </row>
    <row r="1344" ht="26" customHeight="1">
      <c r="A1344" s="2" t="n">
        <v>1343</v>
      </c>
      <c r="B1344" s="3" t="inlineStr">
        <is>
          <t>총정리 27탄</t>
        </is>
      </c>
      <c r="C1344" s="3" t="inlineStr">
        <is>
          <t>공감/감정</t>
        </is>
      </c>
      <c r="D1344" s="4" t="inlineStr">
        <is>
          <t>gravitate towards</t>
        </is>
      </c>
      <c r="E1344" s="11" t="inlineStr">
        <is>
          <t>관심이 가다, 마음이 끌리다</t>
        </is>
      </c>
      <c r="F1344" s="11" t="inlineStr">
        <is>
          <t>I tend to gravitate towards lighter colors. They suit me better.</t>
        </is>
      </c>
      <c r="G1344" s="11" t="inlineStr">
        <is>
          <t>난 밝은 색깔이 끌리더라구. 나한테 더 어울려서 말이야.</t>
        </is>
      </c>
      <c r="H1344" s="5">
        <f>HYPERLINK("https://www.youtube.com/watch?v=FpHJaIjKUdE", "영상 보기 ▶")</f>
        <v/>
      </c>
    </row>
    <row r="1345" ht="26" customHeight="1">
      <c r="A1345" s="6" t="n">
        <v>1344</v>
      </c>
      <c r="B1345" s="7" t="inlineStr">
        <is>
          <t>총정리 27탄</t>
        </is>
      </c>
      <c r="C1345" s="7" t="inlineStr">
        <is>
          <t>실전회화/표현</t>
        </is>
      </c>
      <c r="D1345" s="8" t="inlineStr">
        <is>
          <t>versatile</t>
        </is>
      </c>
      <c r="E1345" s="12" t="inlineStr">
        <is>
          <t>다재다능한, 다용도의</t>
        </is>
      </c>
      <c r="F1345" s="12" t="inlineStr">
        <is>
          <t>It's very versatile.</t>
        </is>
      </c>
      <c r="G1345" s="12" t="inlineStr">
        <is>
          <t>다양한 상황에서 쓸 수 있어.</t>
        </is>
      </c>
      <c r="H1345" s="9">
        <f>HYPERLINK("https://www.youtube.com/watch?v=FpHJaIjKUdE", "영상 보기 ▶")</f>
        <v/>
      </c>
    </row>
    <row r="1346" ht="26" customHeight="1">
      <c r="A1346" s="2" t="n">
        <v>1345</v>
      </c>
      <c r="B1346" s="3" t="inlineStr">
        <is>
          <t>총정리 27탄</t>
        </is>
      </c>
      <c r="C1346" s="3" t="inlineStr">
        <is>
          <t>실전회화/표현</t>
        </is>
      </c>
      <c r="D1346" s="4" t="inlineStr">
        <is>
          <t>compatible</t>
        </is>
      </c>
      <c r="E1346" s="11" t="inlineStr">
        <is>
          <t>호환이 되는, 잘 맞는</t>
        </is>
      </c>
      <c r="F1346" s="11" t="inlineStr">
        <is>
          <t>I don't think we're compatible. We don't see eye to eye.</t>
        </is>
      </c>
      <c r="G1346" s="11" t="inlineStr">
        <is>
          <t>우린 안 맞는 것 같아. 생각하는게 달라.</t>
        </is>
      </c>
      <c r="H1346" s="5">
        <f>HYPERLINK("https://www.youtube.com/watch?v=FpHJaIjKUdE", "영상 보기 ▶")</f>
        <v/>
      </c>
    </row>
    <row r="1347" ht="26" customHeight="1">
      <c r="A1347" s="6" t="n">
        <v>1346</v>
      </c>
      <c r="B1347" s="7" t="inlineStr">
        <is>
          <t>총정리 27탄</t>
        </is>
      </c>
      <c r="C1347" s="7" t="inlineStr">
        <is>
          <t>실전회화/표현</t>
        </is>
      </c>
      <c r="D1347" s="8" t="inlineStr">
        <is>
          <t>pour into</t>
        </is>
      </c>
      <c r="E1347" s="12" t="inlineStr">
        <is>
          <t>쏟아 붓다</t>
        </is>
      </c>
      <c r="F1347" s="12" t="inlineStr">
        <is>
          <t>A: I can tell he's poured a lot of money into this project. He didn't cut any corners.</t>
        </is>
      </c>
      <c r="G1347" s="12" t="inlineStr">
        <is>
          <t>그가 이 프로젝트에 많은 돈을 투자했다는 걸 알겠다. 돈을 아끼지 않았어.</t>
        </is>
      </c>
      <c r="H1347" s="9">
        <f>HYPERLINK("https://www.youtube.com/watch?v=FpHJaIjKUdE", "영상 보기 ▶")</f>
        <v/>
      </c>
    </row>
    <row r="1348" ht="26" customHeight="1">
      <c r="A1348" s="2" t="n">
        <v>1347</v>
      </c>
      <c r="B1348" s="3" t="inlineStr">
        <is>
          <t>총정리 27탄</t>
        </is>
      </c>
      <c r="C1348" s="3" t="inlineStr">
        <is>
          <t>실전회화/표현</t>
        </is>
      </c>
      <c r="D1348" s="4" t="inlineStr">
        <is>
          <t>(at) any second (now)</t>
        </is>
      </c>
      <c r="E1348" s="11" t="inlineStr">
        <is>
          <t>곧, 언제든</t>
        </is>
      </c>
      <c r="F1348" s="11" t="inlineStr">
        <is>
          <t>It looks like it's gonna rain any second.</t>
        </is>
      </c>
      <c r="G1348" s="11" t="inlineStr">
        <is>
          <t>금방이라도 비가 올 것 같아.</t>
        </is>
      </c>
      <c r="H1348" s="5">
        <f>HYPERLINK("https://www.youtube.com/watch?v=FpHJaIjKUdE", "영상 보기 ▶")</f>
        <v/>
      </c>
    </row>
    <row r="1349" ht="26" customHeight="1">
      <c r="A1349" s="6" t="n">
        <v>1348</v>
      </c>
      <c r="B1349" s="7" t="inlineStr">
        <is>
          <t>총정리 27탄</t>
        </is>
      </c>
      <c r="C1349" s="7" t="inlineStr">
        <is>
          <t>실전회화/표현</t>
        </is>
      </c>
      <c r="D1349" s="8" t="inlineStr">
        <is>
          <t>better than ever</t>
        </is>
      </c>
      <c r="E1349" s="12" t="inlineStr">
        <is>
          <t>그 어느때보다도 더</t>
        </is>
      </c>
      <c r="F1349" s="12" t="inlineStr">
        <is>
          <t>You look better than ever.</t>
        </is>
      </c>
      <c r="G1349" s="12" t="inlineStr">
        <is>
          <t>너 어느때보다 좋아 보여.</t>
        </is>
      </c>
      <c r="H1349" s="9">
        <f>HYPERLINK("https://www.youtube.com/watch?v=FpHJaIjKUdE", "영상 보기 ▶")</f>
        <v/>
      </c>
    </row>
    <row r="1350" ht="26" customHeight="1">
      <c r="A1350" s="2" t="n">
        <v>1349</v>
      </c>
      <c r="B1350" s="3" t="inlineStr">
        <is>
          <t>총정리 27탄</t>
        </is>
      </c>
      <c r="C1350" s="3" t="inlineStr">
        <is>
          <t>실전회화/표현</t>
        </is>
      </c>
      <c r="D1350" s="4" t="inlineStr">
        <is>
          <t>anyway</t>
        </is>
      </c>
      <c r="E1350" s="11" t="inlineStr">
        <is>
          <t>그건 그렇고, 어쨌든</t>
        </is>
      </c>
      <c r="F1350" s="11" t="inlineStr">
        <is>
          <t>Anyway, let's talk about something else.</t>
        </is>
      </c>
      <c r="G1350" s="11" t="inlineStr">
        <is>
          <t>그건 그렇고, 다른 얘기도 좀 해보자</t>
        </is>
      </c>
      <c r="H1350" s="5">
        <f>HYPERLINK("https://www.youtube.com/watch?v=FpHJaIjKUdE", "영상 보기 ▶")</f>
        <v/>
      </c>
    </row>
    <row r="1351" ht="26" customHeight="1">
      <c r="A1351" s="6" t="n">
        <v>1350</v>
      </c>
      <c r="B1351" s="7" t="inlineStr">
        <is>
          <t>총정리 27탄</t>
        </is>
      </c>
      <c r="C1351" s="7" t="inlineStr">
        <is>
          <t>실전회화/표현</t>
        </is>
      </c>
      <c r="D1351" s="8" t="inlineStr">
        <is>
          <t>come across as ~</t>
        </is>
      </c>
      <c r="E1351" s="12" t="inlineStr">
        <is>
          <t>라는 인상을 주다</t>
        </is>
      </c>
      <c r="F1351" s="12" t="inlineStr">
        <is>
          <t>I don't wanna come across as cheap.</t>
        </is>
      </c>
      <c r="G1351" s="12" t="inlineStr">
        <is>
          <t>쪼잔해보이고 싶지 않아.</t>
        </is>
      </c>
      <c r="H1351" s="9">
        <f>HYPERLINK("https://www.youtube.com/watch?v=FpHJaIjKUdE", "영상 보기 ▶")</f>
        <v/>
      </c>
    </row>
    <row r="1352" ht="26" customHeight="1">
      <c r="A1352" s="2" t="n">
        <v>1351</v>
      </c>
      <c r="B1352" s="3" t="inlineStr">
        <is>
          <t>총정리 28탄</t>
        </is>
      </c>
      <c r="C1352" s="3" t="inlineStr">
        <is>
          <t>실전회화/표현</t>
        </is>
      </c>
      <c r="D1352" s="4" t="inlineStr">
        <is>
          <t>I'll leave you to it.</t>
        </is>
      </c>
      <c r="E1352" s="11" t="inlineStr">
        <is>
          <t>너에게 맡길게.</t>
        </is>
      </c>
      <c r="F1352" s="11" t="inlineStr">
        <is>
          <t>I'll leave you to your work.</t>
        </is>
      </c>
      <c r="G1352" s="11" t="inlineStr">
        <is>
          <t>마저 일 봐, 난 이만 가볼게.</t>
        </is>
      </c>
      <c r="H1352" s="5">
        <f>HYPERLINK("https://www.youtube.com/watch?v=20-dlZsgpFk", "영상 보기 ▶")</f>
        <v/>
      </c>
    </row>
    <row r="1353" ht="26" customHeight="1">
      <c r="A1353" s="6" t="n">
        <v>1352</v>
      </c>
      <c r="B1353" s="7" t="inlineStr">
        <is>
          <t>총정리 28탄</t>
        </is>
      </c>
      <c r="C1353" s="7" t="inlineStr">
        <is>
          <t>실전회화/표현</t>
        </is>
      </c>
      <c r="D1353" s="8" t="inlineStr">
        <is>
          <t>high-maintenance</t>
        </is>
      </c>
      <c r="E1353" s="12" t="inlineStr">
        <is>
          <t>세심한 관리가 필요한, 손이 많이 가는</t>
        </is>
      </c>
      <c r="F1353" s="12" t="inlineStr">
        <is>
          <t>You should go with black. I mean, white is a high-maintenance color.</t>
        </is>
      </c>
      <c r="G1353" s="12" t="inlineStr">
        <is>
          <t>검정색이 낫겠다, 흰색은 관리하기 힘들잖아.</t>
        </is>
      </c>
      <c r="H1353" s="9">
        <f>HYPERLINK("https://www.youtube.com/watch?v=20-dlZsgpFk", "영상 보기 ▶")</f>
        <v/>
      </c>
    </row>
    <row r="1354" ht="26" customHeight="1">
      <c r="A1354" s="2" t="n">
        <v>1353</v>
      </c>
      <c r="B1354" s="3" t="inlineStr">
        <is>
          <t>총정리 28탄</t>
        </is>
      </c>
      <c r="C1354" s="3" t="inlineStr">
        <is>
          <t>실전회화/표현</t>
        </is>
      </c>
      <c r="D1354" s="4" t="inlineStr">
        <is>
          <t>low-maintenance</t>
        </is>
      </c>
      <c r="E1354" s="11" t="inlineStr">
        <is>
          <t>손이 많이 안 가는, 유지 비용이 많이 안 드는</t>
        </is>
      </c>
      <c r="F1354" s="11" t="inlineStr">
        <is>
          <t>It's a low-maintenance plant.</t>
        </is>
      </c>
      <c r="G1354" s="11" t="inlineStr">
        <is>
          <t>키우기 쉬운 식물이야.</t>
        </is>
      </c>
      <c r="H1354" s="5">
        <f>HYPERLINK("https://www.youtube.com/watch?v=20-dlZsgpFk", "영상 보기 ▶")</f>
        <v/>
      </c>
    </row>
    <row r="1355" ht="26" customHeight="1">
      <c r="A1355" s="6" t="n">
        <v>1354</v>
      </c>
      <c r="B1355" s="7" t="inlineStr">
        <is>
          <t>총정리 28탄</t>
        </is>
      </c>
      <c r="C1355" s="7" t="inlineStr">
        <is>
          <t>실전회화/표현</t>
        </is>
      </c>
      <c r="D1355" s="8" t="inlineStr">
        <is>
          <t>put a pin in</t>
        </is>
      </c>
      <c r="E1355" s="12" t="inlineStr">
        <is>
          <t>대상 잠시 접어두고 넘어가다, 나중에 다시 논의하다</t>
        </is>
      </c>
      <c r="F1355" s="12" t="inlineStr">
        <is>
          <t>It's getting late. Let's put a pin in it and discuss it tomorrow.</t>
        </is>
      </c>
      <c r="G1355" s="12" t="inlineStr">
        <is>
          <t>시간이 늦었으니 일단 접어두고 내일 얘기하자.</t>
        </is>
      </c>
      <c r="H1355" s="9">
        <f>HYPERLINK("https://www.youtube.com/watch?v=20-dlZsgpFk", "영상 보기 ▶")</f>
        <v/>
      </c>
    </row>
    <row r="1356" ht="26" customHeight="1">
      <c r="A1356" s="2" t="n">
        <v>1355</v>
      </c>
      <c r="B1356" s="3" t="inlineStr">
        <is>
          <t>총정리 28탄</t>
        </is>
      </c>
      <c r="C1356" s="3" t="inlineStr">
        <is>
          <t>의견/의사결정</t>
        </is>
      </c>
      <c r="D1356" s="4" t="inlineStr">
        <is>
          <t>overthink</t>
        </is>
      </c>
      <c r="E1356" s="11" t="inlineStr">
        <is>
          <t>너무 오래, 깊게 생각하다</t>
        </is>
      </c>
      <c r="F1356" s="11" t="inlineStr">
        <is>
          <t>Let's just pick one and not overthink this.</t>
        </is>
      </c>
      <c r="G1356" s="11" t="inlineStr">
        <is>
          <t>어렵게 생각하지 말고 그냥 하나 고르자.</t>
        </is>
      </c>
      <c r="H1356" s="5">
        <f>HYPERLINK("https://www.youtube.com/watch?v=20-dlZsgpFk", "영상 보기 ▶")</f>
        <v/>
      </c>
    </row>
    <row r="1357" ht="26" customHeight="1">
      <c r="A1357" s="6" t="n">
        <v>1356</v>
      </c>
      <c r="B1357" s="7" t="inlineStr">
        <is>
          <t>총정리 28탄</t>
        </is>
      </c>
      <c r="C1357" s="7" t="inlineStr">
        <is>
          <t>실전회화/표현</t>
        </is>
      </c>
      <c r="D1357" s="8" t="inlineStr">
        <is>
          <t>overdo ~</t>
        </is>
      </c>
      <c r="E1357" s="12" t="inlineStr">
        <is>
          <t>를 지나치게 하다, 과장하다</t>
        </is>
      </c>
      <c r="F1357" s="12" t="inlineStr">
        <is>
          <t>Did we overdo it?</t>
        </is>
      </c>
      <c r="G1357" s="12" t="inlineStr">
        <is>
          <t>너무 오버했나?</t>
        </is>
      </c>
      <c r="H1357" s="9">
        <f>HYPERLINK("https://www.youtube.com/watch?v=20-dlZsgpFk", "영상 보기 ▶")</f>
        <v/>
      </c>
    </row>
    <row r="1358" ht="26" customHeight="1">
      <c r="A1358" s="2" t="n">
        <v>1357</v>
      </c>
      <c r="B1358" s="3" t="inlineStr">
        <is>
          <t>총정리 28탄</t>
        </is>
      </c>
      <c r="C1358" s="3" t="inlineStr">
        <is>
          <t>대화/인간관계</t>
        </is>
      </c>
      <c r="D1358" s="4" t="inlineStr">
        <is>
          <t>have a rapport</t>
        </is>
      </c>
      <c r="E1358" s="11" t="inlineStr">
        <is>
          <t>좋은 관계이다, 친분이 있다</t>
        </is>
      </c>
      <c r="F1358" s="11" t="inlineStr">
        <is>
          <t>I'll call and set up a meeting. We have a rapport.</t>
        </is>
      </c>
      <c r="G1358" s="11" t="inlineStr">
        <is>
          <t>내가 전화해서 미팅 잡을게. 그와 친분이 있으니깐.</t>
        </is>
      </c>
      <c r="H1358" s="5">
        <f>HYPERLINK("https://www.youtube.com/watch?v=20-dlZsgpFk", "영상 보기 ▶")</f>
        <v/>
      </c>
    </row>
    <row r="1359" ht="26" customHeight="1">
      <c r="A1359" s="6" t="n">
        <v>1358</v>
      </c>
      <c r="B1359" s="7" t="inlineStr">
        <is>
          <t>총정리 28탄</t>
        </is>
      </c>
      <c r="C1359" s="7" t="inlineStr">
        <is>
          <t>실전회화/표현</t>
        </is>
      </c>
      <c r="D1359" s="8" t="inlineStr">
        <is>
          <t>overhear</t>
        </is>
      </c>
      <c r="E1359" s="12" t="inlineStr">
        <is>
          <t>우연히 듣다, 무심코 듣다</t>
        </is>
      </c>
      <c r="F1359" s="12" t="inlineStr">
        <is>
          <t>Sorry, I couldn't help but overhear. Is everything okay with Ted?</t>
        </is>
      </c>
      <c r="G1359" s="12" t="inlineStr">
        <is>
          <t>미안, 어쩌다 보니 얘기를 들어버렸네. Ted는 괜찮은거야?</t>
        </is>
      </c>
      <c r="H1359" s="9">
        <f>HYPERLINK("https://www.youtube.com/watch?v=20-dlZsgpFk", "영상 보기 ▶")</f>
        <v/>
      </c>
    </row>
    <row r="1360" ht="26" customHeight="1">
      <c r="A1360" s="2" t="n">
        <v>1359</v>
      </c>
      <c r="B1360" s="3" t="inlineStr">
        <is>
          <t>총정리 28탄</t>
        </is>
      </c>
      <c r="C1360" s="3" t="inlineStr">
        <is>
          <t>실전회화/표현</t>
        </is>
      </c>
      <c r="D1360" s="4" t="inlineStr">
        <is>
          <t>eavesdrop</t>
        </is>
      </c>
      <c r="E1360" s="11" t="inlineStr">
        <is>
          <t>몰래 엿듣다</t>
        </is>
      </c>
      <c r="F1360" s="11" t="inlineStr">
        <is>
          <t>Come on, let's not eavesdrop.</t>
        </is>
      </c>
      <c r="G1360" s="11" t="inlineStr">
        <is>
          <t>에이, 엿듣지 말자.</t>
        </is>
      </c>
      <c r="H1360" s="5">
        <f>HYPERLINK("https://www.youtube.com/watch?v=20-dlZsgpFk", "영상 보기 ▶")</f>
        <v/>
      </c>
    </row>
    <row r="1361" ht="26" customHeight="1">
      <c r="A1361" s="6" t="n">
        <v>1360</v>
      </c>
      <c r="B1361" s="7" t="inlineStr">
        <is>
          <t>총정리 28탄</t>
        </is>
      </c>
      <c r="C1361" s="7" t="inlineStr">
        <is>
          <t>실전회화/표현</t>
        </is>
      </c>
      <c r="D1361" s="8" t="inlineStr">
        <is>
          <t>on the line</t>
        </is>
      </c>
      <c r="E1361" s="12" t="inlineStr">
        <is>
          <t>위태로운</t>
        </is>
      </c>
      <c r="F1361" s="12" t="inlineStr">
        <is>
          <t>I really need to close this deal. My incentive is on the line.</t>
        </is>
      </c>
      <c r="G1361" s="12" t="inlineStr">
        <is>
          <t>이 거래를 정말 꼭 성사시켜야 해. 내 인센티브가 달린 문제야.</t>
        </is>
      </c>
      <c r="H1361" s="9">
        <f>HYPERLINK("https://www.youtube.com/watch?v=20-dlZsgpFk", "영상 보기 ▶")</f>
        <v/>
      </c>
    </row>
    <row r="1362" ht="26" customHeight="1">
      <c r="A1362" s="2" t="n">
        <v>1361</v>
      </c>
      <c r="B1362" s="3" t="inlineStr">
        <is>
          <t>총정리 28탄</t>
        </is>
      </c>
      <c r="C1362" s="3" t="inlineStr">
        <is>
          <t>공감/감정</t>
        </is>
      </c>
      <c r="D1362" s="4" t="inlineStr">
        <is>
          <t>be happy with ~</t>
        </is>
      </c>
      <c r="E1362" s="11" t="inlineStr">
        <is>
          <t>가 만족스러워, 마음에 들어</t>
        </is>
      </c>
      <c r="F1362" s="11" t="inlineStr">
        <is>
          <t>I couldn't be happier with the numbers. Keep up the good work.</t>
        </is>
      </c>
      <c r="G1362" s="11" t="inlineStr">
        <is>
          <t>정말 만족스러운 실적이야. 앞으로도 열심히 해줘.</t>
        </is>
      </c>
      <c r="H1362" s="5">
        <f>HYPERLINK("https://www.youtube.com/watch?v=20-dlZsgpFk", "영상 보기 ▶")</f>
        <v/>
      </c>
    </row>
    <row r="1363" ht="26" customHeight="1">
      <c r="A1363" s="6" t="n">
        <v>1362</v>
      </c>
      <c r="B1363" s="7" t="inlineStr">
        <is>
          <t>총정리 28탄</t>
        </is>
      </c>
      <c r="C1363" s="7" t="inlineStr">
        <is>
          <t>실전회화/표현</t>
        </is>
      </c>
      <c r="D1363" s="8" t="inlineStr">
        <is>
          <t>last resort</t>
        </is>
      </c>
      <c r="E1363" s="12" t="inlineStr">
        <is>
          <t>마지막 방편, 최후의 수단</t>
        </is>
      </c>
      <c r="F1363" s="12" t="inlineStr">
        <is>
          <t>The next option is to get a loan, but it should be our last resort.</t>
        </is>
      </c>
      <c r="G1363" s="12" t="inlineStr">
        <is>
          <t>다음 방안은 대출을 받는 건데, 그건 최후의 수단이 되어야 해.</t>
        </is>
      </c>
      <c r="H1363" s="9">
        <f>HYPERLINK("https://www.youtube.com/watch?v=20-dlZsgpFk", "영상 보기 ▶")</f>
        <v/>
      </c>
    </row>
    <row r="1364" ht="26" customHeight="1">
      <c r="A1364" s="2" t="n">
        <v>1363</v>
      </c>
      <c r="B1364" s="3" t="inlineStr">
        <is>
          <t>총정리 28탄</t>
        </is>
      </c>
      <c r="C1364" s="3" t="inlineStr">
        <is>
          <t>공감/감정</t>
        </is>
      </c>
      <c r="D1364" s="4" t="inlineStr">
        <is>
          <t>simplify</t>
        </is>
      </c>
      <c r="E1364" s="11" t="inlineStr">
        <is>
          <t>간단하게, 단순화 하다</t>
        </is>
      </c>
      <c r="F1364" s="11" t="inlineStr">
        <is>
          <t>People aren't gonna get it. We need to simplify.</t>
        </is>
      </c>
      <c r="G1364" s="11" t="inlineStr">
        <is>
          <t>사람들은 이해하지 못할거야. 좀 더 단순하게 만들어야 해.</t>
        </is>
      </c>
      <c r="H1364" s="5">
        <f>HYPERLINK("https://www.youtube.com/watch?v=20-dlZsgpFk", "영상 보기 ▶")</f>
        <v/>
      </c>
    </row>
    <row r="1365" ht="26" customHeight="1">
      <c r="A1365" s="6" t="n">
        <v>1364</v>
      </c>
      <c r="B1365" s="7" t="inlineStr">
        <is>
          <t>총정리 28탄</t>
        </is>
      </c>
      <c r="C1365" s="7" t="inlineStr">
        <is>
          <t>공감/감정</t>
        </is>
      </c>
      <c r="D1365" s="8" t="inlineStr">
        <is>
          <t>go south</t>
        </is>
      </c>
      <c r="E1365" s="12" t="inlineStr">
        <is>
          <t>떨어지다, 상황이 악화되다</t>
        </is>
      </c>
      <c r="F1365" s="12" t="inlineStr">
        <is>
          <t>If this goes south, my job will be on the line.</t>
        </is>
      </c>
      <c r="G1365" s="12" t="inlineStr">
        <is>
          <t>이 일이 잘못되면 회사에서 내 자리가 위험해질 수 있어.</t>
        </is>
      </c>
      <c r="H1365" s="9">
        <f>HYPERLINK("https://www.youtube.com/watch?v=20-dlZsgpFk", "영상 보기 ▶")</f>
        <v/>
      </c>
    </row>
    <row r="1366" ht="26" customHeight="1">
      <c r="A1366" s="2" t="n">
        <v>1365</v>
      </c>
      <c r="B1366" s="3" t="inlineStr">
        <is>
          <t>총정리 28탄</t>
        </is>
      </c>
      <c r="C1366" s="3" t="inlineStr">
        <is>
          <t>실전회화/표현</t>
        </is>
      </c>
      <c r="D1366" s="4" t="inlineStr">
        <is>
          <t>considerable</t>
        </is>
      </c>
      <c r="E1366" s="11" t="inlineStr">
        <is>
          <t>상당한, 꽤 많은</t>
        </is>
      </c>
      <c r="F1366" s="11" t="inlineStr">
        <is>
          <t>He's invested a considerable amount of time and money in this project.</t>
        </is>
      </c>
      <c r="G1366" s="11" t="inlineStr">
        <is>
          <t>이 프로젝트에 상당히 꽤 많은 시간과 돈을 투자했어.</t>
        </is>
      </c>
      <c r="H1366" s="5">
        <f>HYPERLINK("https://www.youtube.com/watch?v=20-dlZsgpFk", "영상 보기 ▶")</f>
        <v/>
      </c>
    </row>
    <row r="1367" ht="26" customHeight="1">
      <c r="A1367" s="6" t="n">
        <v>1366</v>
      </c>
      <c r="B1367" s="7" t="inlineStr">
        <is>
          <t>총정리 28탄</t>
        </is>
      </c>
      <c r="C1367" s="7" t="inlineStr">
        <is>
          <t>실전회화/표현</t>
        </is>
      </c>
      <c r="D1367" s="8" t="inlineStr">
        <is>
          <t>considerably</t>
        </is>
      </c>
      <c r="E1367" s="12" t="inlineStr">
        <is>
          <t>상당히, 꽤 많이</t>
        </is>
      </c>
      <c r="F1367" s="12" t="inlineStr">
        <is>
          <t>Wow, this is considerably better than the last one.</t>
        </is>
      </c>
      <c r="G1367" s="12" t="inlineStr">
        <is>
          <t>와, 지난 것보다 이게 훨씬 더 나은데.</t>
        </is>
      </c>
      <c r="H1367" s="9">
        <f>HYPERLINK("https://www.youtube.com/watch?v=20-dlZsgpFk", "영상 보기 ▶")</f>
        <v/>
      </c>
    </row>
    <row r="1368" ht="26" customHeight="1">
      <c r="A1368" s="2" t="n">
        <v>1367</v>
      </c>
      <c r="B1368" s="3" t="inlineStr">
        <is>
          <t>총정리 28탄</t>
        </is>
      </c>
      <c r="C1368" s="3" t="inlineStr">
        <is>
          <t>실전회화/표현</t>
        </is>
      </c>
      <c r="D1368" s="4" t="inlineStr">
        <is>
          <t>rectify</t>
        </is>
      </c>
      <c r="E1368" s="11" t="inlineStr">
        <is>
          <t>바로잡다, 고치다</t>
        </is>
      </c>
      <c r="F1368" s="11" t="inlineStr">
        <is>
          <t>We need to figure out how to rectify the situation.</t>
        </is>
      </c>
      <c r="G1368" s="11" t="inlineStr">
        <is>
          <t>상황을 어떻게 바로잡을 수 있을지 생각해야 해.</t>
        </is>
      </c>
      <c r="H1368" s="5">
        <f>HYPERLINK("https://www.youtube.com/watch?v=20-dlZsgpFk", "영상 보기 ▶")</f>
        <v/>
      </c>
    </row>
    <row r="1369" ht="26" customHeight="1">
      <c r="A1369" s="6" t="n">
        <v>1368</v>
      </c>
      <c r="B1369" s="7" t="inlineStr">
        <is>
          <t>총정리 28탄</t>
        </is>
      </c>
      <c r="C1369" s="7" t="inlineStr">
        <is>
          <t>실전회화/표현</t>
        </is>
      </c>
      <c r="D1369" s="8" t="inlineStr">
        <is>
          <t>estranged</t>
        </is>
      </c>
      <c r="E1369" s="12" t="inlineStr">
        <is>
          <t>사이가 소원해진, 멀어진</t>
        </is>
      </c>
      <c r="F1369" s="12" t="inlineStr">
        <is>
          <t>I know we've been estranged, and I want to rectiry that.</t>
        </is>
      </c>
      <c r="G1369" s="12" t="inlineStr">
        <is>
          <t>우리 사이가 소원해진 거 알아, 상황을 바로 잡고 싶어.</t>
        </is>
      </c>
      <c r="H1369" s="9">
        <f>HYPERLINK("https://www.youtube.com/watch?v=20-dlZsgpFk", "영상 보기 ▶")</f>
        <v/>
      </c>
    </row>
    <row r="1370" ht="26" customHeight="1">
      <c r="A1370" s="2" t="n">
        <v>1369</v>
      </c>
      <c r="B1370" s="3" t="inlineStr">
        <is>
          <t>총정리 28탄</t>
        </is>
      </c>
      <c r="C1370" s="3" t="inlineStr">
        <is>
          <t>실전회화/표현</t>
        </is>
      </c>
      <c r="D1370" s="4" t="inlineStr">
        <is>
          <t>mend fences</t>
        </is>
      </c>
      <c r="E1370" s="11" t="inlineStr">
        <is>
          <t>해결하다, 회복하다</t>
        </is>
      </c>
      <c r="F1370" s="11" t="inlineStr">
        <is>
          <t>I was hoping that we could mend our fences. Sorry for taking my frustration out on you.</t>
        </is>
      </c>
      <c r="G1370" s="11" t="inlineStr">
        <is>
          <t>우리 관계를 개선할 수 있을까 싶어서. 답답한걸 너한테 화풀이해서 미안해.</t>
        </is>
      </c>
      <c r="H1370" s="5">
        <f>HYPERLINK("https://www.youtube.com/watch?v=20-dlZsgpFk", "영상 보기 ▶")</f>
        <v/>
      </c>
    </row>
    <row r="1371" ht="26" customHeight="1">
      <c r="A1371" s="6" t="n">
        <v>1370</v>
      </c>
      <c r="B1371" s="7" t="inlineStr">
        <is>
          <t>총정리 28탄</t>
        </is>
      </c>
      <c r="C1371" s="7" t="inlineStr">
        <is>
          <t>실전회화/표현</t>
        </is>
      </c>
      <c r="D1371" s="8" t="inlineStr">
        <is>
          <t>be all about ~</t>
        </is>
      </c>
      <c r="E1371" s="12" t="inlineStr">
        <is>
          <t>가 가장 중요해</t>
        </is>
      </c>
      <c r="F1371" s="12" t="inlineStr">
        <is>
          <t>In business, it's all about connections.</t>
        </is>
      </c>
      <c r="G1371" s="12" t="inlineStr">
        <is>
          <t>비즈니스에선 인맥이 가장 중요해.</t>
        </is>
      </c>
      <c r="H1371" s="9">
        <f>HYPERLINK("https://www.youtube.com/watch?v=20-dlZsgpFk", "영상 보기 ▶")</f>
        <v/>
      </c>
    </row>
    <row r="1372" ht="26" customHeight="1">
      <c r="A1372" s="2" t="n">
        <v>1371</v>
      </c>
      <c r="B1372" s="3" t="inlineStr">
        <is>
          <t>총정리 28탄</t>
        </is>
      </c>
      <c r="C1372" s="3" t="inlineStr">
        <is>
          <t>실전회화/표현</t>
        </is>
      </c>
      <c r="D1372" s="4" t="inlineStr">
        <is>
          <t>put off</t>
        </is>
      </c>
      <c r="E1372" s="11" t="inlineStr">
        <is>
          <t>미루다, 연기하다</t>
        </is>
      </c>
      <c r="F1372" s="11" t="inlineStr">
        <is>
          <t>We should put it off for another day or two.</t>
        </is>
      </c>
      <c r="G1372" s="11" t="inlineStr">
        <is>
          <t>하루 이틀 미루는게 좋겠다.</t>
        </is>
      </c>
      <c r="H1372" s="5">
        <f>HYPERLINK("https://www.youtube.com/watch?v=20-dlZsgpFk", "영상 보기 ▶")</f>
        <v/>
      </c>
    </row>
    <row r="1373" ht="26" customHeight="1">
      <c r="A1373" s="6" t="n">
        <v>1372</v>
      </c>
      <c r="B1373" s="7" t="inlineStr">
        <is>
          <t>총정리 28탄</t>
        </is>
      </c>
      <c r="C1373" s="7" t="inlineStr">
        <is>
          <t>실전회화/표현</t>
        </is>
      </c>
      <c r="D1373" s="8" t="inlineStr">
        <is>
          <t>off-putting</t>
        </is>
      </c>
      <c r="E1373" s="12" t="inlineStr">
        <is>
          <t>정이 안가는, 좋아하기 힘든</t>
        </is>
      </c>
      <c r="F1373" s="12" t="inlineStr">
        <is>
          <t>I hate when people are late. It's off-putting.</t>
        </is>
      </c>
      <c r="G1373" s="12" t="inlineStr">
        <is>
          <t>난 지각하는 사람이 제일 싫어. 진짜 정 떨어져.</t>
        </is>
      </c>
      <c r="H1373" s="9">
        <f>HYPERLINK("https://www.youtube.com/watch?v=20-dlZsgpFk", "영상 보기 ▶")</f>
        <v/>
      </c>
    </row>
    <row r="1374" ht="26" customHeight="1">
      <c r="A1374" s="2" t="n">
        <v>1373</v>
      </c>
      <c r="B1374" s="3" t="inlineStr">
        <is>
          <t>총정리 28탄</t>
        </is>
      </c>
      <c r="C1374" s="3" t="inlineStr">
        <is>
          <t>실전회화/표현</t>
        </is>
      </c>
      <c r="D1374" s="4" t="inlineStr">
        <is>
          <t>down the road</t>
        </is>
      </c>
      <c r="E1374" s="11" t="inlineStr">
        <is>
          <t>나중에, 미래에, 살면서</t>
        </is>
      </c>
      <c r="F1374" s="11" t="inlineStr">
        <is>
          <t>It'll help you down the road.</t>
        </is>
      </c>
      <c r="G1374" s="11" t="inlineStr">
        <is>
          <t>살면서 다 도움이 될거야.</t>
        </is>
      </c>
      <c r="H1374" s="5">
        <f>HYPERLINK("https://www.youtube.com/watch?v=20-dlZsgpFk", "영상 보기 ▶")</f>
        <v/>
      </c>
    </row>
    <row r="1375" ht="26" customHeight="1">
      <c r="A1375" s="6" t="n">
        <v>1374</v>
      </c>
      <c r="B1375" s="7" t="inlineStr">
        <is>
          <t>총정리 28탄</t>
        </is>
      </c>
      <c r="C1375" s="7" t="inlineStr">
        <is>
          <t>실전회화/표현</t>
        </is>
      </c>
      <c r="D1375" s="8" t="inlineStr">
        <is>
          <t>revisit</t>
        </is>
      </c>
      <c r="E1375" s="12" t="inlineStr">
        <is>
          <t>다시 논의하다</t>
        </is>
      </c>
      <c r="F1375" s="12" t="inlineStr">
        <is>
          <t>Maybe we should revisit this conversation down the line.</t>
        </is>
      </c>
      <c r="G1375" s="12" t="inlineStr">
        <is>
          <t>나중에 이 대화를 다시 나누는게 좋겠어.</t>
        </is>
      </c>
      <c r="H1375" s="9">
        <f>HYPERLINK("https://www.youtube.com/watch?v=20-dlZsgpFk", "영상 보기 ▶")</f>
        <v/>
      </c>
    </row>
    <row r="1376" ht="26" customHeight="1">
      <c r="A1376" s="2" t="n">
        <v>1375</v>
      </c>
      <c r="B1376" s="3" t="inlineStr">
        <is>
          <t>총정리 28탄</t>
        </is>
      </c>
      <c r="C1376" s="3" t="inlineStr">
        <is>
          <t>실전회화/표현</t>
        </is>
      </c>
      <c r="D1376" s="4" t="inlineStr">
        <is>
          <t>iron out</t>
        </is>
      </c>
      <c r="E1376" s="11" t="inlineStr">
        <is>
          <t>해소하다, 해결하다</t>
        </is>
      </c>
      <c r="F1376" s="11" t="inlineStr">
        <is>
          <t>We're still ironing out soome details.</t>
        </is>
      </c>
      <c r="G1376" s="11" t="inlineStr">
        <is>
          <t>아직 몇가지 세부사항들은 논의 중이야.</t>
        </is>
      </c>
      <c r="H1376" s="5">
        <f>HYPERLINK("https://www.youtube.com/watch?v=20-dlZsgpFk", "영상 보기 ▶")</f>
        <v/>
      </c>
    </row>
    <row r="1377" ht="26" customHeight="1">
      <c r="A1377" s="6" t="n">
        <v>1376</v>
      </c>
      <c r="B1377" s="7" t="inlineStr">
        <is>
          <t>총정리 28탄</t>
        </is>
      </c>
      <c r="C1377" s="7" t="inlineStr">
        <is>
          <t>실전회화/표현</t>
        </is>
      </c>
      <c r="D1377" s="8" t="inlineStr">
        <is>
          <t>circle back</t>
        </is>
      </c>
      <c r="E1377" s="12" t="inlineStr">
        <is>
          <t>나중에 다시 얘기하다</t>
        </is>
      </c>
      <c r="F1377" s="12" t="inlineStr">
        <is>
          <t>Let's just circle back when you've ironed out the details.</t>
        </is>
      </c>
      <c r="G1377" s="12" t="inlineStr">
        <is>
          <t>세부적인 것까지 확실히 정하고 나면 다시 얘기하자.</t>
        </is>
      </c>
      <c r="H1377" s="9">
        <f>HYPERLINK("https://www.youtube.com/watch?v=20-dlZsgpFk", "영상 보기 ▶")</f>
        <v/>
      </c>
    </row>
    <row r="1378" ht="26" customHeight="1">
      <c r="A1378" s="2" t="n">
        <v>1377</v>
      </c>
      <c r="B1378" s="3" t="inlineStr">
        <is>
          <t>총정리 28탄</t>
        </is>
      </c>
      <c r="C1378" s="3" t="inlineStr">
        <is>
          <t>실전회화/표현</t>
        </is>
      </c>
      <c r="D1378" s="4" t="inlineStr">
        <is>
          <t>put pressure on</t>
        </is>
      </c>
      <c r="E1378" s="11" t="inlineStr">
        <is>
          <t>부담을 주다, 압박을 주다</t>
        </is>
      </c>
      <c r="F1378" s="11" t="inlineStr">
        <is>
          <t>Don't put too much pressure on yourself. That's how things got messed up last time.</t>
        </is>
      </c>
      <c r="G1378" s="11" t="inlineStr">
        <is>
          <t>너무 부담 갖지 마. 지난번에 그래서 일을 다 망쳤잖아.</t>
        </is>
      </c>
      <c r="H1378" s="5">
        <f>HYPERLINK("https://www.youtube.com/watch?v=20-dlZsgpFk", "영상 보기 ▶")</f>
        <v/>
      </c>
    </row>
    <row r="1379" ht="26" customHeight="1">
      <c r="A1379" s="6" t="n">
        <v>1378</v>
      </c>
      <c r="B1379" s="7" t="inlineStr">
        <is>
          <t>총정리 28탄</t>
        </is>
      </c>
      <c r="C1379" s="7" t="inlineStr">
        <is>
          <t>실전회화/표현</t>
        </is>
      </c>
      <c r="D1379" s="8" t="inlineStr">
        <is>
          <t>eventful</t>
        </is>
      </c>
      <c r="E1379" s="12" t="inlineStr">
        <is>
          <t>다사다난한, 파란만장한</t>
        </is>
      </c>
      <c r="F1379" s="12" t="inlineStr">
        <is>
          <t>A: How's your week going so far?</t>
        </is>
      </c>
      <c r="G1379" s="12" t="inlineStr">
        <is>
          <t>이번 주 잘 보내고 있어?</t>
        </is>
      </c>
      <c r="H1379" s="9">
        <f>HYPERLINK("https://www.youtube.com/watch?v=20-dlZsgpFk", "영상 보기 ▶")</f>
        <v/>
      </c>
    </row>
    <row r="1380" ht="26" customHeight="1">
      <c r="A1380" s="2" t="n">
        <v>1379</v>
      </c>
      <c r="B1380" s="3" t="inlineStr">
        <is>
          <t>총정리 28탄</t>
        </is>
      </c>
      <c r="C1380" s="3" t="inlineStr">
        <is>
          <t>실전회화/표현</t>
        </is>
      </c>
      <c r="D1380" s="4" t="inlineStr">
        <is>
          <t>uneventful</t>
        </is>
      </c>
      <c r="E1380" s="11" t="inlineStr">
        <is>
          <t>특별한 일, 사건이 없는</t>
        </is>
      </c>
      <c r="F1380" s="11" t="inlineStr">
        <is>
          <t>A: How was your birthday?</t>
        </is>
      </c>
      <c r="G1380" s="11" t="inlineStr">
        <is>
          <t>생일은 어떻게 보냈어?</t>
        </is>
      </c>
      <c r="H1380" s="5">
        <f>HYPERLINK("https://www.youtube.com/watch?v=20-dlZsgpFk", "영상 보기 ▶")</f>
        <v/>
      </c>
    </row>
    <row r="1381" ht="26" customHeight="1">
      <c r="A1381" s="6" t="n">
        <v>1380</v>
      </c>
      <c r="B1381" s="7" t="inlineStr">
        <is>
          <t>총정리 28탄</t>
        </is>
      </c>
      <c r="C1381" s="7" t="inlineStr">
        <is>
          <t>실전회화/표현</t>
        </is>
      </c>
      <c r="D1381" s="8" t="inlineStr">
        <is>
          <t>Hold that thought</t>
        </is>
      </c>
      <c r="E1381" s="12" t="inlineStr">
        <is>
          <t>잠깐만요.</t>
        </is>
      </c>
      <c r="F1381" s="12" t="inlineStr">
        <is>
          <t>Could you hold that thought? I need to take this call.</t>
        </is>
      </c>
      <c r="G1381" s="12" t="inlineStr">
        <is>
          <t>잠깐만 기다려줄래? 전화 좀 받아야 해서.</t>
        </is>
      </c>
      <c r="H1381" s="9">
        <f>HYPERLINK("https://www.youtube.com/watch?v=20-dlZsgpFk", "영상 보기 ▶")</f>
        <v/>
      </c>
    </row>
    <row r="1382" ht="26" customHeight="1">
      <c r="A1382" s="2" t="n">
        <v>1381</v>
      </c>
      <c r="B1382" s="3" t="inlineStr">
        <is>
          <t>총정리 28탄</t>
        </is>
      </c>
      <c r="C1382" s="3" t="inlineStr">
        <is>
          <t>실전회화/표현</t>
        </is>
      </c>
      <c r="D1382" s="4" t="inlineStr">
        <is>
          <t>more.. than the rest put together</t>
        </is>
      </c>
      <c r="E1382" s="11" t="inlineStr">
        <is>
          <t>나머지를 합친 것보다 더</t>
        </is>
      </c>
      <c r="F1382" s="11" t="inlineStr">
        <is>
          <t>John brought in more revenue than the rest of the team put together.</t>
        </is>
      </c>
      <c r="G1382" s="11" t="inlineStr">
        <is>
          <t>John이 여기 있는 팀원을 다 합친 것 보다 더 많은 수익을 얻었어.</t>
        </is>
      </c>
      <c r="H1382" s="5">
        <f>HYPERLINK("https://www.youtube.com/watch?v=20-dlZsgpFk", "영상 보기 ▶")</f>
        <v/>
      </c>
    </row>
    <row r="1383" ht="26" customHeight="1">
      <c r="A1383" s="6" t="n">
        <v>1382</v>
      </c>
      <c r="B1383" s="7" t="inlineStr">
        <is>
          <t>총정리 28탄</t>
        </is>
      </c>
      <c r="C1383" s="7" t="inlineStr">
        <is>
          <t>실전회화/표현</t>
        </is>
      </c>
      <c r="D1383" s="8" t="inlineStr">
        <is>
          <t>get to the point</t>
        </is>
      </c>
      <c r="E1383" s="12" t="inlineStr">
        <is>
          <t>요점을 말하다</t>
        </is>
      </c>
      <c r="F1383" s="12" t="inlineStr">
        <is>
          <t>Just get to the point.</t>
        </is>
      </c>
      <c r="G1383" s="12" t="inlineStr">
        <is>
          <t>그냥 요점만 말해줘.</t>
        </is>
      </c>
      <c r="H1383" s="9">
        <f>HYPERLINK("https://www.youtube.com/watch?v=20-dlZsgpFk", "영상 보기 ▶")</f>
        <v/>
      </c>
    </row>
    <row r="1384" ht="26" customHeight="1">
      <c r="A1384" s="2" t="n">
        <v>1383</v>
      </c>
      <c r="B1384" s="3" t="inlineStr">
        <is>
          <t>총정리 28탄</t>
        </is>
      </c>
      <c r="C1384" s="3" t="inlineStr">
        <is>
          <t>실전회화/표현</t>
        </is>
      </c>
      <c r="D1384" s="4" t="inlineStr">
        <is>
          <t>get to (do something) ~</t>
        </is>
      </c>
      <c r="E1384" s="11" t="inlineStr">
        <is>
          <t>를 할 수 있게 되다</t>
        </is>
      </c>
      <c r="F1384" s="11" t="inlineStr">
        <is>
          <t>I got to meet him.</t>
        </is>
      </c>
      <c r="G1384" s="11" t="inlineStr">
        <is>
          <t>그를 만날 수 있었어.</t>
        </is>
      </c>
      <c r="H1384" s="5">
        <f>HYPERLINK("https://www.youtube.com/watch?v=20-dlZsgpFk", "영상 보기 ▶")</f>
        <v/>
      </c>
    </row>
    <row r="1385" ht="26" customHeight="1">
      <c r="A1385" s="6" t="n">
        <v>1384</v>
      </c>
      <c r="B1385" s="7" t="inlineStr">
        <is>
          <t>총정리 28탄</t>
        </is>
      </c>
      <c r="C1385" s="7" t="inlineStr">
        <is>
          <t>실전회화/표현</t>
        </is>
      </c>
      <c r="D1385" s="8" t="inlineStr">
        <is>
          <t>get to</t>
        </is>
      </c>
      <c r="E1385" s="12" t="inlineStr">
        <is>
          <t>시작하다, 착수하다</t>
        </is>
      </c>
      <c r="F1385" s="12" t="inlineStr">
        <is>
          <t>Just leave it on my desk, and I'll get to it after this.</t>
        </is>
      </c>
      <c r="G1385" s="12" t="inlineStr">
        <is>
          <t>그냥 책상 위에 두면 이거 끝나고 하도록 할게.</t>
        </is>
      </c>
      <c r="H1385" s="9">
        <f>HYPERLINK("https://www.youtube.com/watch?v=20-dlZsgpFk", "영상 보기 ▶")</f>
        <v/>
      </c>
    </row>
    <row r="1386" ht="26" customHeight="1">
      <c r="A1386" s="2" t="n">
        <v>1385</v>
      </c>
      <c r="B1386" s="3" t="inlineStr">
        <is>
          <t>총정리 28탄</t>
        </is>
      </c>
      <c r="C1386" s="3" t="inlineStr">
        <is>
          <t>실전회화/표현</t>
        </is>
      </c>
      <c r="D1386" s="4" t="inlineStr">
        <is>
          <t>throw out ~</t>
        </is>
      </c>
      <c r="E1386" s="11" t="inlineStr">
        <is>
          <t>를 말하다</t>
        </is>
      </c>
      <c r="F1386" s="11" t="inlineStr">
        <is>
          <t>I'm just throwing this out there. How about offering them a discount?</t>
        </is>
      </c>
      <c r="G1386" s="11" t="inlineStr">
        <is>
          <t>그냥 말해보는 건데, 할인을 해주는 건 어떨까?</t>
        </is>
      </c>
      <c r="H1386" s="5">
        <f>HYPERLINK("https://www.youtube.com/watch?v=20-dlZsgpFk", "영상 보기 ▶")</f>
        <v/>
      </c>
    </row>
    <row r="1387" ht="26" customHeight="1">
      <c r="A1387" s="6" t="n">
        <v>1386</v>
      </c>
      <c r="B1387" s="7" t="inlineStr">
        <is>
          <t>총정리 28탄</t>
        </is>
      </c>
      <c r="C1387" s="7" t="inlineStr">
        <is>
          <t>실전회화/표현</t>
        </is>
      </c>
      <c r="D1387" s="8" t="inlineStr">
        <is>
          <t>get to</t>
        </is>
      </c>
      <c r="E1387" s="12" t="inlineStr">
        <is>
          <t>사람 ~에게 형향을 주다</t>
        </is>
      </c>
      <c r="F1387" s="12" t="inlineStr">
        <is>
          <t>Don't let it get to you.</t>
        </is>
      </c>
      <c r="G1387" s="12" t="inlineStr">
        <is>
          <t>그것 때문에 너무 신경 쓰지 마.</t>
        </is>
      </c>
      <c r="H1387" s="9">
        <f>HYPERLINK("https://www.youtube.com/watch?v=20-dlZsgpFk", "영상 보기 ▶")</f>
        <v/>
      </c>
    </row>
    <row r="1388" ht="26" customHeight="1">
      <c r="A1388" s="2" t="n">
        <v>1387</v>
      </c>
      <c r="B1388" s="3" t="inlineStr">
        <is>
          <t>총정리 28탄</t>
        </is>
      </c>
      <c r="C1388" s="3" t="inlineStr">
        <is>
          <t>공감/감정</t>
        </is>
      </c>
      <c r="D1388" s="4" t="inlineStr">
        <is>
          <t>self-explanatory</t>
        </is>
      </c>
      <c r="E1388" s="11" t="inlineStr">
        <is>
          <t>이해하기 쉬운</t>
        </is>
      </c>
      <c r="F1388" s="11" t="inlineStr">
        <is>
          <t>It's pretty self-explanatory.</t>
        </is>
      </c>
      <c r="G1388" s="11" t="inlineStr">
        <is>
          <t>설명하지 않아도 될 정도로 꽤 쉬워요.</t>
        </is>
      </c>
      <c r="H1388" s="5">
        <f>HYPERLINK("https://www.youtube.com/watch?v=20-dlZsgpFk", "영상 보기 ▶")</f>
        <v/>
      </c>
    </row>
    <row r="1389" ht="26" customHeight="1">
      <c r="A1389" s="6" t="n">
        <v>1388</v>
      </c>
      <c r="B1389" s="7" t="inlineStr">
        <is>
          <t>총정리 28탄</t>
        </is>
      </c>
      <c r="C1389" s="7" t="inlineStr">
        <is>
          <t>공감/감정</t>
        </is>
      </c>
      <c r="D1389" s="8" t="inlineStr">
        <is>
          <t>connect</t>
        </is>
      </c>
      <c r="E1389" s="12" t="inlineStr">
        <is>
          <t>마음이 통하다</t>
        </is>
      </c>
      <c r="F1389" s="12" t="inlineStr">
        <is>
          <t>A: How was your date?</t>
        </is>
      </c>
      <c r="G1389" s="12" t="inlineStr">
        <is>
          <t>데이트 어땠어?</t>
        </is>
      </c>
      <c r="H1389" s="9">
        <f>HYPERLINK("https://www.youtube.com/watch?v=20-dlZsgpFk", "영상 보기 ▶")</f>
        <v/>
      </c>
    </row>
    <row r="1390" ht="26" customHeight="1">
      <c r="A1390" s="2" t="n">
        <v>1389</v>
      </c>
      <c r="B1390" s="3" t="inlineStr">
        <is>
          <t>총정리 28탄</t>
        </is>
      </c>
      <c r="C1390" s="3" t="inlineStr">
        <is>
          <t>실전회화/표현</t>
        </is>
      </c>
      <c r="D1390" s="4" t="inlineStr">
        <is>
          <t>get to the bottom of ~</t>
        </is>
      </c>
      <c r="E1390" s="11" t="inlineStr">
        <is>
          <t>의 진상을 밝히다</t>
        </is>
      </c>
      <c r="F1390" s="11" t="inlineStr">
        <is>
          <t>We need to get to the bottom of this.</t>
        </is>
      </c>
      <c r="G1390" s="11" t="inlineStr">
        <is>
          <t>어떻게 된건지 알아내야 해.</t>
        </is>
      </c>
      <c r="H1390" s="5">
        <f>HYPERLINK("https://www.youtube.com/watch?v=20-dlZsgpFk", "영상 보기 ▶")</f>
        <v/>
      </c>
    </row>
    <row r="1391" ht="26" customHeight="1">
      <c r="A1391" s="6" t="n">
        <v>1390</v>
      </c>
      <c r="B1391" s="7" t="inlineStr">
        <is>
          <t>총정리 28탄</t>
        </is>
      </c>
      <c r="C1391" s="7" t="inlineStr">
        <is>
          <t>실전회화/표현</t>
        </is>
      </c>
      <c r="D1391" s="8" t="inlineStr">
        <is>
          <t>asterisk *</t>
        </is>
      </c>
      <c r="E1391" s="12" t="inlineStr">
        <is>
          <t>별표 기호 (*, 애스터리스크)</t>
        </is>
      </c>
      <c r="F1391" s="12" t="inlineStr">
        <is>
          <t>Put an asterisk next to it.</t>
        </is>
      </c>
      <c r="G1391" s="12" t="inlineStr">
        <is>
          <t>옆에 별표쳐놔.</t>
        </is>
      </c>
      <c r="H1391" s="9">
        <f>HYPERLINK("https://www.youtube.com/watch?v=20-dlZsgpFk", "영상 보기 ▶")</f>
        <v/>
      </c>
    </row>
    <row r="1392" ht="26" customHeight="1">
      <c r="A1392" s="2" t="n">
        <v>1391</v>
      </c>
      <c r="B1392" s="3" t="inlineStr">
        <is>
          <t>총정리 28탄</t>
        </is>
      </c>
      <c r="C1392" s="3" t="inlineStr">
        <is>
          <t>실전회화/표현</t>
        </is>
      </c>
      <c r="D1392" s="4" t="inlineStr">
        <is>
          <t>pound #</t>
        </is>
      </c>
      <c r="E1392" s="11" t="inlineStr">
        <is>
          <t>우물 정자, 샵 기호 (#, 파운드 키)</t>
        </is>
      </c>
      <c r="F1392" s="11" t="inlineStr">
        <is>
          <t>Did you press the pound key?</t>
        </is>
      </c>
      <c r="G1392" s="11" t="inlineStr">
        <is>
          <t>샵 버튼 눌렀어?</t>
        </is>
      </c>
      <c r="H1392" s="5">
        <f>HYPERLINK("https://www.youtube.com/watch?v=20-dlZsgpFk", "영상 보기 ▶")</f>
        <v/>
      </c>
    </row>
    <row r="1393" ht="26" customHeight="1">
      <c r="A1393" s="6" t="n">
        <v>1392</v>
      </c>
      <c r="B1393" s="7" t="inlineStr">
        <is>
          <t>총정리 28탄</t>
        </is>
      </c>
      <c r="C1393" s="7" t="inlineStr">
        <is>
          <t>실전회화/표현</t>
        </is>
      </c>
      <c r="D1393" s="8" t="inlineStr">
        <is>
          <t>I dont' mean to</t>
        </is>
      </c>
      <c r="E1393" s="12" t="inlineStr">
        <is>
          <t>일부러 ~하려는 건 아니야</t>
        </is>
      </c>
      <c r="F1393" s="12" t="inlineStr">
        <is>
          <t>I don't meant to cut you off, but I don't think that would work.</t>
        </is>
      </c>
      <c r="G1393" s="12" t="inlineStr">
        <is>
          <t>네 말을 자르려는 건 아닌데, 그렇게는 안될 것 같아.</t>
        </is>
      </c>
      <c r="H1393" s="9">
        <f>HYPERLINK("https://www.youtube.com/watch?v=20-dlZsgpFk", "영상 보기 ▶")</f>
        <v/>
      </c>
    </row>
    <row r="1394" ht="26" customHeight="1">
      <c r="A1394" s="2" t="n">
        <v>1393</v>
      </c>
      <c r="B1394" s="3" t="inlineStr">
        <is>
          <t>총정리 28탄</t>
        </is>
      </c>
      <c r="C1394" s="3" t="inlineStr">
        <is>
          <t>실전회화/표현</t>
        </is>
      </c>
      <c r="D1394" s="4" t="inlineStr">
        <is>
          <t>deliberately</t>
        </is>
      </c>
      <c r="E1394" s="11" t="inlineStr">
        <is>
          <t>일부러, 계획적으로</t>
        </is>
      </c>
      <c r="F1394" s="11" t="inlineStr">
        <is>
          <t>Do you think they deliberately left that out?</t>
        </is>
      </c>
      <c r="G1394" s="11" t="inlineStr">
        <is>
          <t>네 생각엔 걔네가 일부러 그 부분을 빠뜨린 것 같아?</t>
        </is>
      </c>
      <c r="H1394" s="5">
        <f>HYPERLINK("https://www.youtube.com/watch?v=20-dlZsgpFk", "영상 보기 ▶")</f>
        <v/>
      </c>
    </row>
    <row r="1395" ht="26" customHeight="1">
      <c r="A1395" s="6" t="n">
        <v>1394</v>
      </c>
      <c r="B1395" s="7" t="inlineStr">
        <is>
          <t>총정리 28탄</t>
        </is>
      </c>
      <c r="C1395" s="7" t="inlineStr">
        <is>
          <t>공감/감정</t>
        </is>
      </c>
      <c r="D1395" s="8" t="inlineStr">
        <is>
          <t>grow fond of ~</t>
        </is>
      </c>
      <c r="E1395" s="12" t="inlineStr">
        <is>
          <t>가 좋아지다, 마음에 들게 되다</t>
        </is>
      </c>
      <c r="F1395" s="12" t="inlineStr">
        <is>
          <t>I've grown fond of this place.</t>
        </is>
      </c>
      <c r="G1395" s="12" t="inlineStr">
        <is>
          <t>여기에 정들게 됐어.</t>
        </is>
      </c>
      <c r="H1395" s="9">
        <f>HYPERLINK("https://www.youtube.com/watch?v=20-dlZsgpFk", "영상 보기 ▶")</f>
        <v/>
      </c>
    </row>
    <row r="1396" ht="26" customHeight="1">
      <c r="A1396" s="2" t="n">
        <v>1395</v>
      </c>
      <c r="B1396" s="3" t="inlineStr">
        <is>
          <t>총정리 28탄</t>
        </is>
      </c>
      <c r="C1396" s="3" t="inlineStr">
        <is>
          <t>실전회화/표현</t>
        </is>
      </c>
      <c r="D1396" s="4" t="inlineStr">
        <is>
          <t>not cut it ~</t>
        </is>
      </c>
      <c r="E1396" s="11" t="inlineStr">
        <is>
          <t>로는 부족한</t>
        </is>
      </c>
      <c r="F1396" s="11" t="inlineStr">
        <is>
          <t>I don't think an apologetic email's gonna cut it.</t>
        </is>
      </c>
      <c r="G1396" s="11" t="inlineStr">
        <is>
          <t>이메일로 사과한다고 되는 건 아니야.</t>
        </is>
      </c>
      <c r="H1396" s="5">
        <f>HYPERLINK("https://www.youtube.com/watch?v=20-dlZsgpFk", "영상 보기 ▶")</f>
        <v/>
      </c>
    </row>
    <row r="1397" ht="26" customHeight="1">
      <c r="A1397" s="6" t="n">
        <v>1396</v>
      </c>
      <c r="B1397" s="7" t="inlineStr">
        <is>
          <t>총정리 28탄</t>
        </is>
      </c>
      <c r="C1397" s="7" t="inlineStr">
        <is>
          <t>실전회화/표현</t>
        </is>
      </c>
      <c r="D1397" s="8" t="inlineStr">
        <is>
          <t>put together</t>
        </is>
      </c>
      <c r="E1397" s="12" t="inlineStr">
        <is>
          <t>모으다, 준비하다</t>
        </is>
      </c>
      <c r="F1397" s="12" t="inlineStr">
        <is>
          <t>This presentation is very well put together.</t>
        </is>
      </c>
      <c r="G1397" s="12" t="inlineStr">
        <is>
          <t>이번 발표 정말 잘 구성했네.</t>
        </is>
      </c>
      <c r="H1397" s="9">
        <f>HYPERLINK("https://www.youtube.com/watch?v=20-dlZsgpFk", "영상 보기 ▶")</f>
        <v/>
      </c>
    </row>
    <row r="1398" ht="26" customHeight="1">
      <c r="A1398" s="2" t="n">
        <v>1397</v>
      </c>
      <c r="B1398" s="3" t="inlineStr">
        <is>
          <t>총정리 28탄</t>
        </is>
      </c>
      <c r="C1398" s="3" t="inlineStr">
        <is>
          <t>실전회화/표현</t>
        </is>
      </c>
      <c r="D1398" s="4" t="inlineStr">
        <is>
          <t>suffice</t>
        </is>
      </c>
      <c r="E1398" s="11" t="inlineStr">
        <is>
          <t>충분하다 (격식)</t>
        </is>
      </c>
      <c r="F1398" s="11" t="inlineStr">
        <is>
          <t>A: Should I give him some money for helping us out?</t>
        </is>
      </c>
      <c r="G1398" s="11" t="inlineStr">
        <is>
          <t>도와줘서 고맙다고 돈이라도 줘야할까?</t>
        </is>
      </c>
      <c r="H1398" s="5">
        <f>HYPERLINK("https://www.youtube.com/watch?v=20-dlZsgpFk", "영상 보기 ▶")</f>
        <v/>
      </c>
    </row>
    <row r="1399" ht="26" customHeight="1">
      <c r="A1399" s="6" t="n">
        <v>1398</v>
      </c>
      <c r="B1399" s="7" t="inlineStr">
        <is>
          <t>총정리 28탄</t>
        </is>
      </c>
      <c r="C1399" s="7" t="inlineStr">
        <is>
          <t>실전회화/표현</t>
        </is>
      </c>
      <c r="D1399" s="8" t="inlineStr">
        <is>
          <t>can't wait</t>
        </is>
      </c>
      <c r="E1399" s="12" t="inlineStr">
        <is>
          <t>매우 기대되다</t>
        </is>
      </c>
      <c r="F1399" s="12" t="inlineStr">
        <is>
          <t>I can't wait for this day to be over.</t>
        </is>
      </c>
      <c r="G1399" s="12" t="inlineStr">
        <is>
          <t>오늘이 빨리 끝났으면 좋겠다.</t>
        </is>
      </c>
      <c r="H1399" s="9">
        <f>HYPERLINK("https://www.youtube.com/watch?v=20-dlZsgpFk", "영상 보기 ▶")</f>
        <v/>
      </c>
    </row>
    <row r="1400" ht="26" customHeight="1">
      <c r="A1400" s="2" t="n">
        <v>1399</v>
      </c>
      <c r="B1400" s="3" t="inlineStr">
        <is>
          <t>총정리 28탄</t>
        </is>
      </c>
      <c r="C1400" s="3" t="inlineStr">
        <is>
          <t>실전회화/표현</t>
        </is>
      </c>
      <c r="D1400" s="4" t="inlineStr">
        <is>
          <t>reiterate</t>
        </is>
      </c>
      <c r="E1400" s="11" t="inlineStr">
        <is>
          <t>반복하다, 되풀이하다</t>
        </is>
      </c>
      <c r="F1400" s="11" t="inlineStr">
        <is>
          <t>A: I wanna reiterate how grateful I am.</t>
        </is>
      </c>
      <c r="G1400" s="11" t="inlineStr">
        <is>
          <t>얼마나 감사한지 다시 한 번 말씀드리고 싶어요.</t>
        </is>
      </c>
      <c r="H1400" s="5">
        <f>HYPERLINK("https://www.youtube.com/watch?v=20-dlZsgpFk", "영상 보기 ▶")</f>
        <v/>
      </c>
    </row>
    <row r="1401" ht="26" customHeight="1">
      <c r="A1401" s="6" t="n">
        <v>1400</v>
      </c>
      <c r="B1401" s="7" t="inlineStr">
        <is>
          <t>총정리 28탄</t>
        </is>
      </c>
      <c r="C1401" s="7" t="inlineStr">
        <is>
          <t>의견/의사결정</t>
        </is>
      </c>
      <c r="D1401" s="8" t="inlineStr">
        <is>
          <t>It hit me that ~</t>
        </is>
      </c>
      <c r="E1401" s="12" t="inlineStr">
        <is>
          <t>란 생각이 들었어</t>
        </is>
      </c>
      <c r="F1401" s="12" t="inlineStr">
        <is>
          <t>A: Why did you decide not to move forward?</t>
        </is>
      </c>
      <c r="G1401" s="12" t="inlineStr">
        <is>
          <t>왜 진행하지 않기로 한거야?</t>
        </is>
      </c>
      <c r="H1401" s="9">
        <f>HYPERLINK("https://www.youtube.com/watch?v=20-dlZsgpFk", "영상 보기 ▶")</f>
        <v/>
      </c>
    </row>
    <row r="1402" ht="26" customHeight="1">
      <c r="A1402" s="2" t="n">
        <v>1401</v>
      </c>
      <c r="B1402" s="3" t="inlineStr">
        <is>
          <t>총정리 29탄</t>
        </is>
      </c>
      <c r="C1402" s="3" t="inlineStr">
        <is>
          <t>공감/감정</t>
        </is>
      </c>
      <c r="D1402" s="4" t="inlineStr">
        <is>
          <t>alleviate</t>
        </is>
      </c>
      <c r="E1402" s="11" t="inlineStr">
        <is>
          <t>완화하다</t>
        </is>
      </c>
      <c r="F1402" s="11" t="inlineStr">
        <is>
          <t>What do you think we should do to alleviate the problem?</t>
        </is>
      </c>
      <c r="G1402" s="11" t="inlineStr">
        <is>
          <t>문제를 어느정도 해결하려면 어떻게 하는게 좋을까요?</t>
        </is>
      </c>
      <c r="H1402" s="5">
        <f>HYPERLINK("https://www.youtube.com/watch?v=bgRoMP9BajE", "영상 보기 ▶")</f>
        <v/>
      </c>
    </row>
    <row r="1403" ht="26" customHeight="1">
      <c r="A1403" s="6" t="n">
        <v>1402</v>
      </c>
      <c r="B1403" s="7" t="inlineStr">
        <is>
          <t>총정리 29탄</t>
        </is>
      </c>
      <c r="C1403" s="7" t="inlineStr">
        <is>
          <t>실전회화/표현</t>
        </is>
      </c>
      <c r="D1403" s="8" t="inlineStr">
        <is>
          <t>turnout</t>
        </is>
      </c>
      <c r="E1403" s="12" t="inlineStr">
        <is>
          <t>출석자 수, 생산량/생산액</t>
        </is>
      </c>
      <c r="F1403" s="12" t="inlineStr">
        <is>
          <t>What a great turnout! You did a great job putting this event together.</t>
        </is>
      </c>
      <c r="G1403" s="12" t="inlineStr">
        <is>
          <t>사람들 정말 많이 왔네! 이벤트 준비하느라 수고 많았어.</t>
        </is>
      </c>
      <c r="H1403" s="9">
        <f>HYPERLINK("https://www.youtube.com/watch?v=bgRoMP9BajE", "영상 보기 ▶")</f>
        <v/>
      </c>
    </row>
    <row r="1404" ht="26" customHeight="1">
      <c r="A1404" s="2" t="n">
        <v>1403</v>
      </c>
      <c r="B1404" s="3" t="inlineStr">
        <is>
          <t>총정리 29탄</t>
        </is>
      </c>
      <c r="C1404" s="3" t="inlineStr">
        <is>
          <t>실전회화/표현</t>
        </is>
      </c>
      <c r="D1404" s="4" t="inlineStr">
        <is>
          <t>lose weight</t>
        </is>
      </c>
      <c r="E1404" s="11" t="inlineStr">
        <is>
          <t>살을 빼다, 체중을 감량하다</t>
        </is>
      </c>
      <c r="F1404" s="11" t="inlineStr">
        <is>
          <t>I need to lose weight.</t>
        </is>
      </c>
      <c r="G1404" s="11" t="inlineStr">
        <is>
          <t>나 살 좀 빼야겠어.</t>
        </is>
      </c>
      <c r="H1404" s="5">
        <f>HYPERLINK("https://www.youtube.com/watch?v=bgRoMP9BajE", "영상 보기 ▶")</f>
        <v/>
      </c>
    </row>
    <row r="1405" ht="26" customHeight="1">
      <c r="A1405" s="6" t="n">
        <v>1404</v>
      </c>
      <c r="B1405" s="7" t="inlineStr">
        <is>
          <t>총정리 29탄</t>
        </is>
      </c>
      <c r="C1405" s="7" t="inlineStr">
        <is>
          <t>실전회화/표현</t>
        </is>
      </c>
      <c r="D1405" s="8" t="inlineStr">
        <is>
          <t>top</t>
        </is>
      </c>
      <c r="E1405" s="12" t="inlineStr">
        <is>
          <t>능가하다, 더 낫다</t>
        </is>
      </c>
      <c r="F1405" s="12" t="inlineStr">
        <is>
          <t>I can't top that.</t>
        </is>
      </c>
      <c r="G1405" s="12" t="inlineStr">
        <is>
          <t>제가 능가할 수 없겠는데요.</t>
        </is>
      </c>
      <c r="H1405" s="9">
        <f>HYPERLINK("https://www.youtube.com/watch?v=bgRoMP9BajE", "영상 보기 ▶")</f>
        <v/>
      </c>
    </row>
    <row r="1406" ht="26" customHeight="1">
      <c r="A1406" s="2" t="n">
        <v>1405</v>
      </c>
      <c r="B1406" s="3" t="inlineStr">
        <is>
          <t>총정리 29탄</t>
        </is>
      </c>
      <c r="C1406" s="3" t="inlineStr">
        <is>
          <t>실전회화/표현</t>
        </is>
      </c>
      <c r="D1406" s="4" t="inlineStr">
        <is>
          <t>tops</t>
        </is>
      </c>
      <c r="E1406" s="11" t="inlineStr">
        <is>
          <t>최고로, 최대로</t>
        </is>
      </c>
      <c r="F1406" s="11" t="inlineStr">
        <is>
          <t>It'll be done in 3 days, tops.</t>
        </is>
      </c>
      <c r="G1406" s="11" t="inlineStr">
        <is>
          <t>길어도 3일이면 돼.</t>
        </is>
      </c>
      <c r="H1406" s="5">
        <f>HYPERLINK("https://www.youtube.com/watch?v=bgRoMP9BajE", "영상 보기 ▶")</f>
        <v/>
      </c>
    </row>
    <row r="1407" ht="26" customHeight="1">
      <c r="A1407" s="6" t="n">
        <v>1406</v>
      </c>
      <c r="B1407" s="7" t="inlineStr">
        <is>
          <t>총정리 29탄</t>
        </is>
      </c>
      <c r="C1407" s="7" t="inlineStr">
        <is>
          <t>실전회화/표현</t>
        </is>
      </c>
      <c r="D1407" s="8" t="inlineStr">
        <is>
          <t>iced Americano</t>
        </is>
      </c>
      <c r="E1407" s="12" t="inlineStr">
        <is>
          <t>아아</t>
        </is>
      </c>
      <c r="F1407" s="12" t="inlineStr">
        <is>
          <t>Can I have an iced latte?</t>
        </is>
      </c>
      <c r="G1407" s="12" t="inlineStr">
        <is>
          <t>아이스 라떼 한잔이요.</t>
        </is>
      </c>
      <c r="H1407" s="9">
        <f>HYPERLINK("https://www.youtube.com/watch?v=bgRoMP9BajE", "영상 보기 ▶")</f>
        <v/>
      </c>
    </row>
    <row r="1408" ht="26" customHeight="1">
      <c r="A1408" s="2" t="n">
        <v>1407</v>
      </c>
      <c r="B1408" s="3" t="inlineStr">
        <is>
          <t>총정리 29탄</t>
        </is>
      </c>
      <c r="C1408" s="3" t="inlineStr">
        <is>
          <t>실전회화/표현</t>
        </is>
      </c>
      <c r="D1408" s="4" t="inlineStr">
        <is>
          <t>lifelong</t>
        </is>
      </c>
      <c r="E1408" s="11" t="inlineStr">
        <is>
          <t>평생 동안의, 일생의</t>
        </is>
      </c>
      <c r="F1408" s="11" t="inlineStr">
        <is>
          <t>It's been my lifelong dream to come to Paris.</t>
        </is>
      </c>
      <c r="G1408" s="11" t="inlineStr">
        <is>
          <t>파리에 오는게 내 평생 꿈이었어.</t>
        </is>
      </c>
      <c r="H1408" s="5">
        <f>HYPERLINK("https://www.youtube.com/watch?v=bgRoMP9BajE", "영상 보기 ▶")</f>
        <v/>
      </c>
    </row>
    <row r="1409" ht="26" customHeight="1">
      <c r="A1409" s="6" t="n">
        <v>1408</v>
      </c>
      <c r="B1409" s="7" t="inlineStr">
        <is>
          <t>총정리 29탄</t>
        </is>
      </c>
      <c r="C1409" s="7" t="inlineStr">
        <is>
          <t>실전회화/표현</t>
        </is>
      </c>
      <c r="D1409" s="8" t="inlineStr">
        <is>
          <t>make it up to</t>
        </is>
      </c>
      <c r="E1409" s="12" t="inlineStr">
        <is>
          <t>사람 ~에게 보상하다, 만회하다</t>
        </is>
      </c>
      <c r="F1409" s="12" t="inlineStr">
        <is>
          <t>Thank you for being so understanding. I promise to make it up to you.</t>
        </is>
      </c>
      <c r="G1409" s="12" t="inlineStr">
        <is>
          <t>이해해줘서 정말 고마워, 내가 꼭 보답할게.</t>
        </is>
      </c>
      <c r="H1409" s="9">
        <f>HYPERLINK("https://www.youtube.com/watch?v=bgRoMP9BajE", "영상 보기 ▶")</f>
        <v/>
      </c>
    </row>
    <row r="1410" ht="26" customHeight="1">
      <c r="A1410" s="2" t="n">
        <v>1409</v>
      </c>
      <c r="B1410" s="3" t="inlineStr">
        <is>
          <t>총정리 29탄</t>
        </is>
      </c>
      <c r="C1410" s="3" t="inlineStr">
        <is>
          <t>실전회화/표현</t>
        </is>
      </c>
      <c r="D1410" s="4" t="inlineStr">
        <is>
          <t>ulterior motive</t>
        </is>
      </c>
      <c r="E1410" s="11" t="inlineStr">
        <is>
          <t>속셈, 숨은 동기</t>
        </is>
      </c>
      <c r="F1410" s="11" t="inlineStr">
        <is>
          <t>I actually have an ulterior motive.</t>
        </is>
      </c>
      <c r="G1410" s="11" t="inlineStr">
        <is>
          <t>실은 부탁이 있어서 왔어.</t>
        </is>
      </c>
      <c r="H1410" s="5">
        <f>HYPERLINK("https://www.youtube.com/watch?v=bgRoMP9BajE", "영상 보기 ▶")</f>
        <v/>
      </c>
    </row>
    <row r="1411" ht="26" customHeight="1">
      <c r="A1411" s="6" t="n">
        <v>1410</v>
      </c>
      <c r="B1411" s="7" t="inlineStr">
        <is>
          <t>총정리 29탄</t>
        </is>
      </c>
      <c r="C1411" s="7" t="inlineStr">
        <is>
          <t>실전회화/표현</t>
        </is>
      </c>
      <c r="D1411" s="8" t="inlineStr">
        <is>
          <t>turn out</t>
        </is>
      </c>
      <c r="E1411" s="12" t="inlineStr">
        <is>
          <t>알고보니 ~더라, ~로 드러나다</t>
        </is>
      </c>
      <c r="F1411" s="12" t="inlineStr">
        <is>
          <t>I looked into it, and it turns out he lied to us.</t>
        </is>
      </c>
      <c r="G1411" s="12" t="inlineStr">
        <is>
          <t>내가 알아봤는데 걔가 우리한테 거짓말 한거더라.</t>
        </is>
      </c>
      <c r="H1411" s="9">
        <f>HYPERLINK("https://www.youtube.com/watch?v=bgRoMP9BajE", "영상 보기 ▶")</f>
        <v/>
      </c>
    </row>
    <row r="1412" ht="26" customHeight="1">
      <c r="A1412" s="2" t="n">
        <v>1411</v>
      </c>
      <c r="B1412" s="3" t="inlineStr">
        <is>
          <t>총정리 29탄</t>
        </is>
      </c>
      <c r="C1412" s="3" t="inlineStr">
        <is>
          <t>실전회화/표현</t>
        </is>
      </c>
      <c r="D1412" s="4" t="inlineStr">
        <is>
          <t>turn out</t>
        </is>
      </c>
      <c r="E1412" s="11" t="inlineStr">
        <is>
          <t>되다, 되어가다</t>
        </is>
      </c>
      <c r="F1412" s="11" t="inlineStr">
        <is>
          <t>It has to turn out well.</t>
        </is>
      </c>
      <c r="G1412" s="11" t="inlineStr">
        <is>
          <t>잘 되야 할텐데.</t>
        </is>
      </c>
      <c r="H1412" s="5">
        <f>HYPERLINK("https://www.youtube.com/watch?v=bgRoMP9BajE", "영상 보기 ▶")</f>
        <v/>
      </c>
    </row>
    <row r="1413" ht="26" customHeight="1">
      <c r="A1413" s="6" t="n">
        <v>1412</v>
      </c>
      <c r="B1413" s="7" t="inlineStr">
        <is>
          <t>총정리 29탄</t>
        </is>
      </c>
      <c r="C1413" s="7" t="inlineStr">
        <is>
          <t>실전회화/표현</t>
        </is>
      </c>
      <c r="D1413" s="8" t="inlineStr">
        <is>
          <t>step on one's toes ~</t>
        </is>
      </c>
      <c r="E1413" s="12" t="inlineStr">
        <is>
          <t>의 영역을 침범하다, 심기를 건드리다</t>
        </is>
      </c>
      <c r="F1413" s="12" t="inlineStr">
        <is>
          <t>I'm not trying to step on your toes.</t>
        </is>
      </c>
      <c r="G1413" s="12" t="inlineStr">
        <is>
          <t>너한테 이래라 저래라 하려는 건 아니야.</t>
        </is>
      </c>
      <c r="H1413" s="9">
        <f>HYPERLINK("https://www.youtube.com/watch?v=bgRoMP9BajE", "영상 보기 ▶")</f>
        <v/>
      </c>
    </row>
    <row r="1414" ht="26" customHeight="1">
      <c r="A1414" s="2" t="n">
        <v>1413</v>
      </c>
      <c r="B1414" s="3" t="inlineStr">
        <is>
          <t>총정리 29탄</t>
        </is>
      </c>
      <c r="C1414" s="3" t="inlineStr">
        <is>
          <t>실전회화/표현</t>
        </is>
      </c>
      <c r="D1414" s="4" t="inlineStr">
        <is>
          <t>menu</t>
        </is>
      </c>
      <c r="E1414" s="11" t="inlineStr">
        <is>
          <t>메뉴판</t>
        </is>
      </c>
      <c r="F1414" s="11" t="inlineStr">
        <is>
          <t>What do you recommend from the menu?</t>
        </is>
      </c>
      <c r="G1414" s="11" t="inlineStr">
        <is>
          <t>메뉴에서 뭘 추천하시나요?</t>
        </is>
      </c>
      <c r="H1414" s="5">
        <f>HYPERLINK("https://www.youtube.com/watch?v=bgRoMP9BajE", "영상 보기 ▶")</f>
        <v/>
      </c>
    </row>
    <row r="1415" ht="26" customHeight="1">
      <c r="A1415" s="6" t="n">
        <v>1414</v>
      </c>
      <c r="B1415" s="7" t="inlineStr">
        <is>
          <t>총정리 29탄</t>
        </is>
      </c>
      <c r="C1415" s="7" t="inlineStr">
        <is>
          <t>실전회화/표현</t>
        </is>
      </c>
      <c r="D1415" s="8" t="inlineStr">
        <is>
          <t>I couldn't possibly.</t>
        </is>
      </c>
      <c r="E1415" s="12" t="inlineStr">
        <is>
          <t>그럴 순 없죠.</t>
        </is>
      </c>
      <c r="F1415" s="12" t="inlineStr">
        <is>
          <t>A: My treat.</t>
        </is>
      </c>
      <c r="G1415" s="12" t="inlineStr">
        <is>
          <t>제가 살게요.</t>
        </is>
      </c>
      <c r="H1415" s="9">
        <f>HYPERLINK("https://www.youtube.com/watch?v=bgRoMP9BajE", "영상 보기 ▶")</f>
        <v/>
      </c>
    </row>
    <row r="1416" ht="26" customHeight="1">
      <c r="A1416" s="2" t="n">
        <v>1415</v>
      </c>
      <c r="B1416" s="3" t="inlineStr">
        <is>
          <t>총정리 29탄</t>
        </is>
      </c>
      <c r="C1416" s="3" t="inlineStr">
        <is>
          <t>실전회화/표현</t>
        </is>
      </c>
      <c r="D1416" s="4" t="inlineStr">
        <is>
          <t>know the drill</t>
        </is>
      </c>
      <c r="E1416" s="11" t="inlineStr">
        <is>
          <t>어떻게 하는지 알다, 방법을 알다</t>
        </is>
      </c>
      <c r="F1416" s="11" t="inlineStr">
        <is>
          <t>I know the drill.</t>
        </is>
      </c>
      <c r="G1416" s="11" t="inlineStr">
        <is>
          <t>어떻게 하는지 알아.</t>
        </is>
      </c>
      <c r="H1416" s="5">
        <f>HYPERLINK("https://www.youtube.com/watch?v=bgRoMP9BajE", "영상 보기 ▶")</f>
        <v/>
      </c>
    </row>
    <row r="1417" ht="26" customHeight="1">
      <c r="A1417" s="6" t="n">
        <v>1416</v>
      </c>
      <c r="B1417" s="7" t="inlineStr">
        <is>
          <t>총정리 29탄</t>
        </is>
      </c>
      <c r="C1417" s="7" t="inlineStr">
        <is>
          <t>공감/감정</t>
        </is>
      </c>
      <c r="D1417" s="8" t="inlineStr">
        <is>
          <t>be game ~</t>
        </is>
      </c>
      <c r="E1417" s="12" t="inlineStr">
        <is>
          <t>할 용의/마음이 있다</t>
        </is>
      </c>
      <c r="F1417" s="12" t="inlineStr">
        <is>
          <t>A: Are you game for a drink after work?</t>
        </is>
      </c>
      <c r="G1417" s="12" t="inlineStr">
        <is>
          <t>퇴근하고 술 한잔 어때?</t>
        </is>
      </c>
      <c r="H1417" s="9">
        <f>HYPERLINK("https://www.youtube.com/watch?v=bgRoMP9BajE", "영상 보기 ▶")</f>
        <v/>
      </c>
    </row>
    <row r="1418" ht="26" customHeight="1">
      <c r="A1418" s="2" t="n">
        <v>1417</v>
      </c>
      <c r="B1418" s="3" t="inlineStr">
        <is>
          <t>총정리 29탄</t>
        </is>
      </c>
      <c r="C1418" s="3" t="inlineStr">
        <is>
          <t>실전회화/표현</t>
        </is>
      </c>
      <c r="D1418" s="4" t="inlineStr">
        <is>
          <t>grateful</t>
        </is>
      </c>
      <c r="E1418" s="11" t="inlineStr">
        <is>
          <t>감사하는</t>
        </is>
      </c>
      <c r="F1418" s="11" t="inlineStr">
        <is>
          <t>I'm grateful. I mean it.</t>
        </is>
      </c>
      <c r="G1418" s="11" t="inlineStr">
        <is>
          <t>진심으로 고마워.</t>
        </is>
      </c>
      <c r="H1418" s="5">
        <f>HYPERLINK("https://www.youtube.com/watch?v=bgRoMP9BajE", "영상 보기 ▶")</f>
        <v/>
      </c>
    </row>
    <row r="1419" ht="26" customHeight="1">
      <c r="A1419" s="6" t="n">
        <v>1418</v>
      </c>
      <c r="B1419" s="7" t="inlineStr">
        <is>
          <t>총정리 29탄</t>
        </is>
      </c>
      <c r="C1419" s="7" t="inlineStr">
        <is>
          <t>식사/추천</t>
        </is>
      </c>
      <c r="D1419" s="8" t="inlineStr">
        <is>
          <t>What's good here?</t>
        </is>
      </c>
      <c r="E1419" s="12" t="inlineStr">
        <is>
          <t>여긴 뭐가 맛있어? (추천 메뉴가 뭐야?)</t>
        </is>
      </c>
      <c r="F1419" s="12" t="inlineStr">
        <is>
          <t>I've never been here before. What's good here?</t>
        </is>
      </c>
      <c r="G1419" s="12" t="inlineStr">
        <is>
          <t>여기 처음 와보는데, 여긴 뭐가 맛있어?</t>
        </is>
      </c>
      <c r="H1419" s="9">
        <f>HYPERLINK("https://www.youtube.com/watch?v=bgRoMP9BajE", "영상 보기 ▶")</f>
        <v/>
      </c>
    </row>
    <row r="1420" ht="26" customHeight="1">
      <c r="A1420" s="2" t="n">
        <v>1419</v>
      </c>
      <c r="B1420" s="3" t="inlineStr">
        <is>
          <t>총정리 29탄</t>
        </is>
      </c>
      <c r="C1420" s="3" t="inlineStr">
        <is>
          <t>실전회화/표현</t>
        </is>
      </c>
      <c r="D1420" s="4" t="inlineStr">
        <is>
          <t>have every right to ~</t>
        </is>
      </c>
      <c r="E1420" s="11" t="inlineStr">
        <is>
          <t>충분히 ~할 자격이 있어</t>
        </is>
      </c>
      <c r="F1420" s="11" t="inlineStr">
        <is>
          <t>You have every right to be upset.</t>
        </is>
      </c>
      <c r="G1420" s="11" t="inlineStr">
        <is>
          <t>너가 속상해 하는게 당연해.</t>
        </is>
      </c>
      <c r="H1420" s="5">
        <f>HYPERLINK("https://www.youtube.com/watch?v=bgRoMP9BajE", "영상 보기 ▶")</f>
        <v/>
      </c>
    </row>
    <row r="1421" ht="26" customHeight="1">
      <c r="A1421" s="6" t="n">
        <v>1420</v>
      </c>
      <c r="B1421" s="7" t="inlineStr">
        <is>
          <t>총정리 29탄</t>
        </is>
      </c>
      <c r="C1421" s="7" t="inlineStr">
        <is>
          <t>실전회화/표현</t>
        </is>
      </c>
      <c r="D1421" s="8" t="inlineStr">
        <is>
          <t>reservations</t>
        </is>
      </c>
      <c r="E1421" s="12" t="inlineStr">
        <is>
          <t>의구심, 거리낌</t>
        </is>
      </c>
      <c r="F1421" s="12" t="inlineStr">
        <is>
          <t>I have reservations about this.</t>
        </is>
      </c>
      <c r="G1421" s="12" t="inlineStr">
        <is>
          <t>이게 잘 하는 건지 망설여져.</t>
        </is>
      </c>
      <c r="H1421" s="9">
        <f>HYPERLINK("https://www.youtube.com/watch?v=bgRoMP9BajE", "영상 보기 ▶")</f>
        <v/>
      </c>
    </row>
    <row r="1422" ht="26" customHeight="1">
      <c r="A1422" s="2" t="n">
        <v>1421</v>
      </c>
      <c r="B1422" s="3" t="inlineStr">
        <is>
          <t>총정리 29탄</t>
        </is>
      </c>
      <c r="C1422" s="3" t="inlineStr">
        <is>
          <t>실전회화/표현</t>
        </is>
      </c>
      <c r="D1422" s="4" t="inlineStr">
        <is>
          <t>a weight off one's shoulders ~</t>
        </is>
      </c>
      <c r="E1422" s="11" t="inlineStr">
        <is>
          <t>의 어깨에서 덜어낸 짐</t>
        </is>
      </c>
      <c r="F1422" s="11" t="inlineStr">
        <is>
          <t>Thank you for your help. That's a huge weight off my shoulders.</t>
        </is>
      </c>
      <c r="G1422" s="11" t="inlineStr">
        <is>
          <t>도와줘서 고마워. 덕분에 걱정을 좀 덜었어.</t>
        </is>
      </c>
      <c r="H1422" s="5">
        <f>HYPERLINK("https://www.youtube.com/watch?v=bgRoMP9BajE", "영상 보기 ▶")</f>
        <v/>
      </c>
    </row>
    <row r="1423" ht="26" customHeight="1">
      <c r="A1423" s="6" t="n">
        <v>1422</v>
      </c>
      <c r="B1423" s="7" t="inlineStr">
        <is>
          <t>총정리 29탄</t>
        </is>
      </c>
      <c r="C1423" s="7" t="inlineStr">
        <is>
          <t>안도/해방</t>
        </is>
      </c>
      <c r="D1423" s="8" t="inlineStr">
        <is>
          <t>(I feel like) a weight has been lifted.</t>
        </is>
      </c>
      <c r="E1423" s="12" t="inlineStr">
        <is>
          <t>마음의 무거운 짐을 덜어내어 한결 후련해</t>
        </is>
      </c>
      <c r="F1423" s="12" t="inlineStr">
        <is>
          <t>After submitting the thesis, I feel like a weight has been lifted.</t>
        </is>
      </c>
      <c r="G1423" s="12" t="inlineStr">
        <is>
          <t>논문을 제출하고 나니 마음의 큰 짐을 내려놓은 듯 후련해.</t>
        </is>
      </c>
      <c r="H1423" s="9">
        <f>HYPERLINK("https://www.youtube.com/watch?v=bgRoMP9BajE", "영상 보기 ▶")</f>
        <v/>
      </c>
    </row>
    <row r="1424" ht="26" customHeight="1">
      <c r="A1424" s="2" t="n">
        <v>1423</v>
      </c>
      <c r="B1424" s="3" t="inlineStr">
        <is>
          <t>총정리 29탄</t>
        </is>
      </c>
      <c r="C1424" s="3" t="inlineStr">
        <is>
          <t>공감/감정</t>
        </is>
      </c>
      <c r="D1424" s="4" t="inlineStr">
        <is>
          <t>I feel guilty.</t>
        </is>
      </c>
      <c r="E1424" s="11" t="inlineStr">
        <is>
          <t>마음에 걸려.</t>
        </is>
      </c>
      <c r="F1424" s="11" t="inlineStr">
        <is>
          <t>I feel guilty for skipping class.</t>
        </is>
      </c>
      <c r="G1424" s="11" t="inlineStr">
        <is>
          <t>수업을 땡땡이 쳐서 마음이 좀 그렇네.</t>
        </is>
      </c>
      <c r="H1424" s="5">
        <f>HYPERLINK("https://www.youtube.com/watch?v=bgRoMP9BajE", "영상 보기 ▶")</f>
        <v/>
      </c>
    </row>
    <row r="1425" ht="26" customHeight="1">
      <c r="A1425" s="6" t="n">
        <v>1424</v>
      </c>
      <c r="B1425" s="7" t="inlineStr">
        <is>
          <t>총정리 29탄</t>
        </is>
      </c>
      <c r="C1425" s="7" t="inlineStr">
        <is>
          <t>실전회화/표현</t>
        </is>
      </c>
      <c r="D1425" s="8" t="inlineStr">
        <is>
          <t>guilty pleasure</t>
        </is>
      </c>
      <c r="E1425" s="12" t="inlineStr">
        <is>
          <t>죄책감이 드는 즐거움</t>
        </is>
      </c>
      <c r="F1425" s="12" t="inlineStr">
        <is>
          <t>It's my guilty pleasure.</t>
        </is>
      </c>
      <c r="G1425" s="12" t="inlineStr">
        <is>
          <t>안 좋은 걸 알지만 자꾸 하게 돼.</t>
        </is>
      </c>
      <c r="H1425" s="9">
        <f>HYPERLINK("https://www.youtube.com/watch?v=bgRoMP9BajE", "영상 보기 ▶")</f>
        <v/>
      </c>
    </row>
    <row r="1426" ht="26" customHeight="1">
      <c r="A1426" s="2" t="n">
        <v>1425</v>
      </c>
      <c r="B1426" s="3" t="inlineStr">
        <is>
          <t>총정리 29탄</t>
        </is>
      </c>
      <c r="C1426" s="3" t="inlineStr">
        <is>
          <t>실전회화/표현</t>
        </is>
      </c>
      <c r="D1426" s="4" t="inlineStr">
        <is>
          <t>not letting ~</t>
        </is>
      </c>
      <c r="E1426" s="11" t="inlineStr">
        <is>
          <t>가 안돼</t>
        </is>
      </c>
      <c r="F1426" s="11" t="inlineStr">
        <is>
          <t>It's not letting me type.</t>
        </is>
      </c>
      <c r="G1426" s="11" t="inlineStr">
        <is>
          <t>타이핑이 안되는데요.</t>
        </is>
      </c>
      <c r="H1426" s="5">
        <f>HYPERLINK("https://www.youtube.com/watch?v=bgRoMP9BajE", "영상 보기 ▶")</f>
        <v/>
      </c>
    </row>
    <row r="1427" ht="26" customHeight="1">
      <c r="A1427" s="6" t="n">
        <v>1426</v>
      </c>
      <c r="B1427" s="7" t="inlineStr">
        <is>
          <t>총정리 29탄</t>
        </is>
      </c>
      <c r="C1427" s="7" t="inlineStr">
        <is>
          <t>실전회화/표현</t>
        </is>
      </c>
      <c r="D1427" s="8" t="inlineStr">
        <is>
          <t>for some reason</t>
        </is>
      </c>
      <c r="E1427" s="12" t="inlineStr">
        <is>
          <t>어떤 이유에서인지</t>
        </is>
      </c>
      <c r="F1427" s="12" t="inlineStr">
        <is>
          <t>Can I email it to you after the meeting? For some reason, it's not letting me share it here.</t>
        </is>
      </c>
      <c r="G1427" s="12" t="inlineStr">
        <is>
          <t>미팅 끝나고 이메일로 보내드려도 될까요? 무슨 이유인지 공유가 안돼서요.</t>
        </is>
      </c>
      <c r="H1427" s="9">
        <f>HYPERLINK("https://www.youtube.com/watch?v=bgRoMP9BajE", "영상 보기 ▶")</f>
        <v/>
      </c>
    </row>
    <row r="1428" ht="26" customHeight="1">
      <c r="A1428" s="2" t="n">
        <v>1427</v>
      </c>
      <c r="B1428" s="3" t="inlineStr">
        <is>
          <t>총정리 29탄</t>
        </is>
      </c>
      <c r="C1428" s="3" t="inlineStr">
        <is>
          <t>실전회화/표현</t>
        </is>
      </c>
      <c r="D1428" s="4" t="inlineStr">
        <is>
          <t>a shame</t>
        </is>
      </c>
      <c r="E1428" s="11" t="inlineStr">
        <is>
          <t>애석한, 딱한, 유감스러운 일</t>
        </is>
      </c>
      <c r="F1428" s="11" t="inlineStr">
        <is>
          <t>It's a shame you can't join us for a drink.</t>
        </is>
      </c>
      <c r="G1428" s="11" t="inlineStr">
        <is>
          <t>네가 술 마시러 같이 못 간다니 아쉽다.</t>
        </is>
      </c>
      <c r="H1428" s="5">
        <f>HYPERLINK("https://www.youtube.com/watch?v=bgRoMP9BajE", "영상 보기 ▶")</f>
        <v/>
      </c>
    </row>
    <row r="1429" ht="26" customHeight="1">
      <c r="A1429" s="6" t="n">
        <v>1428</v>
      </c>
      <c r="B1429" s="7" t="inlineStr">
        <is>
          <t>총정리 29탄</t>
        </is>
      </c>
      <c r="C1429" s="7" t="inlineStr">
        <is>
          <t>실전회화/표현</t>
        </is>
      </c>
      <c r="D1429" s="8" t="inlineStr">
        <is>
          <t>final</t>
        </is>
      </c>
      <c r="E1429" s="12" t="inlineStr">
        <is>
          <t>최종적인, 마지막의</t>
        </is>
      </c>
      <c r="F1429" s="12" t="inlineStr">
        <is>
          <t>I'm sorry. I don't have the final say.</t>
        </is>
      </c>
      <c r="G1429" s="12" t="inlineStr">
        <is>
          <t>미안해. 나한테 최종결정권이 있는게 아니라서.</t>
        </is>
      </c>
      <c r="H1429" s="9">
        <f>HYPERLINK("https://www.youtube.com/watch?v=bgRoMP9BajE", "영상 보기 ▶")</f>
        <v/>
      </c>
    </row>
    <row r="1430" ht="26" customHeight="1">
      <c r="A1430" s="2" t="n">
        <v>1429</v>
      </c>
      <c r="B1430" s="3" t="inlineStr">
        <is>
          <t>총정리 29탄</t>
        </is>
      </c>
      <c r="C1430" s="3" t="inlineStr">
        <is>
          <t>실전회화/표현</t>
        </is>
      </c>
      <c r="D1430" s="4" t="inlineStr">
        <is>
          <t>let</t>
        </is>
      </c>
      <c r="E1430" s="11" t="inlineStr">
        <is>
          <t>사람 down 실망시키다, ~의 기대를 저버리다</t>
        </is>
      </c>
      <c r="F1430" s="11" t="inlineStr">
        <is>
          <t>People are counting on us. We can't let them down.</t>
        </is>
      </c>
      <c r="G1430" s="11" t="inlineStr">
        <is>
          <t>다들 우리가 잘 해낼거라 믿고 있는데 실망시킬 순 없어.</t>
        </is>
      </c>
      <c r="H1430" s="5">
        <f>HYPERLINK("https://www.youtube.com/watch?v=bgRoMP9BajE", "영상 보기 ▶")</f>
        <v/>
      </c>
    </row>
    <row r="1431" ht="26" customHeight="1">
      <c r="A1431" s="6" t="n">
        <v>1430</v>
      </c>
      <c r="B1431" s="7" t="inlineStr">
        <is>
          <t>총정리 29탄</t>
        </is>
      </c>
      <c r="C1431" s="7" t="inlineStr">
        <is>
          <t>실전회화/표현</t>
        </is>
      </c>
      <c r="D1431" s="8" t="inlineStr">
        <is>
          <t>flat</t>
        </is>
      </c>
      <c r="E1431" s="12" t="inlineStr">
        <is>
          <t>김빠진</t>
        </is>
      </c>
      <c r="F1431" s="12" t="inlineStr">
        <is>
          <t>This beer's not fresh. It tastes a little flat.</t>
        </is>
      </c>
      <c r="G1431" s="12" t="inlineStr">
        <is>
          <t>이 맥주는 신선하지가 않네. 김이 빠진 것 같아.</t>
        </is>
      </c>
      <c r="H1431" s="9">
        <f>HYPERLINK("https://www.youtube.com/watch?v=bgRoMP9BajE", "영상 보기 ▶")</f>
        <v/>
      </c>
    </row>
    <row r="1432" ht="26" customHeight="1">
      <c r="A1432" s="2" t="n">
        <v>1431</v>
      </c>
      <c r="B1432" s="3" t="inlineStr">
        <is>
          <t>총정리 29탄</t>
        </is>
      </c>
      <c r="C1432" s="3" t="inlineStr">
        <is>
          <t>실전회화/표현</t>
        </is>
      </c>
      <c r="D1432" s="4" t="inlineStr">
        <is>
          <t>come in</t>
        </is>
      </c>
      <c r="E1432" s="11" t="inlineStr">
        <is>
          <t>들어오다</t>
        </is>
      </c>
      <c r="F1432" s="11" t="inlineStr">
        <is>
          <t>Does it come in only one size?</t>
        </is>
      </c>
      <c r="G1432" s="11" t="inlineStr">
        <is>
          <t>한 사이즈로만 나오나요?</t>
        </is>
      </c>
      <c r="H1432" s="5">
        <f>HYPERLINK("https://www.youtube.com/watch?v=bgRoMP9BajE", "영상 보기 ▶")</f>
        <v/>
      </c>
    </row>
    <row r="1433" ht="26" customHeight="1">
      <c r="A1433" s="6" t="n">
        <v>1432</v>
      </c>
      <c r="B1433" s="7" t="inlineStr">
        <is>
          <t>총정리 29탄</t>
        </is>
      </c>
      <c r="C1433" s="7" t="inlineStr">
        <is>
          <t>실전회화/표현</t>
        </is>
      </c>
      <c r="D1433" s="8" t="inlineStr">
        <is>
          <t>loyal</t>
        </is>
      </c>
      <c r="E1433" s="12" t="inlineStr">
        <is>
          <t>충실한, 의리있는</t>
        </is>
      </c>
      <c r="F1433" s="12" t="inlineStr">
        <is>
          <t>She's loyal.</t>
        </is>
      </c>
      <c r="G1433" s="12" t="inlineStr">
        <is>
          <t>그녀는 의리있어.</t>
        </is>
      </c>
      <c r="H1433" s="9">
        <f>HYPERLINK("https://www.youtube.com/watch?v=bgRoMP9BajE", "영상 보기 ▶")</f>
        <v/>
      </c>
    </row>
    <row r="1434" ht="26" customHeight="1">
      <c r="A1434" s="2" t="n">
        <v>1433</v>
      </c>
      <c r="B1434" s="3" t="inlineStr">
        <is>
          <t>총정리 29탄</t>
        </is>
      </c>
      <c r="C1434" s="3" t="inlineStr">
        <is>
          <t>배려/인사</t>
        </is>
      </c>
      <c r="D1434" s="4" t="inlineStr">
        <is>
          <t>Don't work too hard.</t>
        </is>
      </c>
      <c r="E1434" s="11" t="inlineStr">
        <is>
          <t>너무 무리해서 일하진 마 (퇴근/격려 인사)</t>
        </is>
      </c>
      <c r="F1434" s="11" t="inlineStr">
        <is>
          <t>Have a great evening and don't work too hard!</t>
        </is>
      </c>
      <c r="G1434" s="11" t="inlineStr">
        <is>
          <t>좋은 저녁 보내고, 너무 무리해서 야근하진 마세요!</t>
        </is>
      </c>
      <c r="H1434" s="5">
        <f>HYPERLINK("https://www.youtube.com/watch?v=bgRoMP9BajE", "영상 보기 ▶")</f>
        <v/>
      </c>
    </row>
    <row r="1435" ht="26" customHeight="1">
      <c r="A1435" s="6" t="n">
        <v>1434</v>
      </c>
      <c r="B1435" s="7" t="inlineStr">
        <is>
          <t>총정리 29탄</t>
        </is>
      </c>
      <c r="C1435" s="7" t="inlineStr">
        <is>
          <t>실전회화/표현</t>
        </is>
      </c>
      <c r="D1435" s="8" t="inlineStr">
        <is>
          <t>Do you play any sports?</t>
        </is>
      </c>
      <c r="E1435" s="12" t="inlineStr">
        <is>
          <t>평소에 즐겨 하시는 운동 있으세요? (스몰토크 질문)</t>
        </is>
      </c>
      <c r="F1435" s="12" t="inlineStr">
        <is>
          <t>A: Do you play any sports?</t>
        </is>
      </c>
      <c r="G1435" s="12" t="inlineStr">
        <is>
          <t>운동하는 거 있어요?</t>
        </is>
      </c>
      <c r="H1435" s="9">
        <f>HYPERLINK("https://www.youtube.com/watch?v=bgRoMP9BajE", "영상 보기 ▶")</f>
        <v/>
      </c>
    </row>
    <row r="1436" ht="26" customHeight="1">
      <c r="A1436" s="2" t="n">
        <v>1435</v>
      </c>
      <c r="B1436" s="3" t="inlineStr">
        <is>
          <t>총정리 29탄</t>
        </is>
      </c>
      <c r="C1436" s="3" t="inlineStr">
        <is>
          <t>실전회화/표현</t>
        </is>
      </c>
      <c r="D1436" s="4" t="inlineStr">
        <is>
          <t>offset</t>
        </is>
      </c>
      <c r="E1436" s="11" t="inlineStr">
        <is>
          <t>상쇄하다</t>
        </is>
      </c>
      <c r="F1436" s="11" t="inlineStr">
        <is>
          <t>It's a great product, and I think it could offset our loss from last year.</t>
        </is>
      </c>
      <c r="G1436" s="11" t="inlineStr">
        <is>
          <t>정말 좋은 제품이고, 이 제품이 작년의 손실을 상쇄시켜 줄거라고 생각해.</t>
        </is>
      </c>
      <c r="H1436" s="5">
        <f>HYPERLINK("https://www.youtube.com/watch?v=bgRoMP9BajE", "영상 보기 ▶")</f>
        <v/>
      </c>
    </row>
    <row r="1437" ht="26" customHeight="1">
      <c r="A1437" s="6" t="n">
        <v>1436</v>
      </c>
      <c r="B1437" s="7" t="inlineStr">
        <is>
          <t>총정리 29탄</t>
        </is>
      </c>
      <c r="C1437" s="7" t="inlineStr">
        <is>
          <t>실전회화/표현</t>
        </is>
      </c>
      <c r="D1437" s="8" t="inlineStr">
        <is>
          <t>a blessing in disguise</t>
        </is>
      </c>
      <c r="E1437" s="12" t="inlineStr">
        <is>
          <t>뜻밖의 좋은 결과</t>
        </is>
      </c>
      <c r="F1437" s="12" t="inlineStr">
        <is>
          <t>Maybe this is a blessing in disguise.</t>
        </is>
      </c>
      <c r="G1437" s="12" t="inlineStr">
        <is>
          <t>오히려 이게 잘 된 일일지도 몰라.</t>
        </is>
      </c>
      <c r="H1437" s="9">
        <f>HYPERLINK("https://www.youtube.com/watch?v=bgRoMP9BajE", "영상 보기 ▶")</f>
        <v/>
      </c>
    </row>
    <row r="1438" ht="26" customHeight="1">
      <c r="A1438" s="2" t="n">
        <v>1437</v>
      </c>
      <c r="B1438" s="3" t="inlineStr">
        <is>
          <t>총정리 29탄</t>
        </is>
      </c>
      <c r="C1438" s="3" t="inlineStr">
        <is>
          <t>실전회화/표현</t>
        </is>
      </c>
      <c r="D1438" s="4" t="inlineStr">
        <is>
          <t>downside</t>
        </is>
      </c>
      <c r="E1438" s="11" t="inlineStr">
        <is>
          <t>불리한, 덜 긍정적인 면</t>
        </is>
      </c>
      <c r="F1438" s="11" t="inlineStr">
        <is>
          <t>A: What's the downside?</t>
        </is>
      </c>
      <c r="G1438" s="11" t="inlineStr">
        <is>
          <t>위험 요소가 뭐야?</t>
        </is>
      </c>
      <c r="H1438" s="5">
        <f>HYPERLINK("https://www.youtube.com/watch?v=bgRoMP9BajE", "영상 보기 ▶")</f>
        <v/>
      </c>
    </row>
    <row r="1439" ht="26" customHeight="1">
      <c r="A1439" s="6" t="n">
        <v>1438</v>
      </c>
      <c r="B1439" s="7" t="inlineStr">
        <is>
          <t>총정리 29탄</t>
        </is>
      </c>
      <c r="C1439" s="7" t="inlineStr">
        <is>
          <t>실전회화/표현</t>
        </is>
      </c>
      <c r="D1439" s="8" t="inlineStr">
        <is>
          <t>upside</t>
        </is>
      </c>
      <c r="E1439" s="12" t="inlineStr">
        <is>
          <t>괜찮은 면</t>
        </is>
      </c>
      <c r="F1439" s="12" t="inlineStr">
        <is>
          <t>There's no upside to doing that.</t>
        </is>
      </c>
      <c r="G1439" s="12" t="inlineStr">
        <is>
          <t>그렇게 해서 좋을게 없어.</t>
        </is>
      </c>
      <c r="H1439" s="9">
        <f>HYPERLINK("https://www.youtube.com/watch?v=bgRoMP9BajE", "영상 보기 ▶")</f>
        <v/>
      </c>
    </row>
    <row r="1440" ht="26" customHeight="1">
      <c r="A1440" s="2" t="n">
        <v>1439</v>
      </c>
      <c r="B1440" s="3" t="inlineStr">
        <is>
          <t>총정리 29탄</t>
        </is>
      </c>
      <c r="C1440" s="3" t="inlineStr">
        <is>
          <t>실전회화/표현</t>
        </is>
      </c>
      <c r="D1440" s="4" t="inlineStr">
        <is>
          <t>vent</t>
        </is>
      </c>
      <c r="E1440" s="11" t="inlineStr">
        <is>
          <t>터뜨리다</t>
        </is>
      </c>
      <c r="F1440" s="11" t="inlineStr">
        <is>
          <t>Let me go get some air. I don't want to vent my anger on you.</t>
        </is>
      </c>
      <c r="G1440" s="11" t="inlineStr">
        <is>
          <t>너한테 화풀이 하고싶지 않아. 바람 좀 쐬고 올게.</t>
        </is>
      </c>
      <c r="H1440" s="5">
        <f>HYPERLINK("https://www.youtube.com/watch?v=bgRoMP9BajE", "영상 보기 ▶")</f>
        <v/>
      </c>
    </row>
    <row r="1441" ht="26" customHeight="1">
      <c r="A1441" s="6" t="n">
        <v>1440</v>
      </c>
      <c r="B1441" s="7" t="inlineStr">
        <is>
          <t>총정리 29탄</t>
        </is>
      </c>
      <c r="C1441" s="7" t="inlineStr">
        <is>
          <t>공감/감정</t>
        </is>
      </c>
      <c r="D1441" s="8" t="inlineStr">
        <is>
          <t>come around</t>
        </is>
      </c>
      <c r="E1441" s="12" t="inlineStr">
        <is>
          <t>돌아오다, 마음/생각을 바꾸다</t>
        </is>
      </c>
      <c r="F1441" s="12" t="inlineStr">
        <is>
          <t>I'll talk to him. He'll come around.</t>
        </is>
      </c>
      <c r="G1441" s="12" t="inlineStr">
        <is>
          <t>내가 얘기해볼개. 생각을 바꾸고 받아들일거야.</t>
        </is>
      </c>
      <c r="H1441" s="9">
        <f>HYPERLINK("https://www.youtube.com/watch?v=bgRoMP9BajE", "영상 보기 ▶")</f>
        <v/>
      </c>
    </row>
    <row r="1442" ht="26" customHeight="1">
      <c r="A1442" s="2" t="n">
        <v>1441</v>
      </c>
      <c r="B1442" s="3" t="inlineStr">
        <is>
          <t>총정리 29탄</t>
        </is>
      </c>
      <c r="C1442" s="3" t="inlineStr">
        <is>
          <t>실전회화/표현</t>
        </is>
      </c>
      <c r="D1442" s="4" t="inlineStr">
        <is>
          <t>come to one's senses</t>
        </is>
      </c>
      <c r="E1442" s="11" t="inlineStr">
        <is>
          <t>정신차리다, 제대로 판단하기 시작하다</t>
        </is>
      </c>
      <c r="F1442" s="11" t="inlineStr">
        <is>
          <t>A: It's crystal clear that this is a better deal.</t>
        </is>
      </c>
      <c r="G1442" s="11" t="inlineStr">
        <is>
          <t>이게 더 나은 조건인게 분명한데.</t>
        </is>
      </c>
      <c r="H1442" s="5">
        <f>HYPERLINK("https://www.youtube.com/watch?v=bgRoMP9BajE", "영상 보기 ▶")</f>
        <v/>
      </c>
    </row>
    <row r="1443" ht="26" customHeight="1">
      <c r="A1443" s="6" t="n">
        <v>1442</v>
      </c>
      <c r="B1443" s="7" t="inlineStr">
        <is>
          <t>총정리 29탄</t>
        </is>
      </c>
      <c r="C1443" s="7" t="inlineStr">
        <is>
          <t>실전회화/표현</t>
        </is>
      </c>
      <c r="D1443" s="8" t="inlineStr">
        <is>
          <t>put out</t>
        </is>
      </c>
      <c r="E1443" s="12" t="inlineStr">
        <is>
          <t>끄다</t>
        </is>
      </c>
      <c r="F1443" s="12" t="inlineStr">
        <is>
          <t>Can it wait? I need to put out some fires.</t>
        </is>
      </c>
      <c r="G1443" s="12" t="inlineStr">
        <is>
          <t>그건 이따 해도 돼? 급한 불을 꺼야 해서.</t>
        </is>
      </c>
      <c r="H1443" s="9">
        <f>HYPERLINK("https://www.youtube.com/watch?v=bgRoMP9BajE", "영상 보기 ▶")</f>
        <v/>
      </c>
    </row>
    <row r="1444" ht="26" customHeight="1">
      <c r="A1444" s="2" t="n">
        <v>1443</v>
      </c>
      <c r="B1444" s="3" t="inlineStr">
        <is>
          <t>총정리 29탄</t>
        </is>
      </c>
      <c r="C1444" s="3" t="inlineStr">
        <is>
          <t>실전회화/표현</t>
        </is>
      </c>
      <c r="D1444" s="4" t="inlineStr">
        <is>
          <t>put up with</t>
        </is>
      </c>
      <c r="E1444" s="11" t="inlineStr">
        <is>
          <t>참고 견디다</t>
        </is>
      </c>
      <c r="F1444" s="11" t="inlineStr">
        <is>
          <t>Thank you for putting up with me.</t>
        </is>
      </c>
      <c r="G1444" s="11" t="inlineStr">
        <is>
          <t>참고 이해해줘서 고마워.</t>
        </is>
      </c>
      <c r="H1444" s="5">
        <f>HYPERLINK("https://www.youtube.com/watch?v=bgRoMP9BajE", "영상 보기 ▶")</f>
        <v/>
      </c>
    </row>
    <row r="1445" ht="26" customHeight="1">
      <c r="A1445" s="6" t="n">
        <v>1444</v>
      </c>
      <c r="B1445" s="7" t="inlineStr">
        <is>
          <t>총정리 29탄</t>
        </is>
      </c>
      <c r="C1445" s="7" t="inlineStr">
        <is>
          <t>실전회화/표현</t>
        </is>
      </c>
      <c r="D1445" s="8" t="inlineStr">
        <is>
          <t>go through</t>
        </is>
      </c>
      <c r="E1445" s="12" t="inlineStr">
        <is>
          <t>겪다</t>
        </is>
      </c>
      <c r="F1445" s="12" t="inlineStr">
        <is>
          <t>I can't imagine what you're going through.</t>
        </is>
      </c>
      <c r="G1445" s="12" t="inlineStr">
        <is>
          <t>얼마나 힘든 일을 겪고 계실지 상상이 안돼요.</t>
        </is>
      </c>
      <c r="H1445" s="9">
        <f>HYPERLINK("https://www.youtube.com/watch?v=bgRoMP9BajE", "영상 보기 ▶")</f>
        <v/>
      </c>
    </row>
    <row r="1446" ht="26" customHeight="1">
      <c r="A1446" s="2" t="n">
        <v>1445</v>
      </c>
      <c r="B1446" s="3" t="inlineStr">
        <is>
          <t>총정리 29탄</t>
        </is>
      </c>
      <c r="C1446" s="3" t="inlineStr">
        <is>
          <t>실전회화/표현</t>
        </is>
      </c>
      <c r="D1446" s="4" t="inlineStr">
        <is>
          <t>put</t>
        </is>
      </c>
      <c r="E1446" s="11" t="inlineStr">
        <is>
          <t>사람 through 곤경을 겪게 하다</t>
        </is>
      </c>
      <c r="F1446" s="11" t="inlineStr">
        <is>
          <t>I can't put you through that.</t>
        </is>
      </c>
      <c r="G1446" s="11" t="inlineStr">
        <is>
          <t>네가 그런 일을 겪게 할 순 없어.</t>
        </is>
      </c>
      <c r="H1446" s="5">
        <f>HYPERLINK("https://www.youtube.com/watch?v=bgRoMP9BajE", "영상 보기 ▶")</f>
        <v/>
      </c>
    </row>
    <row r="1447" ht="26" customHeight="1">
      <c r="A1447" s="6" t="n">
        <v>1446</v>
      </c>
      <c r="B1447" s="7" t="inlineStr">
        <is>
          <t>총정리 29탄</t>
        </is>
      </c>
      <c r="C1447" s="7" t="inlineStr">
        <is>
          <t>실전회화/표현</t>
        </is>
      </c>
      <c r="D1447" s="8" t="inlineStr">
        <is>
          <t>rookie mistake</t>
        </is>
      </c>
      <c r="E1447" s="12" t="inlineStr">
        <is>
          <t>초보들이 하는 실수</t>
        </is>
      </c>
      <c r="F1447" s="12" t="inlineStr">
        <is>
          <t>Sorry about the rookie mistake. I have to admit, I'm embarrassed.</t>
        </is>
      </c>
      <c r="G1447" s="12" t="inlineStr">
        <is>
          <t>어처구니 없는 실수를 해서 죄송해요. 저도 민망하네요.</t>
        </is>
      </c>
      <c r="H1447" s="9">
        <f>HYPERLINK("https://www.youtube.com/watch?v=bgRoMP9BajE", "영상 보기 ▶")</f>
        <v/>
      </c>
    </row>
    <row r="1448" ht="26" customHeight="1">
      <c r="A1448" s="2" t="n">
        <v>1447</v>
      </c>
      <c r="B1448" s="3" t="inlineStr">
        <is>
          <t>총정리 29탄</t>
        </is>
      </c>
      <c r="C1448" s="3" t="inlineStr">
        <is>
          <t>실전회화/표현</t>
        </is>
      </c>
      <c r="D1448" s="4" t="inlineStr">
        <is>
          <t>intimidating</t>
        </is>
      </c>
      <c r="E1448" s="11" t="inlineStr">
        <is>
          <t>의기소침하게 하는, 쫄게하는</t>
        </is>
      </c>
      <c r="F1448" s="11" t="inlineStr">
        <is>
          <t>Talking to a negative speaker is intimidating for me.</t>
        </is>
      </c>
      <c r="G1448" s="11" t="inlineStr">
        <is>
          <t>난 네이티브랑 얘기하는게 겁나.</t>
        </is>
      </c>
      <c r="H1448" s="5">
        <f>HYPERLINK("https://www.youtube.com/watch?v=bgRoMP9BajE", "영상 보기 ▶")</f>
        <v/>
      </c>
    </row>
    <row r="1449" ht="26" customHeight="1">
      <c r="A1449" s="6" t="n">
        <v>1448</v>
      </c>
      <c r="B1449" s="7" t="inlineStr">
        <is>
          <t>총정리 29탄</t>
        </is>
      </c>
      <c r="C1449" s="7" t="inlineStr">
        <is>
          <t>실전회화/표현</t>
        </is>
      </c>
      <c r="D1449" s="8" t="inlineStr">
        <is>
          <t>hear</t>
        </is>
      </c>
      <c r="E1449" s="12" t="inlineStr">
        <is>
          <t>사람 out ~의 말을 끝까지 들어주다</t>
        </is>
      </c>
      <c r="F1449" s="12" t="inlineStr">
        <is>
          <t>I know this might sound ridiculous, but hear me out.</t>
        </is>
      </c>
      <c r="G1449" s="12" t="inlineStr">
        <is>
          <t>황당한 아이디어 처럼 들릴 수 있는데 그래도 끝까지 들어봐.</t>
        </is>
      </c>
      <c r="H1449" s="9">
        <f>HYPERLINK("https://www.youtube.com/watch?v=bgRoMP9BajE", "영상 보기 ▶")</f>
        <v/>
      </c>
    </row>
    <row r="1450" ht="26" customHeight="1">
      <c r="A1450" s="2" t="n">
        <v>1449</v>
      </c>
      <c r="B1450" s="3" t="inlineStr">
        <is>
          <t>총정리 29탄</t>
        </is>
      </c>
      <c r="C1450" s="3" t="inlineStr">
        <is>
          <t>실전회화/표현</t>
        </is>
      </c>
      <c r="D1450" s="4" t="inlineStr">
        <is>
          <t>refresh one's memory ~</t>
        </is>
      </c>
      <c r="E1450" s="11" t="inlineStr">
        <is>
          <t>의 기억을 상기시켜주다</t>
        </is>
      </c>
      <c r="F1450" s="11" t="inlineStr">
        <is>
          <t>I know it's been a while since our last meeting, so let's recap to refresh our memories.</t>
        </is>
      </c>
      <c r="G1450" s="11" t="inlineStr">
        <is>
          <t>지난 미팅 이후로 꽤 시간이 흘렀으니 내용이 기억나도록 중요한 부분만 간단히 짚고 넘어가죠.</t>
        </is>
      </c>
      <c r="H1450" s="5">
        <f>HYPERLINK("https://www.youtube.com/watch?v=bgRoMP9BajE", "영상 보기 ▶")</f>
        <v/>
      </c>
    </row>
    <row r="1451" ht="26" customHeight="1">
      <c r="A1451" s="6" t="n">
        <v>1450</v>
      </c>
      <c r="B1451" s="7" t="inlineStr">
        <is>
          <t>총정리 29탄</t>
        </is>
      </c>
      <c r="C1451" s="7" t="inlineStr">
        <is>
          <t>실전회화/표현</t>
        </is>
      </c>
      <c r="D1451" s="8" t="inlineStr">
        <is>
          <t>level with</t>
        </is>
      </c>
      <c r="E1451" s="12" t="inlineStr">
        <is>
          <t>사람 솔직히 털어놓고 말하다</t>
        </is>
      </c>
      <c r="F1451" s="12" t="inlineStr">
        <is>
          <t>Just level with me. How bad is it?</t>
        </is>
      </c>
      <c r="G1451" s="12" t="inlineStr">
        <is>
          <t>그냥 솔직히 말해줘. 얼마나 상황이 안 좋은 거야?</t>
        </is>
      </c>
      <c r="H1451" s="9">
        <f>HYPERLINK("https://www.youtube.com/watch?v=bgRoMP9BajE", "영상 보기 ▶")</f>
        <v/>
      </c>
    </row>
    <row r="1452" ht="26" customHeight="1">
      <c r="A1452" s="2" t="n">
        <v>1451</v>
      </c>
      <c r="B1452" s="3" t="inlineStr">
        <is>
          <t>총정리 30탄</t>
        </is>
      </c>
      <c r="C1452" s="3" t="inlineStr">
        <is>
          <t>실전회화/표현</t>
        </is>
      </c>
      <c r="D1452" s="4" t="inlineStr">
        <is>
          <t>altogether</t>
        </is>
      </c>
      <c r="E1452" s="11" t="inlineStr">
        <is>
          <t>완전히, 전적으로</t>
        </is>
      </c>
      <c r="F1452" s="11" t="inlineStr">
        <is>
          <t>That’s a different matter altogether.</t>
        </is>
      </c>
      <c r="G1452" s="11" t="inlineStr">
        <is>
          <t>그건 완전히 다른 문제야.</t>
        </is>
      </c>
      <c r="H1452" s="5">
        <f>HYPERLINK("https://www.youtube.com/watch?v=twE9gYRcQbU", "영상 보기 ▶")</f>
        <v/>
      </c>
    </row>
    <row r="1453" ht="26" customHeight="1">
      <c r="A1453" s="6" t="n">
        <v>1452</v>
      </c>
      <c r="B1453" s="7" t="inlineStr">
        <is>
          <t>총정리 30탄</t>
        </is>
      </c>
      <c r="C1453" s="7" t="inlineStr">
        <is>
          <t>실전회화/표현</t>
        </is>
      </c>
      <c r="D1453" s="8" t="inlineStr">
        <is>
          <t>advise (</t>
        </is>
      </c>
      <c r="E1453" s="12" t="inlineStr">
        <is>
          <t>정식으로) 알리다</t>
        </is>
      </c>
      <c r="F1453" s="12" t="inlineStr">
        <is>
          <t>Please be advised that your attendance is mandatory.</t>
        </is>
      </c>
      <c r="G1453" s="12" t="inlineStr">
        <is>
          <t>의무적으로 참석해야 한다는 점 알려드립니다.</t>
        </is>
      </c>
      <c r="H1453" s="9">
        <f>HYPERLINK("https://www.youtube.com/watch?v=twE9gYRcQbU", "영상 보기 ▶")</f>
        <v/>
      </c>
    </row>
    <row r="1454" ht="26" customHeight="1">
      <c r="A1454" s="2" t="n">
        <v>1453</v>
      </c>
      <c r="B1454" s="3" t="inlineStr">
        <is>
          <t>총정리 30탄</t>
        </is>
      </c>
      <c r="C1454" s="3" t="inlineStr">
        <is>
          <t>실전회화/표현</t>
        </is>
      </c>
      <c r="D1454" s="4" t="inlineStr">
        <is>
          <t>take</t>
        </is>
      </c>
      <c r="E1454" s="11" t="inlineStr">
        <is>
          <t>대상 under advisement ~를 심사숙고하다, 고려하다</t>
        </is>
      </c>
      <c r="F1454" s="11" t="inlineStr">
        <is>
          <t>I’ll take that under advisement.</t>
        </is>
      </c>
      <c r="G1454" s="11" t="inlineStr">
        <is>
          <t>그 점 신중히 고려해서 결정할게요.</t>
        </is>
      </c>
      <c r="H1454" s="5">
        <f>HYPERLINK("https://www.youtube.com/watch?v=twE9gYRcQbU", "영상 보기 ▶")</f>
        <v/>
      </c>
    </row>
    <row r="1455" ht="26" customHeight="1">
      <c r="A1455" s="6" t="n">
        <v>1454</v>
      </c>
      <c r="B1455" s="7" t="inlineStr">
        <is>
          <t>총정리 30탄</t>
        </is>
      </c>
      <c r="C1455" s="7" t="inlineStr">
        <is>
          <t>실전회화/표현</t>
        </is>
      </c>
      <c r="D1455" s="8" t="inlineStr">
        <is>
          <t>keep</t>
        </is>
      </c>
      <c r="E1455" s="12" t="inlineStr">
        <is>
          <t>사람 advised 계속해서 현황을 알려주다</t>
        </is>
      </c>
      <c r="F1455" s="12" t="inlineStr">
        <is>
          <t>Please keep me advised.</t>
        </is>
      </c>
      <c r="G1455" s="12" t="inlineStr">
        <is>
          <t>어떻게 되는지 나한테 계속 알려줘.</t>
        </is>
      </c>
      <c r="H1455" s="9">
        <f>HYPERLINK("https://www.youtube.com/watch?v=twE9gYRcQbU", "영상 보기 ▶")</f>
        <v/>
      </c>
    </row>
    <row r="1456" ht="26" customHeight="1">
      <c r="A1456" s="2" t="n">
        <v>1455</v>
      </c>
      <c r="B1456" s="3" t="inlineStr">
        <is>
          <t>총정리 30탄</t>
        </is>
      </c>
      <c r="C1456" s="3" t="inlineStr">
        <is>
          <t>실전회화/표현</t>
        </is>
      </c>
      <c r="D1456" s="4" t="inlineStr">
        <is>
          <t>over the top</t>
        </is>
      </c>
      <c r="E1456" s="11" t="inlineStr">
        <is>
          <t>과한, 지나친</t>
        </is>
      </c>
      <c r="F1456" s="11" t="inlineStr">
        <is>
          <t>Do you think it’s a little over the top?</t>
        </is>
      </c>
      <c r="G1456" s="11" t="inlineStr">
        <is>
          <t>좀 과한 것 같아?</t>
        </is>
      </c>
      <c r="H1456" s="5">
        <f>HYPERLINK("https://www.youtube.com/watch?v=twE9gYRcQbU", "영상 보기 ▶")</f>
        <v/>
      </c>
    </row>
    <row r="1457" ht="26" customHeight="1">
      <c r="A1457" s="6" t="n">
        <v>1456</v>
      </c>
      <c r="B1457" s="7" t="inlineStr">
        <is>
          <t>총정리 30탄</t>
        </is>
      </c>
      <c r="C1457" s="7" t="inlineStr">
        <is>
          <t>실전회화/표현</t>
        </is>
      </c>
      <c r="D1457" s="8" t="inlineStr">
        <is>
          <t>infamous</t>
        </is>
      </c>
      <c r="E1457" s="12" t="inlineStr">
        <is>
          <t>악명 높은</t>
        </is>
      </c>
      <c r="F1457" s="12" t="inlineStr">
        <is>
          <t>John is infamous for being harsh toward his employees.</t>
        </is>
      </c>
      <c r="G1457" s="12" t="inlineStr">
        <is>
          <t>John은 직원들에게 거칠게 구는 걸로 유명해.</t>
        </is>
      </c>
      <c r="H1457" s="9">
        <f>HYPERLINK("https://www.youtube.com/watch?v=twE9gYRcQbU", "영상 보기 ▶")</f>
        <v/>
      </c>
    </row>
    <row r="1458" ht="26" customHeight="1">
      <c r="A1458" s="2" t="n">
        <v>1457</v>
      </c>
      <c r="B1458" s="3" t="inlineStr">
        <is>
          <t>총정리 30탄</t>
        </is>
      </c>
      <c r="C1458" s="3" t="inlineStr">
        <is>
          <t>실전회화/표현</t>
        </is>
      </c>
      <c r="D1458" s="4" t="inlineStr">
        <is>
          <t>draft beer</t>
        </is>
      </c>
      <c r="E1458" s="11" t="inlineStr">
        <is>
          <t>생맥주(&amp;#x3D; draught beer)</t>
        </is>
      </c>
      <c r="F1458" s="11" t="inlineStr">
        <is>
          <t>Would you like a bottle or a draft?</t>
        </is>
      </c>
      <c r="G1458" s="11" t="inlineStr">
        <is>
          <t>병맥으로 드릴까요, 생맥으로 드릴까요?</t>
        </is>
      </c>
      <c r="H1458" s="5">
        <f>HYPERLINK("https://www.youtube.com/watch?v=twE9gYRcQbU", "영상 보기 ▶")</f>
        <v/>
      </c>
    </row>
    <row r="1459" ht="26" customHeight="1">
      <c r="A1459" s="6" t="n">
        <v>1458</v>
      </c>
      <c r="B1459" s="7" t="inlineStr">
        <is>
          <t>총정리 30탄</t>
        </is>
      </c>
      <c r="C1459" s="7" t="inlineStr">
        <is>
          <t>의견/의사결정</t>
        </is>
      </c>
      <c r="D1459" s="8" t="inlineStr">
        <is>
          <t>clear one’s head</t>
        </is>
      </c>
      <c r="E1459" s="12" t="inlineStr">
        <is>
          <t>머리를 식히다, 생각을 정리하다</t>
        </is>
      </c>
      <c r="F1459" s="12" t="inlineStr">
        <is>
          <t>Let me go get some air. I need to clear my head.</t>
        </is>
      </c>
      <c r="G1459" s="12" t="inlineStr">
        <is>
          <t>가서 바람 좀 쐬며 머리 좀 식히고 올게.</t>
        </is>
      </c>
      <c r="H1459" s="9">
        <f>HYPERLINK("https://www.youtube.com/watch?v=twE9gYRcQbU", "영상 보기 ▶")</f>
        <v/>
      </c>
    </row>
    <row r="1460" ht="26" customHeight="1">
      <c r="A1460" s="2" t="n">
        <v>1459</v>
      </c>
      <c r="B1460" s="3" t="inlineStr">
        <is>
          <t>총정리 30탄</t>
        </is>
      </c>
      <c r="C1460" s="3" t="inlineStr">
        <is>
          <t>실전회화/표현</t>
        </is>
      </c>
      <c r="D1460" s="4" t="inlineStr">
        <is>
          <t>consequence</t>
        </is>
      </c>
      <c r="E1460" s="11" t="inlineStr">
        <is>
          <t>결과, 영향</t>
        </is>
      </c>
      <c r="F1460" s="11" t="inlineStr">
        <is>
          <t>There will be consequences.</t>
        </is>
      </c>
      <c r="G1460" s="11" t="inlineStr">
        <is>
          <t>댓가를 치르게 될거야.</t>
        </is>
      </c>
      <c r="H1460" s="5">
        <f>HYPERLINK("https://www.youtube.com/watch?v=twE9gYRcQbU", "영상 보기 ▶")</f>
        <v/>
      </c>
    </row>
    <row r="1461" ht="26" customHeight="1">
      <c r="A1461" s="6" t="n">
        <v>1460</v>
      </c>
      <c r="B1461" s="7" t="inlineStr">
        <is>
          <t>총정리 30탄</t>
        </is>
      </c>
      <c r="C1461" s="7" t="inlineStr">
        <is>
          <t>실전회화/표현</t>
        </is>
      </c>
      <c r="D1461" s="8" t="inlineStr">
        <is>
          <t>have consequences</t>
        </is>
      </c>
      <c r="E1461" s="12" t="inlineStr">
        <is>
          <t>결과를 초래하다, 영향을 미치다</t>
        </is>
      </c>
      <c r="F1461" s="12" t="inlineStr">
        <is>
          <t>Actions have consequences.</t>
        </is>
      </c>
      <c r="G1461" s="12" t="inlineStr">
        <is>
          <t>모든 행동에는 책임이 따르는 거야.</t>
        </is>
      </c>
      <c r="H1461" s="9">
        <f>HYPERLINK("https://www.youtube.com/watch?v=twE9gYRcQbU", "영상 보기 ▶")</f>
        <v/>
      </c>
    </row>
    <row r="1462" ht="26" customHeight="1">
      <c r="A1462" s="2" t="n">
        <v>1461</v>
      </c>
      <c r="B1462" s="3" t="inlineStr">
        <is>
          <t>총정리 30탄</t>
        </is>
      </c>
      <c r="C1462" s="3" t="inlineStr">
        <is>
          <t>실전회화/표현</t>
        </is>
      </c>
      <c r="D1462" s="4" t="inlineStr">
        <is>
          <t>consequence</t>
        </is>
      </c>
      <c r="E1462" s="11" t="inlineStr">
        <is>
          <t>중요함, 중대성</t>
        </is>
      </c>
      <c r="F1462" s="11" t="inlineStr">
        <is>
          <t>It is of no consequence to me.</t>
        </is>
      </c>
      <c r="G1462" s="11" t="inlineStr">
        <is>
          <t>그건 내게 중요치 않아.</t>
        </is>
      </c>
      <c r="H1462" s="5">
        <f>HYPERLINK("https://www.youtube.com/watch?v=twE9gYRcQbU", "영상 보기 ▶")</f>
        <v/>
      </c>
    </row>
    <row r="1463" ht="26" customHeight="1">
      <c r="A1463" s="6" t="n">
        <v>1462</v>
      </c>
      <c r="B1463" s="7" t="inlineStr">
        <is>
          <t>총정리 30탄</t>
        </is>
      </c>
      <c r="C1463" s="7" t="inlineStr">
        <is>
          <t>실전회화/표현</t>
        </is>
      </c>
      <c r="D1463" s="8" t="inlineStr">
        <is>
          <t>once</t>
        </is>
      </c>
      <c r="E1463" s="12" t="inlineStr">
        <is>
          <t>일단 ~하면, ~하자마자</t>
        </is>
      </c>
      <c r="F1463" s="12" t="inlineStr">
        <is>
          <t>Once it’s done, it cannot be undone.</t>
        </is>
      </c>
      <c r="G1463" s="12" t="inlineStr">
        <is>
          <t>일단 하고 나면 원래대로 되돌릴 수 없어.</t>
        </is>
      </c>
      <c r="H1463" s="9">
        <f>HYPERLINK("https://www.youtube.com/watch?v=twE9gYRcQbU", "영상 보기 ▶")</f>
        <v/>
      </c>
    </row>
    <row r="1464" ht="26" customHeight="1">
      <c r="A1464" s="2" t="n">
        <v>1463</v>
      </c>
      <c r="B1464" s="3" t="inlineStr">
        <is>
          <t>총정리 30탄</t>
        </is>
      </c>
      <c r="C1464" s="3" t="inlineStr">
        <is>
          <t>실전회화/표현</t>
        </is>
      </c>
      <c r="D1464" s="4" t="inlineStr">
        <is>
          <t>at once</t>
        </is>
      </c>
      <c r="E1464" s="11" t="inlineStr">
        <is>
          <t>바로, 지체없이</t>
        </is>
      </c>
      <c r="F1464" s="11" t="inlineStr">
        <is>
          <t>I’ll handle it at once.</t>
        </is>
      </c>
      <c r="G1464" s="11" t="inlineStr">
        <is>
          <t>지금 당장 처리할게요.</t>
        </is>
      </c>
      <c r="H1464" s="5">
        <f>HYPERLINK("https://www.youtube.com/watch?v=twE9gYRcQbU", "영상 보기 ▶")</f>
        <v/>
      </c>
    </row>
    <row r="1465" ht="26" customHeight="1">
      <c r="A1465" s="6" t="n">
        <v>1464</v>
      </c>
      <c r="B1465" s="7" t="inlineStr">
        <is>
          <t>총정리 30탄</t>
        </is>
      </c>
      <c r="C1465" s="7" t="inlineStr">
        <is>
          <t>실전회화/표현</t>
        </is>
      </c>
      <c r="D1465" s="8" t="inlineStr">
        <is>
          <t>at once</t>
        </is>
      </c>
      <c r="E1465" s="12" t="inlineStr">
        <is>
          <t>동시에</t>
        </is>
      </c>
      <c r="F1465" s="12" t="inlineStr">
        <is>
          <t>I can’t do two things at once.</t>
        </is>
      </c>
      <c r="G1465" s="12" t="inlineStr">
        <is>
          <t>동시에 두 일을 할 수는 없잖아.</t>
        </is>
      </c>
      <c r="H1465" s="9">
        <f>HYPERLINK("https://www.youtube.com/watch?v=twE9gYRcQbU", "영상 보기 ▶")</f>
        <v/>
      </c>
    </row>
    <row r="1466" ht="26" customHeight="1">
      <c r="A1466" s="2" t="n">
        <v>1465</v>
      </c>
      <c r="B1466" s="3" t="inlineStr">
        <is>
          <t>총정리 30탄</t>
        </is>
      </c>
      <c r="C1466" s="3" t="inlineStr">
        <is>
          <t>실전회화/표현</t>
        </is>
      </c>
      <c r="D1466" s="4" t="inlineStr">
        <is>
          <t>get cold feet</t>
        </is>
      </c>
      <c r="E1466" s="11" t="inlineStr">
        <is>
          <t>겁이 나다, 초조해지다</t>
        </is>
      </c>
      <c r="F1466" s="11" t="inlineStr">
        <is>
          <t>I ended up not doing it. I got cold feet.</t>
        </is>
      </c>
      <c r="G1466" s="11" t="inlineStr">
        <is>
          <t>결국 안 했어요. 겁먹어서요.</t>
        </is>
      </c>
      <c r="H1466" s="5">
        <f>HYPERLINK("https://www.youtube.com/watch?v=twE9gYRcQbU", "영상 보기 ▶")</f>
        <v/>
      </c>
    </row>
    <row r="1467" ht="26" customHeight="1">
      <c r="A1467" s="6" t="n">
        <v>1466</v>
      </c>
      <c r="B1467" s="7" t="inlineStr">
        <is>
          <t>총정리 30탄</t>
        </is>
      </c>
      <c r="C1467" s="7" t="inlineStr">
        <is>
          <t>실전회화/표현</t>
        </is>
      </c>
      <c r="D1467" s="8" t="inlineStr">
        <is>
          <t>bring</t>
        </is>
      </c>
      <c r="E1467" s="12" t="inlineStr">
        <is>
          <t>대상 to one’s attnetion ~에게 ~를 관심 갖게 하다, 알려주다</t>
        </is>
      </c>
      <c r="F1467" s="12" t="inlineStr">
        <is>
          <t>Thank you for bringing that to my attention.</t>
        </is>
      </c>
      <c r="G1467" s="12" t="inlineStr">
        <is>
          <t>내가 신경쓸 수 있도록 알려줘서 고마워.</t>
        </is>
      </c>
      <c r="H1467" s="9">
        <f>HYPERLINK("https://www.youtube.com/watch?v=twE9gYRcQbU", "영상 보기 ▶")</f>
        <v/>
      </c>
    </row>
    <row r="1468" ht="26" customHeight="1">
      <c r="A1468" s="2" t="n">
        <v>1467</v>
      </c>
      <c r="B1468" s="3" t="inlineStr">
        <is>
          <t>총정리 30탄</t>
        </is>
      </c>
      <c r="C1468" s="3" t="inlineStr">
        <is>
          <t>실전회화/표현</t>
        </is>
      </c>
      <c r="D1468" s="4" t="inlineStr">
        <is>
          <t>as..as ~</t>
        </is>
      </c>
      <c r="E1468" s="11" t="inlineStr">
        <is>
          <t>만큼 ~한</t>
        </is>
      </c>
      <c r="F1468" s="11" t="inlineStr">
        <is>
          <t>It’s not as easy as it looks.</t>
        </is>
      </c>
      <c r="G1468" s="11" t="inlineStr">
        <is>
          <t>그게 보기만큼 쉽지 않아.</t>
        </is>
      </c>
      <c r="H1468" s="5">
        <f>HYPERLINK("https://www.youtube.com/watch?v=twE9gYRcQbU", "영상 보기 ▶")</f>
        <v/>
      </c>
    </row>
    <row r="1469" ht="26" customHeight="1">
      <c r="A1469" s="6" t="n">
        <v>1468</v>
      </c>
      <c r="B1469" s="7" t="inlineStr">
        <is>
          <t>총정리 30탄</t>
        </is>
      </c>
      <c r="C1469" s="7" t="inlineStr">
        <is>
          <t>실전회화/표현</t>
        </is>
      </c>
      <c r="D1469" s="8" t="inlineStr">
        <is>
          <t>You don’t look a day over ~.</t>
        </is>
      </c>
      <c r="E1469" s="12" t="inlineStr">
        <is>
          <t>~세보다 하루도 더 안 들어 보여요 (그 나이보다 훨씬 동안이세요)</t>
        </is>
      </c>
      <c r="F1469" s="12" t="inlineStr">
        <is>
          <t>A: I just turned 40.</t>
        </is>
      </c>
      <c r="G1469" s="12" t="inlineStr">
        <is>
          <t>얼마 전에 마흔 됐어요.</t>
        </is>
      </c>
      <c r="H1469" s="9">
        <f>HYPERLINK("https://www.youtube.com/watch?v=twE9gYRcQbU", "영상 보기 ▶")</f>
        <v/>
      </c>
    </row>
    <row r="1470" ht="26" customHeight="1">
      <c r="A1470" s="2" t="n">
        <v>1469</v>
      </c>
      <c r="B1470" s="3" t="inlineStr">
        <is>
          <t>총정리 30탄</t>
        </is>
      </c>
      <c r="C1470" s="3" t="inlineStr">
        <is>
          <t>공감/감정</t>
        </is>
      </c>
      <c r="D1470" s="4" t="inlineStr">
        <is>
          <t>indulge ~</t>
        </is>
      </c>
      <c r="E1470" s="11" t="inlineStr">
        <is>
          <t>가 마음대로 하게 하다, 만족시키다</t>
        </is>
      </c>
      <c r="F1470" s="11" t="inlineStr">
        <is>
          <t>Thank you for indulging me.</t>
        </is>
      </c>
      <c r="G1470" s="11" t="inlineStr">
        <is>
          <t>제 얘기를 들어줘서 고맙습니다.</t>
        </is>
      </c>
      <c r="H1470" s="5">
        <f>HYPERLINK("https://www.youtube.com/watch?v=twE9gYRcQbU", "영상 보기 ▶")</f>
        <v/>
      </c>
    </row>
    <row r="1471" ht="26" customHeight="1">
      <c r="A1471" s="6" t="n">
        <v>1470</v>
      </c>
      <c r="B1471" s="7" t="inlineStr">
        <is>
          <t>총정리 30탄</t>
        </is>
      </c>
      <c r="C1471" s="7" t="inlineStr">
        <is>
          <t>실전회화/표현</t>
        </is>
      </c>
      <c r="D1471" s="8" t="inlineStr">
        <is>
          <t>Humor me.</t>
        </is>
      </c>
      <c r="E1471" s="12" t="inlineStr">
        <is>
          <t>바보 같은 부탁인 거 알지만 한 번만 비위 맞춰줘/들어줘</t>
        </is>
      </c>
      <c r="F1471" s="12" t="inlineStr">
        <is>
          <t>Humor me for a second.</t>
        </is>
      </c>
      <c r="G1471" s="12" t="inlineStr">
        <is>
          <t>잠깐만 내가 하자는대로 따라줘.</t>
        </is>
      </c>
      <c r="H1471" s="9">
        <f>HYPERLINK("https://www.youtube.com/watch?v=twE9gYRcQbU", "영상 보기 ▶")</f>
        <v/>
      </c>
    </row>
    <row r="1472" ht="26" customHeight="1">
      <c r="A1472" s="2" t="n">
        <v>1471</v>
      </c>
      <c r="B1472" s="3" t="inlineStr">
        <is>
          <t>총정리 30탄</t>
        </is>
      </c>
      <c r="C1472" s="3" t="inlineStr">
        <is>
          <t>실전회화/표현</t>
        </is>
      </c>
      <c r="D1472" s="4" t="inlineStr">
        <is>
          <t>I could get used to this.</t>
        </is>
      </c>
      <c r="E1472" s="11" t="inlineStr">
        <is>
          <t>계속 ~하고 싶을 정도로 좋은</t>
        </is>
      </c>
      <c r="F1472" s="11" t="inlineStr">
        <is>
          <t>Wow, I could get used to this view.</t>
        </is>
      </c>
      <c r="G1472" s="11" t="inlineStr">
        <is>
          <t>경치가 끝내준다, 매일 보고 싶을 정도야.</t>
        </is>
      </c>
      <c r="H1472" s="5">
        <f>HYPERLINK("https://www.youtube.com/watch?v=twE9gYRcQbU", "영상 보기 ▶")</f>
        <v/>
      </c>
    </row>
    <row r="1473" ht="26" customHeight="1">
      <c r="A1473" s="6" t="n">
        <v>1472</v>
      </c>
      <c r="B1473" s="7" t="inlineStr">
        <is>
          <t>총정리 30탄</t>
        </is>
      </c>
      <c r="C1473" s="7" t="inlineStr">
        <is>
          <t>실전회화/표현</t>
        </is>
      </c>
      <c r="D1473" s="8" t="inlineStr">
        <is>
          <t>go wrong</t>
        </is>
      </c>
      <c r="E1473" s="12" t="inlineStr">
        <is>
          <t>일이 잘못되다, 문제를 겪다</t>
        </is>
      </c>
      <c r="F1473" s="12" t="inlineStr">
        <is>
          <t>I don’t think that would work. Too many things can go wrong.</t>
        </is>
      </c>
      <c r="G1473" s="12" t="inlineStr">
        <is>
          <t>그건 안 될 것 같아. 변수가 너무 많아.</t>
        </is>
      </c>
      <c r="H1473" s="9">
        <f>HYPERLINK("https://www.youtube.com/watch?v=twE9gYRcQbU", "영상 보기 ▶")</f>
        <v/>
      </c>
    </row>
    <row r="1474" ht="26" customHeight="1">
      <c r="A1474" s="2" t="n">
        <v>1473</v>
      </c>
      <c r="B1474" s="3" t="inlineStr">
        <is>
          <t>총정리 30탄</t>
        </is>
      </c>
      <c r="C1474" s="3" t="inlineStr">
        <is>
          <t>실전회화/표현</t>
        </is>
      </c>
      <c r="D1474" s="4" t="inlineStr">
        <is>
          <t>You can’t go wrong with ~. ~</t>
        </is>
      </c>
      <c r="E1474" s="11" t="inlineStr">
        <is>
          <t>는 언제나 옳아.</t>
        </is>
      </c>
      <c r="F1474" s="11" t="inlineStr">
        <is>
          <t>You can’t go wrong with a burger.</t>
        </is>
      </c>
      <c r="G1474" s="11" t="inlineStr">
        <is>
          <t>햄버거가 맛없을리 없어, 햄버거는 항상 옳으니까.</t>
        </is>
      </c>
      <c r="H1474" s="5">
        <f>HYPERLINK("https://www.youtube.com/watch?v=twE9gYRcQbU", "영상 보기 ▶")</f>
        <v/>
      </c>
    </row>
    <row r="1475" ht="26" customHeight="1">
      <c r="A1475" s="6" t="n">
        <v>1474</v>
      </c>
      <c r="B1475" s="7" t="inlineStr">
        <is>
          <t>총정리 30탄</t>
        </is>
      </c>
      <c r="C1475" s="7" t="inlineStr">
        <is>
          <t>실전회화/표현</t>
        </is>
      </c>
      <c r="D1475" s="8" t="inlineStr">
        <is>
          <t>look up</t>
        </is>
      </c>
      <c r="E1475" s="12" t="inlineStr">
        <is>
          <t>상황이 좋아지다</t>
        </is>
      </c>
      <c r="F1475" s="12" t="inlineStr">
        <is>
          <t>Things are looking up.</t>
        </is>
      </c>
      <c r="G1475" s="12" t="inlineStr">
        <is>
          <t>상황이 나아지고 있어.</t>
        </is>
      </c>
      <c r="H1475" s="9">
        <f>HYPERLINK("https://www.youtube.com/watch?v=twE9gYRcQbU", "영상 보기 ▶")</f>
        <v/>
      </c>
    </row>
    <row r="1476" ht="26" customHeight="1">
      <c r="A1476" s="2" t="n">
        <v>1475</v>
      </c>
      <c r="B1476" s="3" t="inlineStr">
        <is>
          <t>총정리 30탄</t>
        </is>
      </c>
      <c r="C1476" s="3" t="inlineStr">
        <is>
          <t>실전회화/표현</t>
        </is>
      </c>
      <c r="D1476" s="4" t="inlineStr">
        <is>
          <t>look into ~</t>
        </is>
      </c>
      <c r="E1476" s="11" t="inlineStr">
        <is>
          <t>를 자세히 조사하다</t>
        </is>
      </c>
      <c r="F1476" s="11" t="inlineStr">
        <is>
          <t>I’ll look into it.</t>
        </is>
      </c>
      <c r="G1476" s="11" t="inlineStr">
        <is>
          <t>어떻게 된건지 제가 알아볼게요.</t>
        </is>
      </c>
      <c r="H1476" s="5">
        <f>HYPERLINK("https://www.youtube.com/watch?v=twE9gYRcQbU", "영상 보기 ▶")</f>
        <v/>
      </c>
    </row>
    <row r="1477" ht="26" customHeight="1">
      <c r="A1477" s="6" t="n">
        <v>1476</v>
      </c>
      <c r="B1477" s="7" t="inlineStr">
        <is>
          <t>총정리 30탄</t>
        </is>
      </c>
      <c r="C1477" s="7" t="inlineStr">
        <is>
          <t>실전회화/표현</t>
        </is>
      </c>
      <c r="D1477" s="8" t="inlineStr">
        <is>
          <t>look like ~</t>
        </is>
      </c>
      <c r="E1477" s="12" t="inlineStr">
        <is>
          <t>처럼 보이다</t>
        </is>
      </c>
      <c r="F1477" s="12" t="inlineStr">
        <is>
          <t>It looks like I can do tomorrow.</t>
        </is>
      </c>
      <c r="G1477" s="12" t="inlineStr">
        <is>
          <t>내일 시간이 괜찮을 것 같네요.</t>
        </is>
      </c>
      <c r="H1477" s="9">
        <f>HYPERLINK("https://www.youtube.com/watch?v=twE9gYRcQbU", "영상 보기 ▶")</f>
        <v/>
      </c>
    </row>
    <row r="1478" ht="26" customHeight="1">
      <c r="A1478" s="2" t="n">
        <v>1477</v>
      </c>
      <c r="B1478" s="3" t="inlineStr">
        <is>
          <t>총정리 30탄</t>
        </is>
      </c>
      <c r="C1478" s="3" t="inlineStr">
        <is>
          <t>실전회화/표현</t>
        </is>
      </c>
      <c r="D1478" s="4" t="inlineStr">
        <is>
          <t>get ahead of oneself</t>
        </is>
      </c>
      <c r="E1478" s="11" t="inlineStr">
        <is>
          <t>앞서 가다, 속단하다</t>
        </is>
      </c>
      <c r="F1478" s="11" t="inlineStr">
        <is>
          <t>Let’s not get ahead of ourselves.</t>
        </is>
      </c>
      <c r="G1478" s="11" t="inlineStr">
        <is>
          <t>앞서가지 말자.</t>
        </is>
      </c>
      <c r="H1478" s="5">
        <f>HYPERLINK("https://www.youtube.com/watch?v=twE9gYRcQbU", "영상 보기 ▶")</f>
        <v/>
      </c>
    </row>
    <row r="1479" ht="26" customHeight="1">
      <c r="A1479" s="6" t="n">
        <v>1478</v>
      </c>
      <c r="B1479" s="7" t="inlineStr">
        <is>
          <t>총정리 30탄</t>
        </is>
      </c>
      <c r="C1479" s="7" t="inlineStr">
        <is>
          <t>의견/의사결정</t>
        </is>
      </c>
      <c r="D1479" s="8" t="inlineStr">
        <is>
          <t>I thought you might ask.</t>
        </is>
      </c>
      <c r="E1479" s="12" t="inlineStr">
        <is>
          <t>네가 물어볼지도 모른다고 생각했어.</t>
        </is>
      </c>
      <c r="F1479" s="12" t="inlineStr">
        <is>
          <t>I thought you might ask, so I’ve already looked it up.</t>
        </is>
      </c>
      <c r="G1479" s="12" t="inlineStr">
        <is>
          <t>네가 물어볼지도 모른다고 생각해서 이미 알아봤어.</t>
        </is>
      </c>
      <c r="H1479" s="9">
        <f>HYPERLINK("https://www.youtube.com/watch?v=twE9gYRcQbU", "영상 보기 ▶")</f>
        <v/>
      </c>
    </row>
    <row r="1480" ht="26" customHeight="1">
      <c r="A1480" s="2" t="n">
        <v>1479</v>
      </c>
      <c r="B1480" s="3" t="inlineStr">
        <is>
          <t>총정리 30탄</t>
        </is>
      </c>
      <c r="C1480" s="3" t="inlineStr">
        <is>
          <t>실전회화/표현</t>
        </is>
      </c>
      <c r="D1480" s="4" t="inlineStr">
        <is>
          <t>unprecedented</t>
        </is>
      </c>
      <c r="E1480" s="11" t="inlineStr">
        <is>
          <t>전례 없는, 역대급</t>
        </is>
      </c>
      <c r="F1480" s="11" t="inlineStr">
        <is>
          <t>I’ve never seen it this high. This is an unprecedented price.</t>
        </is>
      </c>
      <c r="G1480" s="11" t="inlineStr">
        <is>
          <t>이렇게 비싼건 처음봐, 역대급 가격이다.</t>
        </is>
      </c>
      <c r="H1480" s="5">
        <f>HYPERLINK("https://www.youtube.com/watch?v=twE9gYRcQbU", "영상 보기 ▶")</f>
        <v/>
      </c>
    </row>
    <row r="1481" ht="26" customHeight="1">
      <c r="A1481" s="6" t="n">
        <v>1480</v>
      </c>
      <c r="B1481" s="7" t="inlineStr">
        <is>
          <t>총정리 30탄</t>
        </is>
      </c>
      <c r="C1481" s="7" t="inlineStr">
        <is>
          <t>실전회화/표현</t>
        </is>
      </c>
      <c r="D1481" s="8" t="inlineStr">
        <is>
          <t>look over ~</t>
        </is>
      </c>
      <c r="E1481" s="12" t="inlineStr">
        <is>
          <t>를 훑어보다, 검토하다</t>
        </is>
      </c>
      <c r="F1481" s="12" t="inlineStr">
        <is>
          <t>Did you get a chance to look over my presentation?</t>
        </is>
      </c>
      <c r="G1481" s="12" t="inlineStr">
        <is>
          <t>혹시 내가 보낸 발표자료를 훑어볼 시간 있었어?</t>
        </is>
      </c>
      <c r="H1481" s="9">
        <f>HYPERLINK("https://www.youtube.com/watch?v=twE9gYRcQbU", "영상 보기 ▶")</f>
        <v/>
      </c>
    </row>
    <row r="1482" ht="26" customHeight="1">
      <c r="A1482" s="2" t="n">
        <v>1481</v>
      </c>
      <c r="B1482" s="3" t="inlineStr">
        <is>
          <t>총정리 30탄</t>
        </is>
      </c>
      <c r="C1482" s="3" t="inlineStr">
        <is>
          <t>실전회화/표현</t>
        </is>
      </c>
      <c r="D1482" s="4" t="inlineStr">
        <is>
          <t>handful</t>
        </is>
      </c>
      <c r="E1482" s="11" t="inlineStr">
        <is>
          <t>소수, 몇 안되는</t>
        </is>
      </c>
      <c r="F1482" s="11" t="inlineStr">
        <is>
          <t>Only a handful of people showed up.</t>
        </is>
      </c>
      <c r="G1482" s="11" t="inlineStr">
        <is>
          <t>몇 사람 밖에 안왔어.</t>
        </is>
      </c>
      <c r="H1482" s="5">
        <f>HYPERLINK("https://www.youtube.com/watch?v=twE9gYRcQbU", "영상 보기 ▶")</f>
        <v/>
      </c>
    </row>
    <row r="1483" ht="26" customHeight="1">
      <c r="A1483" s="6" t="n">
        <v>1482</v>
      </c>
      <c r="B1483" s="7" t="inlineStr">
        <is>
          <t>총정리 30탄</t>
        </is>
      </c>
      <c r="C1483" s="7" t="inlineStr">
        <is>
          <t>실전회화/표현</t>
        </is>
      </c>
      <c r="D1483" s="8" t="inlineStr">
        <is>
          <t>handful</t>
        </is>
      </c>
      <c r="E1483" s="12" t="inlineStr">
        <is>
          <t>다루기 힘든 사람, 대상</t>
        </is>
      </c>
      <c r="F1483" s="12" t="inlineStr">
        <is>
          <t>A: He’s such a high-maintenance client.</t>
        </is>
      </c>
      <c r="G1483" s="12" t="inlineStr">
        <is>
          <t>그는 정말 까다로운 고객이야.</t>
        </is>
      </c>
      <c r="H1483" s="9">
        <f>HYPERLINK("https://www.youtube.com/watch?v=twE9gYRcQbU", "영상 보기 ▶")</f>
        <v/>
      </c>
    </row>
    <row r="1484" ht="26" customHeight="1">
      <c r="A1484" s="2" t="n">
        <v>1483</v>
      </c>
      <c r="B1484" s="3" t="inlineStr">
        <is>
          <t>총정리 30탄</t>
        </is>
      </c>
      <c r="C1484" s="3" t="inlineStr">
        <is>
          <t>실전회화/표현</t>
        </is>
      </c>
      <c r="D1484" s="4" t="inlineStr">
        <is>
          <t>I’ve got my hands full.</t>
        </is>
      </c>
      <c r="E1484" s="11" t="inlineStr">
        <is>
          <t>나 바빠.</t>
        </is>
      </c>
      <c r="F1484" s="11" t="inlineStr">
        <is>
          <t>I’d love to help, but I’ve got my hands full with the new project.</t>
        </is>
      </c>
      <c r="G1484" s="11" t="inlineStr">
        <is>
          <t>도와드리고 싶은데 새 프로젝트로 너무 바빠서요.</t>
        </is>
      </c>
      <c r="H1484" s="5">
        <f>HYPERLINK("https://www.youtube.com/watch?v=twE9gYRcQbU", "영상 보기 ▶")</f>
        <v/>
      </c>
    </row>
    <row r="1485" ht="26" customHeight="1">
      <c r="A1485" s="6" t="n">
        <v>1484</v>
      </c>
      <c r="B1485" s="7" t="inlineStr">
        <is>
          <t>총정리 30탄</t>
        </is>
      </c>
      <c r="C1485" s="7" t="inlineStr">
        <is>
          <t>실전회화/표현</t>
        </is>
      </c>
      <c r="D1485" s="8" t="inlineStr">
        <is>
          <t>on the clock</t>
        </is>
      </c>
      <c r="E1485" s="12" t="inlineStr">
        <is>
          <t>근무 중인</t>
        </is>
      </c>
      <c r="F1485" s="12" t="inlineStr">
        <is>
          <t>A: Do you wanna order a drink?</t>
        </is>
      </c>
      <c r="G1485" s="12" t="inlineStr">
        <is>
          <t>술 한잔 주문할까?</t>
        </is>
      </c>
      <c r="H1485" s="9">
        <f>HYPERLINK("https://www.youtube.com/watch?v=twE9gYRcQbU", "영상 보기 ▶")</f>
        <v/>
      </c>
    </row>
    <row r="1486" ht="26" customHeight="1">
      <c r="A1486" s="2" t="n">
        <v>1485</v>
      </c>
      <c r="B1486" s="3" t="inlineStr">
        <is>
          <t>총정리 30탄</t>
        </is>
      </c>
      <c r="C1486" s="3" t="inlineStr">
        <is>
          <t>실전회화/표현</t>
        </is>
      </c>
      <c r="D1486" s="4" t="inlineStr">
        <is>
          <t>off the clock</t>
        </is>
      </c>
      <c r="E1486" s="11" t="inlineStr">
        <is>
          <t>근무 시간 외의</t>
        </is>
      </c>
      <c r="F1486" s="11" t="inlineStr">
        <is>
          <t>We’re off the clock. Let’s not talk about work anymore.</t>
        </is>
      </c>
      <c r="G1486" s="11" t="inlineStr">
        <is>
          <t>이미 퇴근했는데 일 얘기는 이제 그만하자.</t>
        </is>
      </c>
      <c r="H1486" s="5">
        <f>HYPERLINK("https://www.youtube.com/watch?v=twE9gYRcQbU", "영상 보기 ▶")</f>
        <v/>
      </c>
    </row>
    <row r="1487" ht="26" customHeight="1">
      <c r="A1487" s="6" t="n">
        <v>1486</v>
      </c>
      <c r="B1487" s="7" t="inlineStr">
        <is>
          <t>총정리 30탄</t>
        </is>
      </c>
      <c r="C1487" s="7" t="inlineStr">
        <is>
          <t>실전회화/표현</t>
        </is>
      </c>
      <c r="D1487" s="8" t="inlineStr">
        <is>
          <t>single</t>
        </is>
      </c>
      <c r="E1487" s="12" t="inlineStr">
        <is>
          <t>솔로인</t>
        </is>
      </c>
      <c r="F1487" s="12" t="inlineStr">
        <is>
          <t>A: Are you seeing anyone?</t>
        </is>
      </c>
      <c r="G1487" s="12" t="inlineStr">
        <is>
          <t>만나는 사람 있어?</t>
        </is>
      </c>
      <c r="H1487" s="9">
        <f>HYPERLINK("https://www.youtube.com/watch?v=twE9gYRcQbU", "영상 보기 ▶")</f>
        <v/>
      </c>
    </row>
    <row r="1488" ht="26" customHeight="1">
      <c r="A1488" s="2" t="n">
        <v>1487</v>
      </c>
      <c r="B1488" s="3" t="inlineStr">
        <is>
          <t>총정리 30탄</t>
        </is>
      </c>
      <c r="C1488" s="3" t="inlineStr">
        <is>
          <t>실전회화/표현</t>
        </is>
      </c>
      <c r="D1488" s="4" t="inlineStr">
        <is>
          <t>plus-one</t>
        </is>
      </c>
      <c r="E1488" s="11" t="inlineStr">
        <is>
          <t>동행인</t>
        </is>
      </c>
      <c r="F1488" s="11" t="inlineStr">
        <is>
          <t>A: Are you bringing a plus-one to the party?</t>
        </is>
      </c>
      <c r="G1488" s="11" t="inlineStr">
        <is>
          <t>파티에 누구 데리고 올 거야?</t>
        </is>
      </c>
      <c r="H1488" s="5">
        <f>HYPERLINK("https://www.youtube.com/watch?v=twE9gYRcQbU", "영상 보기 ▶")</f>
        <v/>
      </c>
    </row>
    <row r="1489" ht="26" customHeight="1">
      <c r="A1489" s="6" t="n">
        <v>1488</v>
      </c>
      <c r="B1489" s="7" t="inlineStr">
        <is>
          <t>총정리 30탄</t>
        </is>
      </c>
      <c r="C1489" s="7" t="inlineStr">
        <is>
          <t>실전회화/표현</t>
        </is>
      </c>
      <c r="D1489" s="8" t="inlineStr">
        <is>
          <t>forty 40 (fourty</t>
        </is>
      </c>
      <c r="E1489" s="12" t="inlineStr">
        <is>
          <t>아님 주의)</t>
        </is>
      </c>
      <c r="F1489" s="12" t="inlineStr">
        <is>
          <t>A: If you don’t mind me asking, how old are you?</t>
        </is>
      </c>
      <c r="G1489" s="12" t="inlineStr">
        <is>
          <t>이런 질문 드려도 될지 모르겠지만, 나이가 어떻게 되시나요?</t>
        </is>
      </c>
      <c r="H1489" s="9">
        <f>HYPERLINK("https://www.youtube.com/watch?v=twE9gYRcQbU", "영상 보기 ▶")</f>
        <v/>
      </c>
    </row>
    <row r="1490" ht="26" customHeight="1">
      <c r="A1490" s="2" t="n">
        <v>1489</v>
      </c>
      <c r="B1490" s="3" t="inlineStr">
        <is>
          <t>총정리 30탄</t>
        </is>
      </c>
      <c r="C1490" s="3" t="inlineStr">
        <is>
          <t>실전회화/표현</t>
        </is>
      </c>
      <c r="D1490" s="4" t="inlineStr">
        <is>
          <t>just this once</t>
        </is>
      </c>
      <c r="E1490" s="11" t="inlineStr">
        <is>
          <t>이번 딱 한번만</t>
        </is>
      </c>
      <c r="F1490" s="11" t="inlineStr">
        <is>
          <t>I’ll make an exception just this once.</t>
        </is>
      </c>
      <c r="G1490" s="11" t="inlineStr">
        <is>
          <t>이번 한 번만 예외로 해줄게.</t>
        </is>
      </c>
      <c r="H1490" s="5">
        <f>HYPERLINK("https://www.youtube.com/watch?v=twE9gYRcQbU", "영상 보기 ▶")</f>
        <v/>
      </c>
    </row>
    <row r="1491" ht="26" customHeight="1">
      <c r="A1491" s="6" t="n">
        <v>1490</v>
      </c>
      <c r="B1491" s="7" t="inlineStr">
        <is>
          <t>총정리 30탄</t>
        </is>
      </c>
      <c r="C1491" s="7" t="inlineStr">
        <is>
          <t>공감/감정</t>
        </is>
      </c>
      <c r="D1491" s="8" t="inlineStr">
        <is>
          <t>offend</t>
        </is>
      </c>
      <c r="E1491" s="12" t="inlineStr">
        <is>
          <t>기분 나쁘게 하다, 언짢게 하다</t>
        </is>
      </c>
      <c r="F1491" s="12" t="inlineStr">
        <is>
          <t>Don’t be shy. I won’t be offended by any questions you ask.</t>
        </is>
      </c>
      <c r="G1491" s="12" t="inlineStr">
        <is>
          <t>부끄러워하지 말고 편히 질문하세요. 기분 나빻지 않을게요.</t>
        </is>
      </c>
      <c r="H1491" s="9">
        <f>HYPERLINK("https://www.youtube.com/watch?v=twE9gYRcQbU", "영상 보기 ▶")</f>
        <v/>
      </c>
    </row>
    <row r="1492" ht="26" customHeight="1">
      <c r="A1492" s="2" t="n">
        <v>1491</v>
      </c>
      <c r="B1492" s="3" t="inlineStr">
        <is>
          <t>총정리 30탄</t>
        </is>
      </c>
      <c r="C1492" s="3" t="inlineStr">
        <is>
          <t>공감/감정</t>
        </is>
      </c>
      <c r="D1492" s="4" t="inlineStr">
        <is>
          <t>Christmassy</t>
        </is>
      </c>
      <c r="E1492" s="11" t="inlineStr">
        <is>
          <t>크리스마스 분위기인</t>
        </is>
      </c>
      <c r="F1492" s="11" t="inlineStr">
        <is>
          <t>I love the vibe in here. This place is so Christmassy.</t>
        </is>
      </c>
      <c r="G1492" s="11" t="inlineStr">
        <is>
          <t>여기 분위기 정말 좋다. 완전 크리스마스 느낌.</t>
        </is>
      </c>
      <c r="H1492" s="5">
        <f>HYPERLINK("https://www.youtube.com/watch?v=twE9gYRcQbU", "영상 보기 ▶")</f>
        <v/>
      </c>
    </row>
    <row r="1493" ht="26" customHeight="1">
      <c r="A1493" s="6" t="n">
        <v>1492</v>
      </c>
      <c r="B1493" s="7" t="inlineStr">
        <is>
          <t>총정리 30탄</t>
        </is>
      </c>
      <c r="C1493" s="7" t="inlineStr">
        <is>
          <t>의견/의사결정</t>
        </is>
      </c>
      <c r="D1493" s="8" t="inlineStr">
        <is>
          <t>final offer</t>
        </is>
      </c>
      <c r="E1493" s="12" t="inlineStr">
        <is>
          <t>마지막 제안, 최종가</t>
        </is>
      </c>
      <c r="F1493" s="12" t="inlineStr">
        <is>
          <t>I assure you, this is our final offer.</t>
        </is>
      </c>
      <c r="G1493" s="12" t="inlineStr">
        <is>
          <t>분명히 말씀드리지만, 이보다 더 좋은 제안은 없을 겁니다.</t>
        </is>
      </c>
      <c r="H1493" s="9">
        <f>HYPERLINK("https://www.youtube.com/watch?v=twE9gYRcQbU", "영상 보기 ▶")</f>
        <v/>
      </c>
    </row>
    <row r="1494" ht="26" customHeight="1">
      <c r="A1494" s="2" t="n">
        <v>1493</v>
      </c>
      <c r="B1494" s="3" t="inlineStr">
        <is>
          <t>총정리 30탄</t>
        </is>
      </c>
      <c r="C1494" s="3" t="inlineStr">
        <is>
          <t>실전회화/표현</t>
        </is>
      </c>
      <c r="D1494" s="4" t="inlineStr">
        <is>
          <t>up for</t>
        </is>
      </c>
      <c r="E1494" s="11" t="inlineStr">
        <is>
          <t>고려되고 있는, 내놓은</t>
        </is>
      </c>
      <c r="F1494" s="11" t="inlineStr">
        <is>
          <t>I’m up for a promotion.</t>
        </is>
      </c>
      <c r="G1494" s="11" t="inlineStr">
        <is>
          <t>나 승진 후보야.</t>
        </is>
      </c>
      <c r="H1494" s="5">
        <f>HYPERLINK("https://www.youtube.com/watch?v=twE9gYRcQbU", "영상 보기 ▶")</f>
        <v/>
      </c>
    </row>
    <row r="1495" ht="26" customHeight="1">
      <c r="A1495" s="6" t="n">
        <v>1494</v>
      </c>
      <c r="B1495" s="7" t="inlineStr">
        <is>
          <t>총정리 30탄</t>
        </is>
      </c>
      <c r="C1495" s="7" t="inlineStr">
        <is>
          <t>실전회화/표현</t>
        </is>
      </c>
      <c r="D1495" s="8" t="inlineStr">
        <is>
          <t>skim</t>
        </is>
      </c>
      <c r="E1495" s="12" t="inlineStr">
        <is>
          <t>훑어보다</t>
        </is>
      </c>
      <c r="F1495" s="12" t="inlineStr">
        <is>
          <t>I just skimmed it.</t>
        </is>
      </c>
      <c r="G1495" s="12" t="inlineStr">
        <is>
          <t>그냥 훑어봤어.</t>
        </is>
      </c>
      <c r="H1495" s="9">
        <f>HYPERLINK("https://www.youtube.com/watch?v=twE9gYRcQbU", "영상 보기 ▶")</f>
        <v/>
      </c>
    </row>
    <row r="1496" ht="26" customHeight="1">
      <c r="A1496" s="2" t="n">
        <v>1495</v>
      </c>
      <c r="B1496" s="3" t="inlineStr">
        <is>
          <t>총정리 30탄</t>
        </is>
      </c>
      <c r="C1496" s="3" t="inlineStr">
        <is>
          <t>실전회화/표현</t>
        </is>
      </c>
      <c r="D1496" s="4" t="inlineStr">
        <is>
          <t>person</t>
        </is>
      </c>
      <c r="E1496" s="11" t="inlineStr">
        <is>
          <t>~를 좋아하는 사람</t>
        </is>
      </c>
      <c r="F1496" s="11" t="inlineStr">
        <is>
          <t>A: Are you a winter person?</t>
        </is>
      </c>
      <c r="G1496" s="11" t="inlineStr">
        <is>
          <t>겨울 좋아하세요?</t>
        </is>
      </c>
      <c r="H1496" s="5">
        <f>HYPERLINK("https://www.youtube.com/watch?v=twE9gYRcQbU", "영상 보기 ▶")</f>
        <v/>
      </c>
    </row>
    <row r="1497" ht="26" customHeight="1">
      <c r="A1497" s="6" t="n">
        <v>1496</v>
      </c>
      <c r="B1497" s="7" t="inlineStr">
        <is>
          <t>총정리 30탄</t>
        </is>
      </c>
      <c r="C1497" s="7" t="inlineStr">
        <is>
          <t>실전회화/표현</t>
        </is>
      </c>
      <c r="D1497" s="8" t="inlineStr">
        <is>
          <t>all-time favorite</t>
        </is>
      </c>
      <c r="E1497" s="12" t="inlineStr">
        <is>
          <t>최애</t>
        </is>
      </c>
      <c r="F1497" s="12" t="inlineStr">
        <is>
          <t>What’s your all-time favorite movie?</t>
        </is>
      </c>
      <c r="G1497" s="12" t="inlineStr">
        <is>
          <t>최애 영화가 뭐야?</t>
        </is>
      </c>
      <c r="H1497" s="9">
        <f>HYPERLINK("https://www.youtube.com/watch?v=twE9gYRcQbU", "영상 보기 ▶")</f>
        <v/>
      </c>
    </row>
    <row r="1498" ht="26" customHeight="1">
      <c r="A1498" s="2" t="n">
        <v>1497</v>
      </c>
      <c r="B1498" s="3" t="inlineStr">
        <is>
          <t>총정리 30탄</t>
        </is>
      </c>
      <c r="C1498" s="3" t="inlineStr">
        <is>
          <t>실전회화/표현</t>
        </is>
      </c>
      <c r="D1498" s="4" t="inlineStr">
        <is>
          <t>laser-focused</t>
        </is>
      </c>
      <c r="E1498" s="11" t="inlineStr">
        <is>
          <t>고도로 집중한</t>
        </is>
      </c>
      <c r="F1498" s="11" t="inlineStr">
        <is>
          <t>He’s laser-focused.</t>
        </is>
      </c>
      <c r="G1498" s="11" t="inlineStr">
        <is>
          <t>완전 집중하고 있어.</t>
        </is>
      </c>
      <c r="H1498" s="5">
        <f>HYPERLINK("https://www.youtube.com/watch?v=twE9gYRcQbU", "영상 보기 ▶")</f>
        <v/>
      </c>
    </row>
    <row r="1499" ht="26" customHeight="1">
      <c r="A1499" s="6" t="n">
        <v>1498</v>
      </c>
      <c r="B1499" s="7" t="inlineStr">
        <is>
          <t>총정리 30탄</t>
        </is>
      </c>
      <c r="C1499" s="7" t="inlineStr">
        <is>
          <t>실전회화/표현</t>
        </is>
      </c>
      <c r="D1499" s="8" t="inlineStr">
        <is>
          <t>highlight</t>
        </is>
      </c>
      <c r="E1499" s="12" t="inlineStr">
        <is>
          <t>가장 좋은/흥미로운 부분</t>
        </is>
      </c>
      <c r="F1499" s="12" t="inlineStr">
        <is>
          <t>What was the highlight of your year?</t>
        </is>
      </c>
      <c r="G1499" s="12" t="inlineStr">
        <is>
          <t>올해 가장 기억에 남는 순간이 있어?</t>
        </is>
      </c>
      <c r="H1499" s="9">
        <f>HYPERLINK("https://www.youtube.com/watch?v=twE9gYRcQbU", "영상 보기 ▶")</f>
        <v/>
      </c>
    </row>
    <row r="1500" ht="26" customHeight="1">
      <c r="A1500" s="2" t="n">
        <v>1499</v>
      </c>
      <c r="B1500" s="3" t="inlineStr">
        <is>
          <t>총정리 30탄</t>
        </is>
      </c>
      <c r="C1500" s="3" t="inlineStr">
        <is>
          <t>의견/의사결정</t>
        </is>
      </c>
      <c r="D1500" s="4" t="inlineStr">
        <is>
          <t>weigh in</t>
        </is>
      </c>
      <c r="E1500" s="11" t="inlineStr">
        <is>
          <t>끼어들다, 의견을 내다</t>
        </is>
      </c>
      <c r="F1500" s="11" t="inlineStr">
        <is>
          <t>I’d like to weigh in here.</t>
        </is>
      </c>
      <c r="G1500" s="11" t="inlineStr">
        <is>
          <t>이 부분에 있어 한 말씀 드리고 싶은데요.</t>
        </is>
      </c>
      <c r="H1500" s="5">
        <f>HYPERLINK("https://www.youtube.com/watch?v=twE9gYRcQbU", "영상 보기 ▶")</f>
        <v/>
      </c>
    </row>
    <row r="1501" ht="26" customHeight="1">
      <c r="A1501" s="6" t="n">
        <v>1500</v>
      </c>
      <c r="B1501" s="7" t="inlineStr">
        <is>
          <t>총정리 30탄</t>
        </is>
      </c>
      <c r="C1501" s="7" t="inlineStr">
        <is>
          <t>실전회화/표현</t>
        </is>
      </c>
      <c r="D1501" s="8" t="inlineStr">
        <is>
          <t>assure</t>
        </is>
      </c>
      <c r="E1501" s="12" t="inlineStr">
        <is>
          <t>장담하다</t>
        </is>
      </c>
      <c r="F1501" s="12" t="inlineStr">
        <is>
          <t>I can assure you that we’re giving it 100%.</t>
        </is>
      </c>
      <c r="G1501" s="12" t="inlineStr">
        <is>
          <t>정말 최선을 다하고 있다고 장담해요.</t>
        </is>
      </c>
      <c r="H1501" s="9">
        <f>HYPERLINK("https://www.youtube.com/watch?v=twE9gYRcQbU", "영상 보기 ▶")</f>
        <v/>
      </c>
    </row>
    <row r="1502" ht="26" customHeight="1">
      <c r="A1502" s="2" t="n">
        <v>1501</v>
      </c>
      <c r="B1502" s="3" t="inlineStr">
        <is>
          <t>총정리 31탄</t>
        </is>
      </c>
      <c r="C1502" s="3" t="inlineStr">
        <is>
          <t>실전회화/표현</t>
        </is>
      </c>
      <c r="D1502" s="4" t="inlineStr">
        <is>
          <t>spur-of-the-moment</t>
        </is>
      </c>
      <c r="E1502" s="11" t="inlineStr">
        <is>
          <t>즉흥적인, 즉석의</t>
        </is>
      </c>
      <c r="F1502" s="11" t="inlineStr">
        <is>
          <t>It's not a spur-of-the-moment decision.</t>
        </is>
      </c>
      <c r="G1502" s="11" t="inlineStr">
        <is>
          <t>즉흥적으로 결정한게 아니라 잘 생각해서 내린 결정이야.</t>
        </is>
      </c>
      <c r="H1502" s="5">
        <f>HYPERLINK("https://www.youtube.com/watch?v=4zErlgs6oqI", "영상 보기 ▶")</f>
        <v/>
      </c>
    </row>
    <row r="1503" ht="26" customHeight="1">
      <c r="A1503" s="6" t="n">
        <v>1502</v>
      </c>
      <c r="B1503" s="7" t="inlineStr">
        <is>
          <t>총정리 31탄</t>
        </is>
      </c>
      <c r="C1503" s="7" t="inlineStr">
        <is>
          <t>실전회화/표현</t>
        </is>
      </c>
      <c r="D1503" s="8" t="inlineStr">
        <is>
          <t>put our heads together</t>
        </is>
      </c>
      <c r="E1503" s="12" t="inlineStr">
        <is>
          <t>머리를 맞대고 의논하다</t>
        </is>
      </c>
      <c r="F1503" s="12" t="inlineStr">
        <is>
          <t>Don't worry. We'll put our heads together and come up with a solution.</t>
        </is>
      </c>
      <c r="G1503" s="12" t="inlineStr">
        <is>
          <t>저희가 같이 고민해서 해결책을 마련할테니 걱정 마세요.</t>
        </is>
      </c>
      <c r="H1503" s="9">
        <f>HYPERLINK("https://www.youtube.com/watch?v=4zErlgs6oqI", "영상 보기 ▶")</f>
        <v/>
      </c>
    </row>
    <row r="1504" ht="26" customHeight="1">
      <c r="A1504" s="2" t="n">
        <v>1503</v>
      </c>
      <c r="B1504" s="3" t="inlineStr">
        <is>
          <t>총정리 31탄</t>
        </is>
      </c>
      <c r="C1504" s="3" t="inlineStr">
        <is>
          <t>실전회화/표현</t>
        </is>
      </c>
      <c r="D1504" s="4" t="inlineStr">
        <is>
          <t>long overdue</t>
        </is>
      </c>
      <c r="E1504" s="11" t="inlineStr">
        <is>
          <t>한참 전에 행해 졌어야 할</t>
        </is>
      </c>
      <c r="F1504" s="11" t="inlineStr">
        <is>
          <t>I know it's long overdue, but I'd like to apologize.</t>
        </is>
      </c>
      <c r="G1504" s="11" t="inlineStr">
        <is>
          <t>많이 늦었지만, 사과하고 싶어.</t>
        </is>
      </c>
      <c r="H1504" s="5">
        <f>HYPERLINK("https://www.youtube.com/watch?v=4zErlgs6oqI", "영상 보기 ▶")</f>
        <v/>
      </c>
    </row>
    <row r="1505" ht="26" customHeight="1">
      <c r="A1505" s="6" t="n">
        <v>1504</v>
      </c>
      <c r="B1505" s="7" t="inlineStr">
        <is>
          <t>총정리 31탄</t>
        </is>
      </c>
      <c r="C1505" s="7" t="inlineStr">
        <is>
          <t>실전회화/표현</t>
        </is>
      </c>
      <c r="D1505" s="8" t="inlineStr">
        <is>
          <t>legitamate</t>
        </is>
      </c>
      <c r="E1505" s="12" t="inlineStr">
        <is>
          <t>합법적인, 제대로 된, 정당한</t>
        </is>
      </c>
      <c r="F1505" s="12" t="inlineStr">
        <is>
          <t>That's a legitamte concern.</t>
        </is>
      </c>
      <c r="G1505" s="12" t="inlineStr">
        <is>
          <t>그건 진짜 걱정할만한 문제야.</t>
        </is>
      </c>
      <c r="H1505" s="9">
        <f>HYPERLINK("https://www.youtube.com/watch?v=4zErlgs6oqI", "영상 보기 ▶")</f>
        <v/>
      </c>
    </row>
    <row r="1506" ht="26" customHeight="1">
      <c r="A1506" s="2" t="n">
        <v>1505</v>
      </c>
      <c r="B1506" s="3" t="inlineStr">
        <is>
          <t>총정리 31탄</t>
        </is>
      </c>
      <c r="C1506" s="3" t="inlineStr">
        <is>
          <t>실전회화/표현</t>
        </is>
      </c>
      <c r="D1506" s="4" t="inlineStr">
        <is>
          <t>legitimately</t>
        </is>
      </c>
      <c r="E1506" s="11" t="inlineStr">
        <is>
          <t>합법적으로, 정당하게, 진짜로</t>
        </is>
      </c>
      <c r="F1506" s="11" t="inlineStr">
        <is>
          <t>I'm legitimately interested.</t>
        </is>
      </c>
      <c r="G1506" s="11" t="inlineStr">
        <is>
          <t>진짜로 관심있어.</t>
        </is>
      </c>
      <c r="H1506" s="5">
        <f>HYPERLINK("https://www.youtube.com/watch?v=4zErlgs6oqI", "영상 보기 ▶")</f>
        <v/>
      </c>
    </row>
    <row r="1507" ht="26" customHeight="1">
      <c r="A1507" s="6" t="n">
        <v>1506</v>
      </c>
      <c r="B1507" s="7" t="inlineStr">
        <is>
          <t>총정리 31탄</t>
        </is>
      </c>
      <c r="C1507" s="7" t="inlineStr">
        <is>
          <t>실전회화/표현</t>
        </is>
      </c>
      <c r="D1507" s="8" t="inlineStr">
        <is>
          <t>mouthful</t>
        </is>
      </c>
      <c r="E1507" s="12" t="inlineStr">
        <is>
          <t>길고 복잡한 말, 발음하기 어려운 말</t>
        </is>
      </c>
      <c r="F1507" s="12" t="inlineStr">
        <is>
          <t>It's a mouthful.</t>
        </is>
      </c>
      <c r="G1507" s="12" t="inlineStr">
        <is>
          <t>발음하기 어렵다.</t>
        </is>
      </c>
      <c r="H1507" s="9">
        <f>HYPERLINK("https://www.youtube.com/watch?v=4zErlgs6oqI", "영상 보기 ▶")</f>
        <v/>
      </c>
    </row>
    <row r="1508" ht="26" customHeight="1">
      <c r="A1508" s="2" t="n">
        <v>1507</v>
      </c>
      <c r="B1508" s="3" t="inlineStr">
        <is>
          <t>총정리 31탄</t>
        </is>
      </c>
      <c r="C1508" s="3" t="inlineStr">
        <is>
          <t>실전회화/표현</t>
        </is>
      </c>
      <c r="D1508" s="4" t="inlineStr">
        <is>
          <t>phase out</t>
        </is>
      </c>
      <c r="E1508" s="11" t="inlineStr">
        <is>
          <t>단계적으로 중단/폐지/삭감하다</t>
        </is>
      </c>
      <c r="F1508" s="11" t="inlineStr">
        <is>
          <t>Now that we have enough customers, we should start phasing out the coupons.</t>
        </is>
      </c>
      <c r="G1508" s="11" t="inlineStr">
        <is>
          <t>이제 고객도 충분히 생겼으니 점차 쿠폰을 줄여가는게 좋겠어.</t>
        </is>
      </c>
      <c r="H1508" s="5">
        <f>HYPERLINK("https://www.youtube.com/watch?v=4zErlgs6oqI", "영상 보기 ▶")</f>
        <v/>
      </c>
    </row>
    <row r="1509" ht="26" customHeight="1">
      <c r="A1509" s="6" t="n">
        <v>1508</v>
      </c>
      <c r="B1509" s="7" t="inlineStr">
        <is>
          <t>총정리 31탄</t>
        </is>
      </c>
      <c r="C1509" s="7" t="inlineStr">
        <is>
          <t>실전회화/표현</t>
        </is>
      </c>
      <c r="D1509" s="8" t="inlineStr">
        <is>
          <t>I thought you'd never ask!</t>
        </is>
      </c>
      <c r="E1509" s="12" t="inlineStr">
        <is>
          <t>언제쯤 물어보시나 했어요.</t>
        </is>
      </c>
      <c r="F1509" s="12" t="inlineStr">
        <is>
          <t>A: Do you wanna watch it together?</t>
        </is>
      </c>
      <c r="G1509" s="12" t="inlineStr">
        <is>
          <t>너도 같이 볼래?</t>
        </is>
      </c>
      <c r="H1509" s="9">
        <f>HYPERLINK("https://www.youtube.com/watch?v=4zErlgs6oqI", "영상 보기 ▶")</f>
        <v/>
      </c>
    </row>
    <row r="1510" ht="26" customHeight="1">
      <c r="A1510" s="2" t="n">
        <v>1509</v>
      </c>
      <c r="B1510" s="3" t="inlineStr">
        <is>
          <t>총정리 31탄</t>
        </is>
      </c>
      <c r="C1510" s="3" t="inlineStr">
        <is>
          <t>의견/의사결정</t>
        </is>
      </c>
      <c r="D1510" s="4" t="inlineStr">
        <is>
          <t>I thought you might ask.</t>
        </is>
      </c>
      <c r="E1510" s="11" t="inlineStr">
        <is>
          <t>물어보실지도 모른다고 생각했어요.</t>
        </is>
      </c>
      <c r="F1510" s="11" t="inlineStr">
        <is>
          <t>A: Do you have a sample product?</t>
        </is>
      </c>
      <c r="G1510" s="11" t="inlineStr">
        <is>
          <t>샘플 상품 갖고 계신가요?</t>
        </is>
      </c>
      <c r="H1510" s="5">
        <f>HYPERLINK("https://www.youtube.com/watch?v=4zErlgs6oqI", "영상 보기 ▶")</f>
        <v/>
      </c>
    </row>
    <row r="1511" ht="26" customHeight="1">
      <c r="A1511" s="6" t="n">
        <v>1510</v>
      </c>
      <c r="B1511" s="7" t="inlineStr">
        <is>
          <t>총정리 31탄</t>
        </is>
      </c>
      <c r="C1511" s="7" t="inlineStr">
        <is>
          <t>실전회화/표현</t>
        </is>
      </c>
      <c r="D1511" s="8" t="inlineStr">
        <is>
          <t>look up to ~</t>
        </is>
      </c>
      <c r="E1511" s="12" t="inlineStr">
        <is>
          <t>를 우러러보다, 존경하다</t>
        </is>
      </c>
      <c r="F1511" s="12" t="inlineStr">
        <is>
          <t>He's resilient. That's something to look up to.</t>
        </is>
      </c>
      <c r="G1511" s="12" t="inlineStr">
        <is>
          <t>그는 쉽게 무너지지 않아, 그건 존경할 점이야.</t>
        </is>
      </c>
      <c r="H1511" s="9">
        <f>HYPERLINK("https://www.youtube.com/watch?v=4zErlgs6oqI", "영상 보기 ▶")</f>
        <v/>
      </c>
    </row>
    <row r="1512" ht="26" customHeight="1">
      <c r="A1512" s="2" t="n">
        <v>1511</v>
      </c>
      <c r="B1512" s="3" t="inlineStr">
        <is>
          <t>총정리 31탄</t>
        </is>
      </c>
      <c r="C1512" s="3" t="inlineStr">
        <is>
          <t>실전회화/표현</t>
        </is>
      </c>
      <c r="D1512" s="4" t="inlineStr">
        <is>
          <t>look down on ~</t>
        </is>
      </c>
      <c r="E1512" s="11" t="inlineStr">
        <is>
          <t>를 무시하다, 얕보다</t>
        </is>
      </c>
      <c r="F1512" s="11" t="inlineStr">
        <is>
          <t>I feel like he's looking down on my job.</t>
        </is>
      </c>
      <c r="G1512" s="11" t="inlineStr">
        <is>
          <t>그가 내 직업을 무시하는 것 같아.</t>
        </is>
      </c>
      <c r="H1512" s="5">
        <f>HYPERLINK("https://www.youtube.com/watch?v=4zErlgs6oqI", "영상 보기 ▶")</f>
        <v/>
      </c>
    </row>
    <row r="1513" ht="26" customHeight="1">
      <c r="A1513" s="6" t="n">
        <v>1512</v>
      </c>
      <c r="B1513" s="7" t="inlineStr">
        <is>
          <t>총정리 31탄</t>
        </is>
      </c>
      <c r="C1513" s="7" t="inlineStr">
        <is>
          <t>실전회화/표현</t>
        </is>
      </c>
      <c r="D1513" s="8" t="inlineStr">
        <is>
          <t>Spill the beans</t>
        </is>
      </c>
      <c r="E1513" s="12" t="inlineStr">
        <is>
          <t>무심코 말해 버리다, 누설하다</t>
        </is>
      </c>
      <c r="F1513" s="12" t="inlineStr">
        <is>
          <t>Nothing's set in stone, so don't spill the beans.</t>
        </is>
      </c>
      <c r="G1513" s="12" t="inlineStr">
        <is>
          <t>아직 확정된건 하나도 없으니 아무에게 말하지 마.</t>
        </is>
      </c>
      <c r="H1513" s="9">
        <f>HYPERLINK("https://www.youtube.com/watch?v=4zErlgs6oqI", "영상 보기 ▶")</f>
        <v/>
      </c>
    </row>
    <row r="1514" ht="26" customHeight="1">
      <c r="A1514" s="2" t="n">
        <v>1513</v>
      </c>
      <c r="B1514" s="3" t="inlineStr">
        <is>
          <t>총정리 31탄</t>
        </is>
      </c>
      <c r="C1514" s="3" t="inlineStr">
        <is>
          <t>실전회화/표현</t>
        </is>
      </c>
      <c r="D1514" s="4" t="inlineStr">
        <is>
          <t>no strings attached</t>
        </is>
      </c>
      <c r="E1514" s="11" t="inlineStr">
        <is>
          <t>아무 조건 없이</t>
        </is>
      </c>
      <c r="F1514" s="11" t="inlineStr">
        <is>
          <t>It's completely free, no strings attached.</t>
        </is>
      </c>
      <c r="G1514" s="11" t="inlineStr">
        <is>
          <t>아무 조건 없이 완전 공짜랍니다.</t>
        </is>
      </c>
      <c r="H1514" s="5">
        <f>HYPERLINK("https://www.youtube.com/watch?v=4zErlgs6oqI", "영상 보기 ▶")</f>
        <v/>
      </c>
    </row>
    <row r="1515" ht="26" customHeight="1">
      <c r="A1515" s="6" t="n">
        <v>1514</v>
      </c>
      <c r="B1515" s="7" t="inlineStr">
        <is>
          <t>총정리 31탄</t>
        </is>
      </c>
      <c r="C1515" s="7" t="inlineStr">
        <is>
          <t>실전회화/표현</t>
        </is>
      </c>
      <c r="D1515" s="8" t="inlineStr">
        <is>
          <t>There's no such thing as a free lunch.</t>
        </is>
      </c>
      <c r="E1515" s="12" t="inlineStr">
        <is>
          <t>세상에 공짜 점심은 없다 (공짜는 없는 법이야)</t>
        </is>
      </c>
      <c r="F1515" s="12" t="inlineStr">
        <is>
          <t>Remember, there's no such thing as a free lunch.</t>
        </is>
      </c>
      <c r="G1515" s="12" t="inlineStr">
        <is>
          <t>기억해, 세상에 대가 없는 공짜는 없는 법이야.</t>
        </is>
      </c>
      <c r="H1515" s="9">
        <f>HYPERLINK("https://www.youtube.com/watch?v=4zErlgs6oqI", "영상 보기 ▶")</f>
        <v/>
      </c>
    </row>
    <row r="1516" ht="26" customHeight="1">
      <c r="A1516" s="2" t="n">
        <v>1515</v>
      </c>
      <c r="B1516" s="3" t="inlineStr">
        <is>
          <t>총정리 31탄</t>
        </is>
      </c>
      <c r="C1516" s="3" t="inlineStr">
        <is>
          <t>공감/감정</t>
        </is>
      </c>
      <c r="D1516" s="4" t="inlineStr">
        <is>
          <t>reciprocate</t>
        </is>
      </c>
      <c r="E1516" s="11" t="inlineStr">
        <is>
          <t>화답/응답하다, 보답/주고받다</t>
        </is>
      </c>
      <c r="F1516" s="11" t="inlineStr">
        <is>
          <t>He's always been helpful. It's only right to reciprocate.</t>
        </is>
      </c>
      <c r="G1516" s="11" t="inlineStr">
        <is>
          <t>항상 우리를 도와줬는데 보답하는게 당연하지.</t>
        </is>
      </c>
      <c r="H1516" s="5">
        <f>HYPERLINK("https://www.youtube.com/watch?v=4zErlgs6oqI", "영상 보기 ▶")</f>
        <v/>
      </c>
    </row>
    <row r="1517" ht="26" customHeight="1">
      <c r="A1517" s="6" t="n">
        <v>1516</v>
      </c>
      <c r="B1517" s="7" t="inlineStr">
        <is>
          <t>총정리 31탄</t>
        </is>
      </c>
      <c r="C1517" s="7" t="inlineStr">
        <is>
          <t>실전회화/표현</t>
        </is>
      </c>
      <c r="D1517" s="8" t="inlineStr">
        <is>
          <t>over the moon</t>
        </is>
      </c>
      <c r="E1517" s="12" t="inlineStr">
        <is>
          <t>정말 행복한, 날아갈 것 같은</t>
        </is>
      </c>
      <c r="F1517" s="12" t="inlineStr">
        <is>
          <t>I'm over the moon.</t>
        </is>
      </c>
      <c r="G1517" s="12" t="inlineStr">
        <is>
          <t>정말 너무 기뻐.</t>
        </is>
      </c>
      <c r="H1517" s="9">
        <f>HYPERLINK("https://www.youtube.com/watch?v=4zErlgs6oqI", "영상 보기 ▶")</f>
        <v/>
      </c>
    </row>
    <row r="1518" ht="26" customHeight="1">
      <c r="A1518" s="2" t="n">
        <v>1517</v>
      </c>
      <c r="B1518" s="3" t="inlineStr">
        <is>
          <t>총정리 31탄</t>
        </is>
      </c>
      <c r="C1518" s="3" t="inlineStr">
        <is>
          <t>의견/의사결정</t>
        </is>
      </c>
      <c r="D1518" s="4" t="inlineStr">
        <is>
          <t>on the tip of one's tongue</t>
        </is>
      </c>
      <c r="E1518" s="11" t="inlineStr">
        <is>
          <t>생각이 날듯말듯하다</t>
        </is>
      </c>
      <c r="F1518" s="11" t="inlineStr">
        <is>
          <t>It's on the tip of my tongue.</t>
        </is>
      </c>
      <c r="G1518" s="11" t="inlineStr">
        <is>
          <t>아, 그 뭐였더라?</t>
        </is>
      </c>
      <c r="H1518" s="5">
        <f>HYPERLINK("https://www.youtube.com/watch?v=4zErlgs6oqI", "영상 보기 ▶")</f>
        <v/>
      </c>
    </row>
    <row r="1519" ht="26" customHeight="1">
      <c r="A1519" s="6" t="n">
        <v>1518</v>
      </c>
      <c r="B1519" s="7" t="inlineStr">
        <is>
          <t>총정리 31탄</t>
        </is>
      </c>
      <c r="C1519" s="7" t="inlineStr">
        <is>
          <t>실전회화/표현</t>
        </is>
      </c>
      <c r="D1519" s="8" t="inlineStr">
        <is>
          <t>aim for ~</t>
        </is>
      </c>
      <c r="E1519" s="12" t="inlineStr">
        <is>
          <t>를 목표로 삼고 나아가다</t>
        </is>
      </c>
      <c r="F1519" s="12" t="inlineStr">
        <is>
          <t>A: What's the time frame for that to happen?</t>
        </is>
      </c>
      <c r="G1519" s="12" t="inlineStr">
        <is>
          <t>그렇게 되려면 얼마나 걸릴까요?</t>
        </is>
      </c>
      <c r="H1519" s="9">
        <f>HYPERLINK("https://www.youtube.com/watch?v=4zErlgs6oqI", "영상 보기 ▶")</f>
        <v/>
      </c>
    </row>
    <row r="1520" ht="26" customHeight="1">
      <c r="A1520" s="2" t="n">
        <v>1519</v>
      </c>
      <c r="B1520" s="3" t="inlineStr">
        <is>
          <t>총정리 31탄</t>
        </is>
      </c>
      <c r="C1520" s="3" t="inlineStr">
        <is>
          <t>실전회화/표현</t>
        </is>
      </c>
      <c r="D1520" s="4" t="inlineStr">
        <is>
          <t>adamant</t>
        </is>
      </c>
      <c r="E1520" s="11" t="inlineStr">
        <is>
          <t>단호한, 요지부동의</t>
        </is>
      </c>
      <c r="F1520" s="11" t="inlineStr">
        <is>
          <t>She's adamant about not getting involved.</t>
        </is>
      </c>
      <c r="G1520" s="11" t="inlineStr">
        <is>
          <t>관여하지 않기로 확고하게 마음을 먹은 것 같아.</t>
        </is>
      </c>
      <c r="H1520" s="5">
        <f>HYPERLINK("https://www.youtube.com/watch?v=4zErlgs6oqI", "영상 보기 ▶")</f>
        <v/>
      </c>
    </row>
    <row r="1521" ht="26" customHeight="1">
      <c r="A1521" s="6" t="n">
        <v>1520</v>
      </c>
      <c r="B1521" s="7" t="inlineStr">
        <is>
          <t>총정리 31탄</t>
        </is>
      </c>
      <c r="C1521" s="7" t="inlineStr">
        <is>
          <t>실전회화/표현</t>
        </is>
      </c>
      <c r="D1521" s="8" t="inlineStr">
        <is>
          <t>look at ~</t>
        </is>
      </c>
      <c r="E1521" s="12" t="inlineStr">
        <is>
          <t>를 보다, 살펴보다</t>
        </is>
      </c>
      <c r="F1521" s="12" t="inlineStr">
        <is>
          <t>Now, let's look at the upsides.</t>
        </is>
      </c>
      <c r="G1521" s="12" t="inlineStr">
        <is>
          <t>이제 좋은면들을 살펴보죠.</t>
        </is>
      </c>
      <c r="H1521" s="9">
        <f>HYPERLINK("https://www.youtube.com/watch?v=4zErlgs6oqI", "영상 보기 ▶")</f>
        <v/>
      </c>
    </row>
    <row r="1522" ht="26" customHeight="1">
      <c r="A1522" s="2" t="n">
        <v>1521</v>
      </c>
      <c r="B1522" s="3" t="inlineStr">
        <is>
          <t>총정리 31탄</t>
        </is>
      </c>
      <c r="C1522" s="3" t="inlineStr">
        <is>
          <t>실전회화/표현</t>
        </is>
      </c>
      <c r="D1522" s="4" t="inlineStr">
        <is>
          <t>live paycheck to paycheck</t>
        </is>
      </c>
      <c r="E1522" s="11" t="inlineStr">
        <is>
          <t>한 달 벌어 한 달 먹고 살다</t>
        </is>
      </c>
      <c r="F1522" s="11" t="inlineStr">
        <is>
          <t>I'm tired of living paycheck to paycheck.</t>
        </is>
      </c>
      <c r="G1522" s="11" t="inlineStr">
        <is>
          <t>이렇게 궁상맞게 사는 거 지긋지긋해.</t>
        </is>
      </c>
      <c r="H1522" s="5">
        <f>HYPERLINK("https://www.youtube.com/watch?v=4zErlgs6oqI", "영상 보기 ▶")</f>
        <v/>
      </c>
    </row>
    <row r="1523" ht="26" customHeight="1">
      <c r="A1523" s="6" t="n">
        <v>1522</v>
      </c>
      <c r="B1523" s="7" t="inlineStr">
        <is>
          <t>총정리 31탄</t>
        </is>
      </c>
      <c r="C1523" s="7" t="inlineStr">
        <is>
          <t>실전회화/표현</t>
        </is>
      </c>
      <c r="D1523" s="8" t="inlineStr">
        <is>
          <t>in a nutshell</t>
        </is>
      </c>
      <c r="E1523" s="12" t="inlineStr">
        <is>
          <t>아주 간결하게, 한마디로 요약해</t>
        </is>
      </c>
      <c r="F1523" s="12" t="inlineStr">
        <is>
          <t>Can you explain it in a nutshell?</t>
        </is>
      </c>
      <c r="G1523" s="12" t="inlineStr">
        <is>
          <t>핵심만 간단하게 설명해줄래?</t>
        </is>
      </c>
      <c r="H1523" s="9">
        <f>HYPERLINK("https://www.youtube.com/watch?v=4zErlgs6oqI", "영상 보기 ▶")</f>
        <v/>
      </c>
    </row>
    <row r="1524" ht="26" customHeight="1">
      <c r="A1524" s="2" t="n">
        <v>1523</v>
      </c>
      <c r="B1524" s="3" t="inlineStr">
        <is>
          <t>총정리 31탄</t>
        </is>
      </c>
      <c r="C1524" s="3" t="inlineStr">
        <is>
          <t>의견/의사결정</t>
        </is>
      </c>
      <c r="D1524" s="4" t="inlineStr">
        <is>
          <t>budge</t>
        </is>
      </c>
      <c r="E1524" s="11" t="inlineStr">
        <is>
          <t>약간 움직이다, 의견을 바꾸다</t>
        </is>
      </c>
      <c r="F1524" s="11" t="inlineStr">
        <is>
          <t>A: Do you think he'll budge?</t>
        </is>
      </c>
      <c r="G1524" s="11" t="inlineStr">
        <is>
          <t>그가 생각을 바꿀 것 같아?</t>
        </is>
      </c>
      <c r="H1524" s="5">
        <f>HYPERLINK("https://www.youtube.com/watch?v=4zErlgs6oqI", "영상 보기 ▶")</f>
        <v/>
      </c>
    </row>
    <row r="1525" ht="26" customHeight="1">
      <c r="A1525" s="6" t="n">
        <v>1524</v>
      </c>
      <c r="B1525" s="7" t="inlineStr">
        <is>
          <t>총정리 31탄</t>
        </is>
      </c>
      <c r="C1525" s="7" t="inlineStr">
        <is>
          <t>실전회화/표현</t>
        </is>
      </c>
      <c r="D1525" s="8" t="inlineStr">
        <is>
          <t>I meant to ~</t>
        </is>
      </c>
      <c r="E1525" s="12" t="inlineStr">
        <is>
          <t>하려고 했는데</t>
        </is>
      </c>
      <c r="F1525" s="12" t="inlineStr">
        <is>
          <t>I meant to email you, but I forgot.</t>
        </is>
      </c>
      <c r="G1525" s="12" t="inlineStr">
        <is>
          <t>이메일 보내려 했는데 깜빡해버렸네.</t>
        </is>
      </c>
      <c r="H1525" s="9">
        <f>HYPERLINK("https://www.youtube.com/watch?v=4zErlgs6oqI", "영상 보기 ▶")</f>
        <v/>
      </c>
    </row>
    <row r="1526" ht="26" customHeight="1">
      <c r="A1526" s="2" t="n">
        <v>1525</v>
      </c>
      <c r="B1526" s="3" t="inlineStr">
        <is>
          <t>총정리 31탄</t>
        </is>
      </c>
      <c r="C1526" s="3" t="inlineStr">
        <is>
          <t>공감/감정</t>
        </is>
      </c>
      <c r="D1526" s="4" t="inlineStr">
        <is>
          <t>share (</t>
        </is>
      </c>
      <c r="E1526" s="11" t="inlineStr">
        <is>
          <t>감정, 생각을 공유하며) 말하다</t>
        </is>
      </c>
      <c r="F1526" s="11" t="inlineStr">
        <is>
          <t>Thank you for sharing.</t>
        </is>
      </c>
      <c r="G1526" s="11" t="inlineStr">
        <is>
          <t>말해줘서 고마워.</t>
        </is>
      </c>
      <c r="H1526" s="5">
        <f>HYPERLINK("https://www.youtube.com/watch?v=4zErlgs6oqI", "영상 보기 ▶")</f>
        <v/>
      </c>
    </row>
    <row r="1527" ht="26" customHeight="1">
      <c r="A1527" s="6" t="n">
        <v>1526</v>
      </c>
      <c r="B1527" s="7" t="inlineStr">
        <is>
          <t>총정리 31탄</t>
        </is>
      </c>
      <c r="C1527" s="7" t="inlineStr">
        <is>
          <t>실전회화/표현</t>
        </is>
      </c>
      <c r="D1527" s="8" t="inlineStr">
        <is>
          <t>short list</t>
        </is>
      </c>
      <c r="E1527" s="12" t="inlineStr">
        <is>
          <t>최종후보자 명단</t>
        </is>
      </c>
      <c r="F1527" s="12" t="inlineStr">
        <is>
          <t>A: I don't know which vendor we should go with.</t>
        </is>
      </c>
      <c r="G1527" s="12" t="inlineStr">
        <is>
          <t>어떤 업체를 선택해야할지 모르겠네.</t>
        </is>
      </c>
      <c r="H1527" s="9">
        <f>HYPERLINK("https://www.youtube.com/watch?v=4zErlgs6oqI", "영상 보기 ▶")</f>
        <v/>
      </c>
    </row>
    <row r="1528" ht="26" customHeight="1">
      <c r="A1528" s="2" t="n">
        <v>1527</v>
      </c>
      <c r="B1528" s="3" t="inlineStr">
        <is>
          <t>총정리 31탄</t>
        </is>
      </c>
      <c r="C1528" s="3" t="inlineStr">
        <is>
          <t>실전회화/표현</t>
        </is>
      </c>
      <c r="D1528" s="4" t="inlineStr">
        <is>
          <t>look out for</t>
        </is>
      </c>
      <c r="E1528" s="11" t="inlineStr">
        <is>
          <t>조심하다, 지키다</t>
        </is>
      </c>
      <c r="F1528" s="11" t="inlineStr">
        <is>
          <t>I'm just looking out for you.</t>
        </is>
      </c>
      <c r="G1528" s="11" t="inlineStr">
        <is>
          <t>네게 안 좋은 일이 생길까 걱정돼서 그러는거야.</t>
        </is>
      </c>
      <c r="H1528" s="5">
        <f>HYPERLINK("https://www.youtube.com/watch?v=4zErlgs6oqI", "영상 보기 ▶")</f>
        <v/>
      </c>
    </row>
    <row r="1529" ht="26" customHeight="1">
      <c r="A1529" s="6" t="n">
        <v>1528</v>
      </c>
      <c r="B1529" s="7" t="inlineStr">
        <is>
          <t>총정리 31탄</t>
        </is>
      </c>
      <c r="C1529" s="7" t="inlineStr">
        <is>
          <t>실전회화/표현</t>
        </is>
      </c>
      <c r="D1529" s="8" t="inlineStr">
        <is>
          <t>while</t>
        </is>
      </c>
      <c r="E1529" s="12" t="inlineStr">
        <is>
          <t>시간, 노력, 수고</t>
        </is>
      </c>
      <c r="F1529" s="12" t="inlineStr">
        <is>
          <t>It'll be worth your while.</t>
        </is>
      </c>
      <c r="G1529" s="12" t="inlineStr">
        <is>
          <t>네게 충분히 도움이 될거야.</t>
        </is>
      </c>
      <c r="H1529" s="9">
        <f>HYPERLINK("https://www.youtube.com/watch?v=4zErlgs6oqI", "영상 보기 ▶")</f>
        <v/>
      </c>
    </row>
    <row r="1530" ht="26" customHeight="1">
      <c r="A1530" s="2" t="n">
        <v>1529</v>
      </c>
      <c r="B1530" s="3" t="inlineStr">
        <is>
          <t>총정리 31탄</t>
        </is>
      </c>
      <c r="C1530" s="3" t="inlineStr">
        <is>
          <t>실전회화/표현</t>
        </is>
      </c>
      <c r="D1530" s="4" t="inlineStr">
        <is>
          <t>I can always find/make time for you.</t>
        </is>
      </c>
      <c r="E1530" s="11" t="inlineStr">
        <is>
          <t>너를 위해서라면 얼마든지 시간 낼 수 있어</t>
        </is>
      </c>
      <c r="F1530" s="11" t="inlineStr">
        <is>
          <t>Thank you for meeting me. - I can always make time for you.</t>
        </is>
      </c>
      <c r="G1530" s="11" t="inlineStr">
        <is>
          <t>만나줘서 고마워. - 너한테라면 얼마든지 시간 낼 수 있지.</t>
        </is>
      </c>
      <c r="H1530" s="5">
        <f>HYPERLINK("https://www.youtube.com/watch?v=4zErlgs6oqI", "영상 보기 ▶")</f>
        <v/>
      </c>
    </row>
    <row r="1531" ht="26" customHeight="1">
      <c r="A1531" s="6" t="n">
        <v>1530</v>
      </c>
      <c r="B1531" s="7" t="inlineStr">
        <is>
          <t>총정리 31탄</t>
        </is>
      </c>
      <c r="C1531" s="7" t="inlineStr">
        <is>
          <t>실전회화/표현</t>
        </is>
      </c>
      <c r="D1531" s="8" t="inlineStr">
        <is>
          <t>pep talk</t>
        </is>
      </c>
      <c r="E1531" s="12" t="inlineStr">
        <is>
          <t>격려, 응원의 말</t>
        </is>
      </c>
      <c r="F1531" s="12" t="inlineStr">
        <is>
          <t>Thank you for the pep talk.</t>
        </is>
      </c>
      <c r="G1531" s="12" t="inlineStr">
        <is>
          <t>응원해주셔서 감사해요.</t>
        </is>
      </c>
      <c r="H1531" s="9">
        <f>HYPERLINK("https://www.youtube.com/watch?v=4zErlgs6oqI", "영상 보기 ▶")</f>
        <v/>
      </c>
    </row>
    <row r="1532" ht="26" customHeight="1">
      <c r="A1532" s="2" t="n">
        <v>1531</v>
      </c>
      <c r="B1532" s="3" t="inlineStr">
        <is>
          <t>총정리 31탄</t>
        </is>
      </c>
      <c r="C1532" s="3" t="inlineStr">
        <is>
          <t>실전회화/표현</t>
        </is>
      </c>
      <c r="D1532" s="4" t="inlineStr">
        <is>
          <t>​cut to the chase</t>
        </is>
      </c>
      <c r="E1532" s="11" t="inlineStr">
        <is>
          <t>핵심/본론으로 들어가다</t>
        </is>
      </c>
      <c r="F1532" s="11" t="inlineStr">
        <is>
          <t>I know you're busy so I'll just cut to the chase.</t>
        </is>
      </c>
      <c r="G1532" s="11" t="inlineStr">
        <is>
          <t>바쁘신거 아니 바로 본론으로 들어갈게요.</t>
        </is>
      </c>
      <c r="H1532" s="5">
        <f>HYPERLINK("https://www.youtube.com/watch?v=4zErlgs6oqI", "영상 보기 ▶")</f>
        <v/>
      </c>
    </row>
    <row r="1533" ht="26" customHeight="1">
      <c r="A1533" s="6" t="n">
        <v>1532</v>
      </c>
      <c r="B1533" s="7" t="inlineStr">
        <is>
          <t>총정리 31탄</t>
        </is>
      </c>
      <c r="C1533" s="7" t="inlineStr">
        <is>
          <t>실전회화/표현</t>
        </is>
      </c>
      <c r="D1533" s="8" t="inlineStr">
        <is>
          <t>How was the traffic getting there?</t>
        </is>
      </c>
      <c r="E1533" s="12" t="inlineStr">
        <is>
          <t>거기 가는 길에 차는 많이 안 막혔어?</t>
        </is>
      </c>
      <c r="F1533" s="12" t="inlineStr">
        <is>
          <t>Welcome! How was the traffic getting there?</t>
        </is>
      </c>
      <c r="G1533" s="12" t="inlineStr">
        <is>
          <t>어서 오세요! 오시는 길에 차는 많이 안 막히셨나요?</t>
        </is>
      </c>
      <c r="H1533" s="9">
        <f>HYPERLINK("https://www.youtube.com/watch?v=4zErlgs6oqI", "영상 보기 ▶")</f>
        <v/>
      </c>
    </row>
    <row r="1534" ht="26" customHeight="1">
      <c r="A1534" s="2" t="n">
        <v>1533</v>
      </c>
      <c r="B1534" s="3" t="inlineStr">
        <is>
          <t>총정리 31탄</t>
        </is>
      </c>
      <c r="C1534" s="3" t="inlineStr">
        <is>
          <t>실전회화/표현</t>
        </is>
      </c>
      <c r="D1534" s="4" t="inlineStr">
        <is>
          <t>I'm just a phone call away.</t>
        </is>
      </c>
      <c r="E1534" s="11" t="inlineStr">
        <is>
          <t>언제든 연락해.</t>
        </is>
      </c>
      <c r="F1534" s="11" t="inlineStr">
        <is>
          <t>If you need anything at all, I'm just a phone call away.</t>
        </is>
      </c>
      <c r="G1534" s="11" t="inlineStr">
        <is>
          <t>조금이라도 필요한 일이 있으면 언제든 전화해.</t>
        </is>
      </c>
      <c r="H1534" s="5">
        <f>HYPERLINK("https://www.youtube.com/watch?v=4zErlgs6oqI", "영상 보기 ▶")</f>
        <v/>
      </c>
    </row>
    <row r="1535" ht="26" customHeight="1">
      <c r="A1535" s="6" t="n">
        <v>1534</v>
      </c>
      <c r="B1535" s="7" t="inlineStr">
        <is>
          <t>총정리 31탄</t>
        </is>
      </c>
      <c r="C1535" s="7" t="inlineStr">
        <is>
          <t>실전회화/표현</t>
        </is>
      </c>
      <c r="D1535" s="8" t="inlineStr">
        <is>
          <t>jet-lagged</t>
        </is>
      </c>
      <c r="E1535" s="12" t="inlineStr">
        <is>
          <t>시차로 피곤한</t>
        </is>
      </c>
      <c r="F1535" s="12" t="inlineStr">
        <is>
          <t>You must be jet-lagged.</t>
        </is>
      </c>
      <c r="G1535" s="12" t="inlineStr">
        <is>
          <t>시차 때문에 피곤하시겠어요.</t>
        </is>
      </c>
      <c r="H1535" s="9">
        <f>HYPERLINK("https://www.youtube.com/watch?v=4zErlgs6oqI", "영상 보기 ▶")</f>
        <v/>
      </c>
    </row>
    <row r="1536" ht="26" customHeight="1">
      <c r="A1536" s="2" t="n">
        <v>1535</v>
      </c>
      <c r="B1536" s="3" t="inlineStr">
        <is>
          <t>총정리 31탄</t>
        </is>
      </c>
      <c r="C1536" s="3" t="inlineStr">
        <is>
          <t>실전회화/표현</t>
        </is>
      </c>
      <c r="D1536" s="4" t="inlineStr">
        <is>
          <t>I can imagine.</t>
        </is>
      </c>
      <c r="E1536" s="11" t="inlineStr">
        <is>
          <t>무슨 말인지 알 것 같아.</t>
        </is>
      </c>
      <c r="F1536" s="11" t="inlineStr">
        <is>
          <t>A: Ted was disapponted that the deal fell through.</t>
        </is>
      </c>
      <c r="G1536" s="11" t="inlineStr">
        <is>
          <t>거래가 무산되어 Ted가 실망했어요.</t>
        </is>
      </c>
      <c r="H1536" s="5">
        <f>HYPERLINK("https://www.youtube.com/watch?v=4zErlgs6oqI", "영상 보기 ▶")</f>
        <v/>
      </c>
    </row>
    <row r="1537" ht="26" customHeight="1">
      <c r="A1537" s="6" t="n">
        <v>1536</v>
      </c>
      <c r="B1537" s="7" t="inlineStr">
        <is>
          <t>총정리 31탄</t>
        </is>
      </c>
      <c r="C1537" s="7" t="inlineStr">
        <is>
          <t>실전회화/표현</t>
        </is>
      </c>
      <c r="D1537" s="8" t="inlineStr">
        <is>
          <t>credit</t>
        </is>
      </c>
      <c r="E1537" s="12" t="inlineStr">
        <is>
          <t>칭찬, 공</t>
        </is>
      </c>
      <c r="F1537" s="12" t="inlineStr">
        <is>
          <t>I can't take all the credit. It was a team effort.</t>
        </is>
      </c>
      <c r="G1537" s="12" t="inlineStr">
        <is>
          <t>저 혼자만의 성과가 아니에요. 팀 전체가 노력했기 때문이에요.</t>
        </is>
      </c>
      <c r="H1537" s="9">
        <f>HYPERLINK("https://www.youtube.com/watch?v=4zErlgs6oqI", "영상 보기 ▶")</f>
        <v/>
      </c>
    </row>
    <row r="1538" ht="26" customHeight="1">
      <c r="A1538" s="2" t="n">
        <v>1537</v>
      </c>
      <c r="B1538" s="3" t="inlineStr">
        <is>
          <t>총정리 31탄</t>
        </is>
      </c>
      <c r="C1538" s="3" t="inlineStr">
        <is>
          <t>실전회화/표현</t>
        </is>
      </c>
      <c r="D1538" s="4" t="inlineStr">
        <is>
          <t>I see the resemblance.</t>
        </is>
      </c>
      <c r="E1538" s="11" t="inlineStr">
        <is>
          <t>정말 (가족/부모를) 쏙 빼닮았네요, 닮은 구석이 보이네요</t>
        </is>
      </c>
      <c r="F1538" s="11" t="inlineStr">
        <is>
          <t>Looking at your son, I see the resemblance.</t>
        </is>
      </c>
      <c r="G1538" s="11" t="inlineStr">
        <is>
          <t>아드님을 보니 정말 부모님을 쏙 빼닮았네요.</t>
        </is>
      </c>
      <c r="H1538" s="5">
        <f>HYPERLINK("https://www.youtube.com/watch?v=4zErlgs6oqI", "영상 보기 ▶")</f>
        <v/>
      </c>
    </row>
    <row r="1539" ht="26" customHeight="1">
      <c r="A1539" s="6" t="n">
        <v>1538</v>
      </c>
      <c r="B1539" s="7" t="inlineStr">
        <is>
          <t>총정리 31탄</t>
        </is>
      </c>
      <c r="C1539" s="7" t="inlineStr">
        <is>
          <t>실전회화/표현</t>
        </is>
      </c>
      <c r="D1539" s="8" t="inlineStr">
        <is>
          <t>They grow up so fast.</t>
        </is>
      </c>
      <c r="E1539" s="12" t="inlineStr">
        <is>
          <t>아이들이 정말 눈 깜짝할 사이에 쑥쑥 자라네요</t>
        </is>
      </c>
      <c r="F1539" s="12" t="inlineStr">
        <is>
          <t>I can't believe she's in college; they grow up so fast.</t>
        </is>
      </c>
      <c r="G1539" s="12" t="inlineStr">
        <is>
          <t>벌써 대학생이라니 믿기지 않아, 아이들은 정말 눈 깜짝할 사이에 자라.</t>
        </is>
      </c>
      <c r="H1539" s="9">
        <f>HYPERLINK("https://www.youtube.com/watch?v=4zErlgs6oqI", "영상 보기 ▶")</f>
        <v/>
      </c>
    </row>
    <row r="1540" ht="26" customHeight="1">
      <c r="A1540" s="2" t="n">
        <v>1539</v>
      </c>
      <c r="B1540" s="3" t="inlineStr">
        <is>
          <t>총정리 31탄</t>
        </is>
      </c>
      <c r="C1540" s="3" t="inlineStr">
        <is>
          <t>실전회화/표현</t>
        </is>
      </c>
      <c r="D1540" s="4" t="inlineStr">
        <is>
          <t>I wish I could ~</t>
        </is>
      </c>
      <c r="E1540" s="11" t="inlineStr">
        <is>
          <t>그럴 수 있으면 좋겠는데</t>
        </is>
      </c>
      <c r="F1540" s="11" t="inlineStr">
        <is>
          <t>I wish I could help you, but my hands are tied.</t>
        </is>
      </c>
      <c r="G1540" s="11" t="inlineStr">
        <is>
          <t>나도 돕고 싶지만, 지금은 너무 바빠서 어쩔 수가 없어.</t>
        </is>
      </c>
      <c r="H1540" s="5">
        <f>HYPERLINK("https://www.youtube.com/watch?v=4zErlgs6oqI", "영상 보기 ▶")</f>
        <v/>
      </c>
    </row>
    <row r="1541" ht="26" customHeight="1">
      <c r="A1541" s="6" t="n">
        <v>1540</v>
      </c>
      <c r="B1541" s="7" t="inlineStr">
        <is>
          <t>총정리 31탄</t>
        </is>
      </c>
      <c r="C1541" s="7" t="inlineStr">
        <is>
          <t>실전회화/표현</t>
        </is>
      </c>
      <c r="D1541" s="8" t="inlineStr">
        <is>
          <t>regards</t>
        </is>
      </c>
      <c r="E1541" s="12" t="inlineStr">
        <is>
          <t>안부</t>
        </is>
      </c>
      <c r="F1541" s="12" t="inlineStr">
        <is>
          <t>A: Where'd Ted?</t>
        </is>
      </c>
      <c r="G1541" s="12" t="inlineStr">
        <is>
          <t>Ted는 어딨어?</t>
        </is>
      </c>
      <c r="H1541" s="9">
        <f>HYPERLINK("https://www.youtube.com/watch?v=4zErlgs6oqI", "영상 보기 ▶")</f>
        <v/>
      </c>
    </row>
    <row r="1542" ht="26" customHeight="1">
      <c r="A1542" s="2" t="n">
        <v>1541</v>
      </c>
      <c r="B1542" s="3" t="inlineStr">
        <is>
          <t>총정리 31탄</t>
        </is>
      </c>
      <c r="C1542" s="3" t="inlineStr">
        <is>
          <t>실전회화/표현</t>
        </is>
      </c>
      <c r="D1542" s="4" t="inlineStr">
        <is>
          <t>hard deadline</t>
        </is>
      </c>
      <c r="E1542" s="11" t="inlineStr">
        <is>
          <t>꼭 지켜야 하는 마감기한</t>
        </is>
      </c>
      <c r="F1542" s="11" t="inlineStr">
        <is>
          <t>A: Is that a hard deadline?</t>
        </is>
      </c>
      <c r="G1542" s="11" t="inlineStr">
        <is>
          <t>그거 조정 불가능한 마감기한이야?</t>
        </is>
      </c>
      <c r="H1542" s="5">
        <f>HYPERLINK("https://www.youtube.com/watch?v=4zErlgs6oqI", "영상 보기 ▶")</f>
        <v/>
      </c>
    </row>
    <row r="1543" ht="26" customHeight="1">
      <c r="A1543" s="6" t="n">
        <v>1542</v>
      </c>
      <c r="B1543" s="7" t="inlineStr">
        <is>
          <t>총정리 31탄</t>
        </is>
      </c>
      <c r="C1543" s="7" t="inlineStr">
        <is>
          <t>실전회화/표현</t>
        </is>
      </c>
      <c r="D1543" s="8" t="inlineStr">
        <is>
          <t>(at) any second (now)</t>
        </is>
      </c>
      <c r="E1543" s="12" t="inlineStr">
        <is>
          <t>곧, 언제든</t>
        </is>
      </c>
      <c r="F1543" s="12" t="inlineStr">
        <is>
          <t>She should be here any minute.</t>
        </is>
      </c>
      <c r="G1543" s="12" t="inlineStr">
        <is>
          <t>곧 오실거에요.</t>
        </is>
      </c>
      <c r="H1543" s="9">
        <f>HYPERLINK("https://www.youtube.com/watch?v=4zErlgs6oqI", "영상 보기 ▶")</f>
        <v/>
      </c>
    </row>
    <row r="1544" ht="26" customHeight="1">
      <c r="A1544" s="2" t="n">
        <v>1543</v>
      </c>
      <c r="B1544" s="3" t="inlineStr">
        <is>
          <t>총정리 31탄</t>
        </is>
      </c>
      <c r="C1544" s="3" t="inlineStr">
        <is>
          <t>실전회화/표현</t>
        </is>
      </c>
      <c r="D1544" s="4" t="inlineStr">
        <is>
          <t>All yours.</t>
        </is>
      </c>
      <c r="E1544" s="11" t="inlineStr">
        <is>
          <t>편히 써, 편히 해.</t>
        </is>
      </c>
      <c r="F1544" s="11" t="inlineStr">
        <is>
          <t>Yeah, all yours.</t>
        </is>
      </c>
      <c r="G1544" s="11" t="inlineStr">
        <is>
          <t>편히 봐.</t>
        </is>
      </c>
      <c r="H1544" s="5">
        <f>HYPERLINK("https://www.youtube.com/watch?v=4zErlgs6oqI", "영상 보기 ▶")</f>
        <v/>
      </c>
    </row>
    <row r="1545" ht="26" customHeight="1">
      <c r="A1545" s="6" t="n">
        <v>1544</v>
      </c>
      <c r="B1545" s="7" t="inlineStr">
        <is>
          <t>총정리 31탄</t>
        </is>
      </c>
      <c r="C1545" s="7" t="inlineStr">
        <is>
          <t>실전회화/표현</t>
        </is>
      </c>
      <c r="D1545" s="8" t="inlineStr">
        <is>
          <t>shortcut</t>
        </is>
      </c>
      <c r="E1545" s="12" t="inlineStr">
        <is>
          <t>지름길, 쉬운 방법, 꼼수</t>
        </is>
      </c>
      <c r="F1545" s="12" t="inlineStr">
        <is>
          <t>It's a shortcut, but it'll save us a lot of legwork.</t>
        </is>
      </c>
      <c r="G1545" s="12" t="inlineStr">
        <is>
          <t>꼼수이긴 하지만, 수고를 많이 덜어줄거야.</t>
        </is>
      </c>
      <c r="H1545" s="9">
        <f>HYPERLINK("https://www.youtube.com/watch?v=4zErlgs6oqI", "영상 보기 ▶")</f>
        <v/>
      </c>
    </row>
    <row r="1546" ht="26" customHeight="1">
      <c r="A1546" s="2" t="n">
        <v>1545</v>
      </c>
      <c r="B1546" s="3" t="inlineStr">
        <is>
          <t>총정리 31탄</t>
        </is>
      </c>
      <c r="C1546" s="3" t="inlineStr">
        <is>
          <t>실전회화/표현</t>
        </is>
      </c>
      <c r="D1546" s="4" t="inlineStr">
        <is>
          <t>get off work</t>
        </is>
      </c>
      <c r="E1546" s="11" t="inlineStr">
        <is>
          <t>퇴근하다</t>
        </is>
      </c>
      <c r="F1546" s="11" t="inlineStr">
        <is>
          <t>What time do you get off?</t>
        </is>
      </c>
      <c r="G1546" s="11" t="inlineStr">
        <is>
          <t>몇시에 퇴근해?</t>
        </is>
      </c>
      <c r="H1546" s="5">
        <f>HYPERLINK("https://www.youtube.com/watch?v=4zErlgs6oqI", "영상 보기 ▶")</f>
        <v/>
      </c>
    </row>
    <row r="1547" ht="26" customHeight="1">
      <c r="A1547" s="6" t="n">
        <v>1546</v>
      </c>
      <c r="B1547" s="7" t="inlineStr">
        <is>
          <t>총정리 31탄</t>
        </is>
      </c>
      <c r="C1547" s="7" t="inlineStr">
        <is>
          <t>실전회화/표현</t>
        </is>
      </c>
      <c r="D1547" s="8" t="inlineStr">
        <is>
          <t>get off to a good start</t>
        </is>
      </c>
      <c r="E1547" s="12" t="inlineStr">
        <is>
          <t>순조롭게 출발/시작하다</t>
        </is>
      </c>
      <c r="F1547" s="12" t="inlineStr">
        <is>
          <t>I hope your day got off to a good start.</t>
        </is>
      </c>
      <c r="G1547" s="12" t="inlineStr">
        <is>
          <t>오늘 하루 잘 시작했길 바라.</t>
        </is>
      </c>
      <c r="H1547" s="9">
        <f>HYPERLINK("https://www.youtube.com/watch?v=4zErlgs6oqI", "영상 보기 ▶")</f>
        <v/>
      </c>
    </row>
    <row r="1548" ht="26" customHeight="1">
      <c r="A1548" s="2" t="n">
        <v>1547</v>
      </c>
      <c r="B1548" s="3" t="inlineStr">
        <is>
          <t>총정리 31탄</t>
        </is>
      </c>
      <c r="C1548" s="3" t="inlineStr">
        <is>
          <t>실전회화/표현</t>
        </is>
      </c>
      <c r="D1548" s="4" t="inlineStr">
        <is>
          <t>momentum</t>
        </is>
      </c>
      <c r="E1548" s="11" t="inlineStr">
        <is>
          <t>탄력, 가속도</t>
        </is>
      </c>
      <c r="F1548" s="11" t="inlineStr">
        <is>
          <t>A: How's your week going so far?</t>
        </is>
      </c>
      <c r="G1548" s="11" t="inlineStr">
        <is>
          <t>이번 한 주 어떻게 잘 보내고 있어?</t>
        </is>
      </c>
      <c r="H1548" s="5">
        <f>HYPERLINK("https://www.youtube.com/watch?v=4zErlgs6oqI", "영상 보기 ▶")</f>
        <v/>
      </c>
    </row>
    <row r="1549" ht="26" customHeight="1">
      <c r="A1549" s="6" t="n">
        <v>1548</v>
      </c>
      <c r="B1549" s="7" t="inlineStr">
        <is>
          <t>총정리 31탄</t>
        </is>
      </c>
      <c r="C1549" s="7" t="inlineStr">
        <is>
          <t>실전회화/표현</t>
        </is>
      </c>
      <c r="D1549" s="8" t="inlineStr">
        <is>
          <t>get off to a bad/rough/rocky start</t>
        </is>
      </c>
      <c r="E1549" s="12" t="inlineStr">
        <is>
          <t>힘들게 출발하다</t>
        </is>
      </c>
      <c r="F1549" s="12" t="inlineStr">
        <is>
          <t>We got off to a rocky start.</t>
        </is>
      </c>
      <c r="G1549" s="12" t="inlineStr">
        <is>
          <t>시작부터 삐그덕거렸어.</t>
        </is>
      </c>
      <c r="H1549" s="9">
        <f>HYPERLINK("https://www.youtube.com/watch?v=4zErlgs6oqI", "영상 보기 ▶")</f>
        <v/>
      </c>
    </row>
    <row r="1550" ht="26" customHeight="1">
      <c r="A1550" s="2" t="n">
        <v>1549</v>
      </c>
      <c r="B1550" s="3" t="inlineStr">
        <is>
          <t>총정리 31탄</t>
        </is>
      </c>
      <c r="C1550" s="3" t="inlineStr">
        <is>
          <t>실전회화/표현</t>
        </is>
      </c>
      <c r="D1550" s="4" t="inlineStr">
        <is>
          <t>I saved the best for last.</t>
        </is>
      </c>
      <c r="E1550" s="11" t="inlineStr">
        <is>
          <t>가장 좋은 걸 마지막을 위해 아껴뒀지</t>
        </is>
      </c>
      <c r="F1550" s="11" t="inlineStr">
        <is>
          <t>Here is our surprise finale; I saved the best for last.</t>
        </is>
      </c>
      <c r="G1550" s="11" t="inlineStr">
        <is>
          <t>자, 깜짝 피날레입니다. 가장 좋은 걸 마지막을 위해 아껴뒀죠.</t>
        </is>
      </c>
      <c r="H1550" s="5">
        <f>HYPERLINK("https://www.youtube.com/watch?v=4zErlgs6oqI", "영상 보기 ▶")</f>
        <v/>
      </c>
    </row>
    <row r="1551" ht="26" customHeight="1">
      <c r="A1551" s="6" t="n">
        <v>1550</v>
      </c>
      <c r="B1551" s="7" t="inlineStr">
        <is>
          <t>총정리 31탄</t>
        </is>
      </c>
      <c r="C1551" s="7" t="inlineStr">
        <is>
          <t>실전회화/표현</t>
        </is>
      </c>
      <c r="D1551" s="8" t="inlineStr">
        <is>
          <t>last but not least</t>
        </is>
      </c>
      <c r="E1551" s="12" t="inlineStr">
        <is>
          <t>마지막으로, (하지만 앞서 언급한 것들만큼이나 중요한)</t>
        </is>
      </c>
      <c r="F1551" s="12" t="inlineStr">
        <is>
          <t>Last but not least, I want to thank everyone for coming.</t>
        </is>
      </c>
      <c r="G1551" s="12" t="inlineStr">
        <is>
          <t>마지막으로, 오늘 자리를 빛내주신 모든 분들께 진심으로 감사드립니다.</t>
        </is>
      </c>
      <c r="H1551" s="9">
        <f>HYPERLINK("https://www.youtube.com/watch?v=4zErlgs6oqI", "영상 보기 ▶")</f>
        <v/>
      </c>
    </row>
    <row r="1552" ht="26" customHeight="1">
      <c r="A1552" s="2" t="n">
        <v>1551</v>
      </c>
      <c r="B1552" s="3" t="inlineStr">
        <is>
          <t>총정리 32탄</t>
        </is>
      </c>
      <c r="C1552" s="3" t="inlineStr">
        <is>
          <t>실전회화/표현</t>
        </is>
      </c>
      <c r="D1552" s="4" t="inlineStr">
        <is>
          <t>if you haven’t already</t>
        </is>
      </c>
      <c r="E1552" s="11" t="inlineStr">
        <is>
          <t>아직 안 하셨다면</t>
        </is>
      </c>
      <c r="F1552" s="11" t="inlineStr">
        <is>
          <t>If you haven’t already, make sure to add it to your calender.</t>
        </is>
      </c>
      <c r="G1552" s="11" t="inlineStr">
        <is>
          <t>아직 안 하셨다면, 꼭 캘린더에 일정을 추가해두세요.</t>
        </is>
      </c>
      <c r="H1552" s="5">
        <f>HYPERLINK("https://www.youtube.com/watch?v=U7lavOJxf_I", "영상 보기 ▶")</f>
        <v/>
      </c>
    </row>
    <row r="1553" ht="26" customHeight="1">
      <c r="A1553" s="6" t="n">
        <v>1552</v>
      </c>
      <c r="B1553" s="7" t="inlineStr">
        <is>
          <t>총정리 32탄</t>
        </is>
      </c>
      <c r="C1553" s="7" t="inlineStr">
        <is>
          <t>실전회화/표현</t>
        </is>
      </c>
      <c r="D1553" s="8" t="inlineStr">
        <is>
          <t>speak for itself</t>
        </is>
      </c>
      <c r="E1553" s="12" t="inlineStr">
        <is>
          <t>자명하다, 분명하다</t>
        </is>
      </c>
      <c r="F1553" s="12" t="inlineStr">
        <is>
          <t>Your work speaks for itself.</t>
        </is>
      </c>
      <c r="G1553" s="12" t="inlineStr">
        <is>
          <t>네 실력이 이미 말해주잖아.</t>
        </is>
      </c>
      <c r="H1553" s="9">
        <f>HYPERLINK("https://www.youtube.com/watch?v=U7lavOJxf_I", "영상 보기 ▶")</f>
        <v/>
      </c>
    </row>
    <row r="1554" ht="26" customHeight="1">
      <c r="A1554" s="2" t="n">
        <v>1553</v>
      </c>
      <c r="B1554" s="3" t="inlineStr">
        <is>
          <t>총정리 32탄</t>
        </is>
      </c>
      <c r="C1554" s="3" t="inlineStr">
        <is>
          <t>실전회화/표현</t>
        </is>
      </c>
      <c r="D1554" s="4" t="inlineStr">
        <is>
          <t>embrace</t>
        </is>
      </c>
      <c r="E1554" s="11" t="inlineStr">
        <is>
          <t>받아들이다, 포용하다</t>
        </is>
      </c>
      <c r="F1554" s="11" t="inlineStr">
        <is>
          <t>Aging is inevitable. We should just embrace it.</t>
        </is>
      </c>
      <c r="G1554" s="11" t="inlineStr">
        <is>
          <t>노화는 피할 수 없어. 그냥 받아들여야지.</t>
        </is>
      </c>
      <c r="H1554" s="5">
        <f>HYPERLINK("https://www.youtube.com/watch?v=U7lavOJxf_I", "영상 보기 ▶")</f>
        <v/>
      </c>
    </row>
    <row r="1555" ht="26" customHeight="1">
      <c r="A1555" s="6" t="n">
        <v>1554</v>
      </c>
      <c r="B1555" s="7" t="inlineStr">
        <is>
          <t>총정리 32탄</t>
        </is>
      </c>
      <c r="C1555" s="7" t="inlineStr">
        <is>
          <t>실전회화/표현</t>
        </is>
      </c>
      <c r="D1555" s="8" t="inlineStr">
        <is>
          <t>in no time</t>
        </is>
      </c>
      <c r="E1555" s="12" t="inlineStr">
        <is>
          <t>곧, 순식간에</t>
        </is>
      </c>
      <c r="F1555" s="12" t="inlineStr">
        <is>
          <t>There’s no traffic. I’ll be there in no time.</t>
        </is>
      </c>
      <c r="G1555" s="12" t="inlineStr">
        <is>
          <t>차가 안 막혀서 곧 도착할거야.</t>
        </is>
      </c>
      <c r="H1555" s="9">
        <f>HYPERLINK("https://www.youtube.com/watch?v=U7lavOJxf_I", "영상 보기 ▶")</f>
        <v/>
      </c>
    </row>
    <row r="1556" ht="26" customHeight="1">
      <c r="A1556" s="2" t="n">
        <v>1555</v>
      </c>
      <c r="B1556" s="3" t="inlineStr">
        <is>
          <t>총정리 32탄</t>
        </is>
      </c>
      <c r="C1556" s="3" t="inlineStr">
        <is>
          <t>실전회화/표현</t>
        </is>
      </c>
      <c r="D1556" s="4" t="inlineStr">
        <is>
          <t>expedite</t>
        </is>
      </c>
      <c r="E1556" s="11" t="inlineStr">
        <is>
          <t>더 신속히 처리하다</t>
        </is>
      </c>
      <c r="F1556" s="11" t="inlineStr">
        <is>
          <t>We’re running out of time. We have to expedite the process.</t>
        </is>
      </c>
      <c r="G1556" s="11" t="inlineStr">
        <is>
          <t>시간이 얼마남지 않아서 신속하게 처리해야 해.</t>
        </is>
      </c>
      <c r="H1556" s="5">
        <f>HYPERLINK("https://www.youtube.com/watch?v=U7lavOJxf_I", "영상 보기 ▶")</f>
        <v/>
      </c>
    </row>
    <row r="1557" ht="26" customHeight="1">
      <c r="A1557" s="6" t="n">
        <v>1556</v>
      </c>
      <c r="B1557" s="7" t="inlineStr">
        <is>
          <t>총정리 32탄</t>
        </is>
      </c>
      <c r="C1557" s="7" t="inlineStr">
        <is>
          <t>실전회화/표현</t>
        </is>
      </c>
      <c r="D1557" s="8" t="inlineStr">
        <is>
          <t>brush up</t>
        </is>
      </c>
      <c r="E1557" s="12" t="inlineStr">
        <is>
          <t>다시 공부하다, 다듬다</t>
        </is>
      </c>
      <c r="F1557" s="12" t="inlineStr">
        <is>
          <t>We have a big client visiting from New York. I really need to brush up on my English.</t>
        </is>
      </c>
      <c r="G1557" s="12" t="inlineStr">
        <is>
          <t>뉴욕에서 정말 중요한 고객이 오셔서, 영어 실력을 다듬어야해.</t>
        </is>
      </c>
      <c r="H1557" s="9">
        <f>HYPERLINK("https://www.youtube.com/watch?v=U7lavOJxf_I", "영상 보기 ▶")</f>
        <v/>
      </c>
    </row>
    <row r="1558" ht="26" customHeight="1">
      <c r="A1558" s="2" t="n">
        <v>1557</v>
      </c>
      <c r="B1558" s="3" t="inlineStr">
        <is>
          <t>총정리 32탄</t>
        </is>
      </c>
      <c r="C1558" s="3" t="inlineStr">
        <is>
          <t>비즈니스/업무</t>
        </is>
      </c>
      <c r="D1558" s="4" t="inlineStr">
        <is>
          <t>work around one’s schedule ~</t>
        </is>
      </c>
      <c r="E1558" s="11" t="inlineStr">
        <is>
          <t>의 일정에 맞추다</t>
        </is>
      </c>
      <c r="F1558" s="11" t="inlineStr">
        <is>
          <t>Let us know when it’s convenient for you. We’ll work around your schedule.</t>
        </is>
      </c>
      <c r="G1558" s="11" t="inlineStr">
        <is>
          <t>편하신 시간을 말씀주세요, 일정에 맞추도록 할게요.</t>
        </is>
      </c>
      <c r="H1558" s="5">
        <f>HYPERLINK("https://www.youtube.com/watch?v=U7lavOJxf_I", "영상 보기 ▶")</f>
        <v/>
      </c>
    </row>
    <row r="1559" ht="26" customHeight="1">
      <c r="A1559" s="6" t="n">
        <v>1558</v>
      </c>
      <c r="B1559" s="7" t="inlineStr">
        <is>
          <t>총정리 32탄</t>
        </is>
      </c>
      <c r="C1559" s="7" t="inlineStr">
        <is>
          <t>실전회화/표현</t>
        </is>
      </c>
      <c r="D1559" s="8" t="inlineStr">
        <is>
          <t>purview</t>
        </is>
      </c>
      <c r="E1559" s="12" t="inlineStr">
        <is>
          <t>범위, 영역, 권한</t>
        </is>
      </c>
      <c r="F1559" s="12" t="inlineStr">
        <is>
          <t>I’m sorry, but that’s not in my purview.</t>
        </is>
      </c>
      <c r="G1559" s="12" t="inlineStr">
        <is>
          <t>죄송하지만 그건 제 권한이 아니라서요.</t>
        </is>
      </c>
      <c r="H1559" s="9">
        <f>HYPERLINK("https://www.youtube.com/watch?v=U7lavOJxf_I", "영상 보기 ▶")</f>
        <v/>
      </c>
    </row>
    <row r="1560" ht="26" customHeight="1">
      <c r="A1560" s="2" t="n">
        <v>1559</v>
      </c>
      <c r="B1560" s="3" t="inlineStr">
        <is>
          <t>총정리 32탄</t>
        </is>
      </c>
      <c r="C1560" s="3" t="inlineStr">
        <is>
          <t>실전회화/표현</t>
        </is>
      </c>
      <c r="D1560" s="4" t="inlineStr">
        <is>
          <t>area of expertise</t>
        </is>
      </c>
      <c r="E1560" s="11" t="inlineStr">
        <is>
          <t>전문 분야</t>
        </is>
      </c>
      <c r="F1560" s="11" t="inlineStr">
        <is>
          <t>That’s not my area of expertise.</t>
        </is>
      </c>
      <c r="G1560" s="11" t="inlineStr">
        <is>
          <t>그건 제 전문 분야가 아니라서요.</t>
        </is>
      </c>
      <c r="H1560" s="5">
        <f>HYPERLINK("https://www.youtube.com/watch?v=U7lavOJxf_I", "영상 보기 ▶")</f>
        <v/>
      </c>
    </row>
    <row r="1561" ht="26" customHeight="1">
      <c r="A1561" s="6" t="n">
        <v>1560</v>
      </c>
      <c r="B1561" s="7" t="inlineStr">
        <is>
          <t>총정리 32탄</t>
        </is>
      </c>
      <c r="C1561" s="7" t="inlineStr">
        <is>
          <t>실전회화/표현</t>
        </is>
      </c>
      <c r="D1561" s="8" t="inlineStr">
        <is>
          <t>Are you with me?</t>
        </is>
      </c>
      <c r="E1561" s="12" t="inlineStr">
        <is>
          <t>내 말 듣고 있지?</t>
        </is>
      </c>
      <c r="F1561" s="12" t="inlineStr">
        <is>
          <t>A: Are you with us?</t>
        </is>
      </c>
      <c r="G1561" s="12" t="inlineStr">
        <is>
          <t>지금 집중하고 있는거지?</t>
        </is>
      </c>
      <c r="H1561" s="9">
        <f>HYPERLINK("https://www.youtube.com/watch?v=U7lavOJxf_I", "영상 보기 ▶")</f>
        <v/>
      </c>
    </row>
    <row r="1562" ht="26" customHeight="1">
      <c r="A1562" s="2" t="n">
        <v>1561</v>
      </c>
      <c r="B1562" s="3" t="inlineStr">
        <is>
          <t>총정리 32탄</t>
        </is>
      </c>
      <c r="C1562" s="3" t="inlineStr">
        <is>
          <t>공감/감정</t>
        </is>
      </c>
      <c r="D1562" s="4" t="inlineStr">
        <is>
          <t>Are you with me?</t>
        </is>
      </c>
      <c r="E1562" s="11" t="inlineStr">
        <is>
          <t>잘 이해하고 있지?</t>
        </is>
      </c>
      <c r="F1562" s="11" t="inlineStr">
        <is>
          <t>A: Are you with me?</t>
        </is>
      </c>
      <c r="G1562" s="11" t="inlineStr">
        <is>
          <t>문제없이 잘 따라오고 있으시죠?</t>
        </is>
      </c>
      <c r="H1562" s="5">
        <f>HYPERLINK("https://www.youtube.com/watch?v=U7lavOJxf_I", "영상 보기 ▶")</f>
        <v/>
      </c>
    </row>
    <row r="1563" ht="26" customHeight="1">
      <c r="A1563" s="6" t="n">
        <v>1562</v>
      </c>
      <c r="B1563" s="7" t="inlineStr">
        <is>
          <t>총정리 32탄</t>
        </is>
      </c>
      <c r="C1563" s="7" t="inlineStr">
        <is>
          <t>실전회화/표현</t>
        </is>
      </c>
      <c r="D1563" s="8" t="inlineStr">
        <is>
          <t>Are you with me?</t>
        </is>
      </c>
      <c r="E1563" s="12" t="inlineStr">
        <is>
          <t>동의 하시죠?</t>
        </is>
      </c>
      <c r="F1563" s="12" t="inlineStr">
        <is>
          <t>A: So, are you with us?</t>
        </is>
      </c>
      <c r="G1563" s="12" t="inlineStr">
        <is>
          <t>저희와 함께 하시는 거 맞죠?</t>
        </is>
      </c>
      <c r="H1563" s="9">
        <f>HYPERLINK("https://www.youtube.com/watch?v=U7lavOJxf_I", "영상 보기 ▶")</f>
        <v/>
      </c>
    </row>
    <row r="1564" ht="26" customHeight="1">
      <c r="A1564" s="2" t="n">
        <v>1563</v>
      </c>
      <c r="B1564" s="3" t="inlineStr">
        <is>
          <t>총정리 32탄</t>
        </is>
      </c>
      <c r="C1564" s="3" t="inlineStr">
        <is>
          <t>실전회화/표현</t>
        </is>
      </c>
      <c r="D1564" s="4" t="inlineStr">
        <is>
          <t>out of practice</t>
        </is>
      </c>
      <c r="E1564" s="11" t="inlineStr">
        <is>
          <t>연습 부족으로 서툰, 오랜만에 해서 실력이 떨어진</t>
        </is>
      </c>
      <c r="F1564" s="11" t="inlineStr">
        <is>
          <t>I need to brush up on my presentation skills. I’m out of practice.</t>
        </is>
      </c>
      <c r="G1564" s="11" t="inlineStr">
        <is>
          <t>발표 실력을 좀 다듬어야 해. 한지 오래돼서.</t>
        </is>
      </c>
      <c r="H1564" s="5">
        <f>HYPERLINK("https://www.youtube.com/watch?v=U7lavOJxf_I", "영상 보기 ▶")</f>
        <v/>
      </c>
    </row>
    <row r="1565" ht="26" customHeight="1">
      <c r="A1565" s="6" t="n">
        <v>1564</v>
      </c>
      <c r="B1565" s="7" t="inlineStr">
        <is>
          <t>총정리 32탄</t>
        </is>
      </c>
      <c r="C1565" s="7" t="inlineStr">
        <is>
          <t>실전회화/표현</t>
        </is>
      </c>
      <c r="D1565" s="8" t="inlineStr">
        <is>
          <t>rusty</t>
        </is>
      </c>
      <c r="E1565" s="12" t="inlineStr">
        <is>
          <t>실력이 녹슨, 예전 같지 않은</t>
        </is>
      </c>
      <c r="F1565" s="12" t="inlineStr">
        <is>
          <t>My English is a bit rusty, so please bear with me.</t>
        </is>
      </c>
      <c r="G1565" s="12" t="inlineStr">
        <is>
          <t>제 영어 실력이 예전같지 않아서, 양해 부탁드려요.</t>
        </is>
      </c>
      <c r="H1565" s="9">
        <f>HYPERLINK("https://www.youtube.com/watch?v=U7lavOJxf_I", "영상 보기 ▶")</f>
        <v/>
      </c>
    </row>
    <row r="1566" ht="26" customHeight="1">
      <c r="A1566" s="2" t="n">
        <v>1565</v>
      </c>
      <c r="B1566" s="3" t="inlineStr">
        <is>
          <t>총정리 32탄</t>
        </is>
      </c>
      <c r="C1566" s="3" t="inlineStr">
        <is>
          <t>실전회화/표현</t>
        </is>
      </c>
      <c r="D1566" s="4" t="inlineStr">
        <is>
          <t>uncalled for</t>
        </is>
      </c>
      <c r="E1566" s="11" t="inlineStr">
        <is>
          <t>부적절한, 부당한</t>
        </is>
      </c>
      <c r="F1566" s="11" t="inlineStr">
        <is>
          <t>Come on, that was uncalled for.</t>
        </is>
      </c>
      <c r="G1566" s="11" t="inlineStr">
        <is>
          <t>에이, 그건 좀 너무 했다.</t>
        </is>
      </c>
      <c r="H1566" s="5">
        <f>HYPERLINK("https://www.youtube.com/watch?v=U7lavOJxf_I", "영상 보기 ▶")</f>
        <v/>
      </c>
    </row>
    <row r="1567" ht="26" customHeight="1">
      <c r="A1567" s="6" t="n">
        <v>1566</v>
      </c>
      <c r="B1567" s="7" t="inlineStr">
        <is>
          <t>총정리 32탄</t>
        </is>
      </c>
      <c r="C1567" s="7" t="inlineStr">
        <is>
          <t>의견/의사결정</t>
        </is>
      </c>
      <c r="D1567" s="8" t="inlineStr">
        <is>
          <t>dissuade (~</t>
        </is>
      </c>
      <c r="E1567" s="12" t="inlineStr">
        <is>
          <t>하지 않도록) 설득하다, 만류하다</t>
        </is>
      </c>
      <c r="F1567" s="12" t="inlineStr">
        <is>
          <t>I’ll try to dissuade him.</t>
        </is>
      </c>
      <c r="G1567" s="12" t="inlineStr">
        <is>
          <t>그를 말려볼게.</t>
        </is>
      </c>
      <c r="H1567" s="9">
        <f>HYPERLINK("https://www.youtube.com/watch?v=U7lavOJxf_I", "영상 보기 ▶")</f>
        <v/>
      </c>
    </row>
    <row r="1568" ht="26" customHeight="1">
      <c r="A1568" s="2" t="n">
        <v>1567</v>
      </c>
      <c r="B1568" s="3" t="inlineStr">
        <is>
          <t>총정리 32탄</t>
        </is>
      </c>
      <c r="C1568" s="3" t="inlineStr">
        <is>
          <t>실전회화/표현</t>
        </is>
      </c>
      <c r="D1568" s="4" t="inlineStr">
        <is>
          <t>contagious</t>
        </is>
      </c>
      <c r="E1568" s="11" t="inlineStr">
        <is>
          <t>전염되는, 전염성의</t>
        </is>
      </c>
      <c r="F1568" s="11" t="inlineStr">
        <is>
          <t>I’m not contagious anymore.</t>
        </is>
      </c>
      <c r="G1568" s="11" t="inlineStr">
        <is>
          <t>이제 옮기는 단계는 지났어.</t>
        </is>
      </c>
      <c r="H1568" s="5">
        <f>HYPERLINK("https://www.youtube.com/watch?v=U7lavOJxf_I", "영상 보기 ▶")</f>
        <v/>
      </c>
    </row>
    <row r="1569" ht="26" customHeight="1">
      <c r="A1569" s="6" t="n">
        <v>1568</v>
      </c>
      <c r="B1569" s="7" t="inlineStr">
        <is>
          <t>총정리 32탄</t>
        </is>
      </c>
      <c r="C1569" s="7" t="inlineStr">
        <is>
          <t>실전회화/표현</t>
        </is>
      </c>
      <c r="D1569" s="8" t="inlineStr">
        <is>
          <t>take off</t>
        </is>
      </c>
      <c r="E1569" s="12" t="inlineStr">
        <is>
          <t>떠나다</t>
        </is>
      </c>
      <c r="F1569" s="12" t="inlineStr">
        <is>
          <t>Are you taking off?</t>
        </is>
      </c>
      <c r="G1569" s="12" t="inlineStr">
        <is>
          <t>지금 가려고?</t>
        </is>
      </c>
      <c r="H1569" s="9">
        <f>HYPERLINK("https://www.youtube.com/watch?v=U7lavOJxf_I", "영상 보기 ▶")</f>
        <v/>
      </c>
    </row>
    <row r="1570" ht="26" customHeight="1">
      <c r="A1570" s="2" t="n">
        <v>1569</v>
      </c>
      <c r="B1570" s="3" t="inlineStr">
        <is>
          <t>총정리 32탄</t>
        </is>
      </c>
      <c r="C1570" s="3" t="inlineStr">
        <is>
          <t>실전회화/표현</t>
        </is>
      </c>
      <c r="D1570" s="4" t="inlineStr">
        <is>
          <t>go a long way</t>
        </is>
      </c>
      <c r="E1570" s="11" t="inlineStr">
        <is>
          <t>크게 도움이 되다</t>
        </is>
      </c>
      <c r="F1570" s="11" t="inlineStr">
        <is>
          <t>A: Do you think I should apologize?</t>
        </is>
      </c>
      <c r="G1570" s="11" t="inlineStr">
        <is>
          <t>내가 사과하는게 좋겠다고 생각해?</t>
        </is>
      </c>
      <c r="H1570" s="5">
        <f>HYPERLINK("https://www.youtube.com/watch?v=U7lavOJxf_I", "영상 보기 ▶")</f>
        <v/>
      </c>
    </row>
    <row r="1571" ht="26" customHeight="1">
      <c r="A1571" s="6" t="n">
        <v>1570</v>
      </c>
      <c r="B1571" s="7" t="inlineStr">
        <is>
          <t>총정리 32탄</t>
        </is>
      </c>
      <c r="C1571" s="7" t="inlineStr">
        <is>
          <t>의견/의사결정</t>
        </is>
      </c>
      <c r="D1571" s="8" t="inlineStr">
        <is>
          <t>convincing</t>
        </is>
      </c>
      <c r="E1571" s="12" t="inlineStr">
        <is>
          <t>설득력 있는, 수긍이 가는</t>
        </is>
      </c>
      <c r="F1571" s="12" t="inlineStr">
        <is>
          <t>That's convincing.</t>
        </is>
      </c>
      <c r="G1571" s="12" t="inlineStr">
        <is>
          <t>그럴싸한데.</t>
        </is>
      </c>
      <c r="H1571" s="9">
        <f>HYPERLINK("https://www.youtube.com/watch?v=U7lavOJxf_I", "영상 보기 ▶")</f>
        <v/>
      </c>
    </row>
    <row r="1572" ht="26" customHeight="1">
      <c r="A1572" s="2" t="n">
        <v>1571</v>
      </c>
      <c r="B1572" s="3" t="inlineStr">
        <is>
          <t>총정리 32탄</t>
        </is>
      </c>
      <c r="C1572" s="3" t="inlineStr">
        <is>
          <t>실전회화/표현</t>
        </is>
      </c>
      <c r="D1572" s="4" t="inlineStr">
        <is>
          <t>This calls for a celebration!</t>
        </is>
      </c>
      <c r="E1572" s="11" t="inlineStr">
        <is>
          <t>축하할 일인걸!</t>
        </is>
      </c>
      <c r="F1572" s="11" t="inlineStr">
        <is>
          <t>A: I got promoted.</t>
        </is>
      </c>
      <c r="G1572" s="11" t="inlineStr">
        <is>
          <t>나 승진했어.</t>
        </is>
      </c>
      <c r="H1572" s="5">
        <f>HYPERLINK("https://www.youtube.com/watch?v=U7lavOJxf_I", "영상 보기 ▶")</f>
        <v/>
      </c>
    </row>
    <row r="1573" ht="26" customHeight="1">
      <c r="A1573" s="6" t="n">
        <v>1572</v>
      </c>
      <c r="B1573" s="7" t="inlineStr">
        <is>
          <t>총정리 32탄</t>
        </is>
      </c>
      <c r="C1573" s="7" t="inlineStr">
        <is>
          <t>공감/감정</t>
        </is>
      </c>
      <c r="D1573" s="8" t="inlineStr">
        <is>
          <t>see</t>
        </is>
      </c>
      <c r="E1573" s="12" t="inlineStr">
        <is>
          <t>알다, 이해하다</t>
        </is>
      </c>
      <c r="F1573" s="12" t="inlineStr">
        <is>
          <t>I can see why he likes you.</t>
        </is>
      </c>
      <c r="G1573" s="12" t="inlineStr">
        <is>
          <t>왜 그가 널 마음에 들어하는지 알겠어.</t>
        </is>
      </c>
      <c r="H1573" s="9">
        <f>HYPERLINK("https://www.youtube.com/watch?v=U7lavOJxf_I", "영상 보기 ▶")</f>
        <v/>
      </c>
    </row>
    <row r="1574" ht="26" customHeight="1">
      <c r="A1574" s="2" t="n">
        <v>1573</v>
      </c>
      <c r="B1574" s="3" t="inlineStr">
        <is>
          <t>총정리 32탄</t>
        </is>
      </c>
      <c r="C1574" s="3" t="inlineStr">
        <is>
          <t>실전회화/표현</t>
        </is>
      </c>
      <c r="D1574" s="4" t="inlineStr">
        <is>
          <t>see as ~</t>
        </is>
      </c>
      <c r="E1574" s="11" t="inlineStr">
        <is>
          <t>로 간주하다, 여기다</t>
        </is>
      </c>
      <c r="F1574" s="11" t="inlineStr">
        <is>
          <t>I see this as a great opportunity.</t>
        </is>
      </c>
      <c r="G1574" s="11" t="inlineStr">
        <is>
          <t>전 이게 정말 좋은 기회라 여겨요.</t>
        </is>
      </c>
      <c r="H1574" s="5">
        <f>HYPERLINK("https://www.youtube.com/watch?v=U7lavOJxf_I", "영상 보기 ▶")</f>
        <v/>
      </c>
    </row>
    <row r="1575" ht="26" customHeight="1">
      <c r="A1575" s="6" t="n">
        <v>1574</v>
      </c>
      <c r="B1575" s="7" t="inlineStr">
        <is>
          <t>총정리 32탄</t>
        </is>
      </c>
      <c r="C1575" s="7" t="inlineStr">
        <is>
          <t>실전회화/표현</t>
        </is>
      </c>
      <c r="D1575" s="8" t="inlineStr">
        <is>
          <t>​put in a good word for ~</t>
        </is>
      </c>
      <c r="E1575" s="12" t="inlineStr">
        <is>
          <t>에 대해 잘 말해주다</t>
        </is>
      </c>
      <c r="F1575" s="12" t="inlineStr">
        <is>
          <t>Could you put in a good word for me? It would go a long way coming from you.</t>
        </is>
      </c>
      <c r="G1575" s="12" t="inlineStr">
        <is>
          <t>내 얘기 좀 잘 해줄 수 있어? 네가 그래주면 정말 도움이 될 것 같아.</t>
        </is>
      </c>
      <c r="H1575" s="9">
        <f>HYPERLINK("https://www.youtube.com/watch?v=U7lavOJxf_I", "영상 보기 ▶")</f>
        <v/>
      </c>
    </row>
    <row r="1576" ht="26" customHeight="1">
      <c r="A1576" s="2" t="n">
        <v>1575</v>
      </c>
      <c r="B1576" s="3" t="inlineStr">
        <is>
          <t>총정리 32탄</t>
        </is>
      </c>
      <c r="C1576" s="3" t="inlineStr">
        <is>
          <t>실전회화/표현</t>
        </is>
      </c>
      <c r="D1576" s="4" t="inlineStr">
        <is>
          <t>I'll see myself out.</t>
        </is>
      </c>
      <c r="E1576" s="11" t="inlineStr">
        <is>
          <t>이제 그만 가볼게요.</t>
        </is>
      </c>
      <c r="F1576" s="11" t="inlineStr">
        <is>
          <t>A: Have a cookie. They're homemade.</t>
        </is>
      </c>
      <c r="G1576" s="11" t="inlineStr">
        <is>
          <t>쿠키 먹고 가. 집에서 만든 거야.</t>
        </is>
      </c>
      <c r="H1576" s="5">
        <f>HYPERLINK("https://www.youtube.com/watch?v=U7lavOJxf_I", "영상 보기 ▶")</f>
        <v/>
      </c>
    </row>
    <row r="1577" ht="26" customHeight="1">
      <c r="A1577" s="6" t="n">
        <v>1576</v>
      </c>
      <c r="B1577" s="7" t="inlineStr">
        <is>
          <t>총정리 32탄</t>
        </is>
      </c>
      <c r="C1577" s="7" t="inlineStr">
        <is>
          <t>실전회화/표현</t>
        </is>
      </c>
      <c r="D1577" s="8" t="inlineStr">
        <is>
          <t>lapse</t>
        </is>
      </c>
      <c r="E1577" s="12" t="inlineStr">
        <is>
          <t>실수, 깜빡함</t>
        </is>
      </c>
      <c r="F1577" s="12" t="inlineStr">
        <is>
          <t>I'm sorry. It was a lapse in judgement.</t>
        </is>
      </c>
      <c r="G1577" s="12" t="inlineStr">
        <is>
          <t>미안해. 순간 잘못 판단했어.</t>
        </is>
      </c>
      <c r="H1577" s="9">
        <f>HYPERLINK("https://www.youtube.com/watch?v=U7lavOJxf_I", "영상 보기 ▶")</f>
        <v/>
      </c>
    </row>
    <row r="1578" ht="26" customHeight="1">
      <c r="A1578" s="2" t="n">
        <v>1577</v>
      </c>
      <c r="B1578" s="3" t="inlineStr">
        <is>
          <t>총정리 32탄</t>
        </is>
      </c>
      <c r="C1578" s="3" t="inlineStr">
        <is>
          <t>실전회화/표현</t>
        </is>
      </c>
      <c r="D1578" s="4" t="inlineStr">
        <is>
          <t>coming from you</t>
        </is>
      </c>
      <c r="E1578" s="11" t="inlineStr">
        <is>
          <t>너한테 그런말을 듣다니</t>
        </is>
      </c>
      <c r="F1578" s="11" t="inlineStr">
        <is>
          <t>Coming from you, that means a lot.</t>
        </is>
      </c>
      <c r="G1578" s="11" t="inlineStr">
        <is>
          <t>너한테 그런 말을 들으니 정말 뜻깊다.</t>
        </is>
      </c>
      <c r="H1578" s="5">
        <f>HYPERLINK("https://www.youtube.com/watch?v=U7lavOJxf_I", "영상 보기 ▶")</f>
        <v/>
      </c>
    </row>
    <row r="1579" ht="26" customHeight="1">
      <c r="A1579" s="6" t="n">
        <v>1578</v>
      </c>
      <c r="B1579" s="7" t="inlineStr">
        <is>
          <t>총정리 32탄</t>
        </is>
      </c>
      <c r="C1579" s="7" t="inlineStr">
        <is>
          <t>실전회화/표현</t>
        </is>
      </c>
      <c r="D1579" s="8" t="inlineStr">
        <is>
          <t>I don't know how to thank you.</t>
        </is>
      </c>
      <c r="E1579" s="12" t="inlineStr">
        <is>
          <t>어떻게 감사를 표해야 할지 모르겠어요</t>
        </is>
      </c>
      <c r="F1579" s="12" t="inlineStr">
        <is>
          <t>You saved my project; I don't know how to thank you.</t>
        </is>
      </c>
      <c r="G1579" s="12" t="inlineStr">
        <is>
          <t>내 프로젝트를 살려주셨어요, 어떻게 감사해야 할지 모르겠네요.</t>
        </is>
      </c>
      <c r="H1579" s="9">
        <f>HYPERLINK("https://www.youtube.com/watch?v=U7lavOJxf_I", "영상 보기 ▶")</f>
        <v/>
      </c>
    </row>
    <row r="1580" ht="26" customHeight="1">
      <c r="A1580" s="2" t="n">
        <v>1579</v>
      </c>
      <c r="B1580" s="3" t="inlineStr">
        <is>
          <t>총정리 32탄</t>
        </is>
      </c>
      <c r="C1580" s="3" t="inlineStr">
        <is>
          <t>실전회화/표현</t>
        </is>
      </c>
      <c r="D1580" s="4" t="inlineStr">
        <is>
          <t>amicable</t>
        </is>
      </c>
      <c r="E1580" s="11" t="inlineStr">
        <is>
          <t>우호적인, 원만한</t>
        </is>
      </c>
      <c r="F1580" s="11" t="inlineStr">
        <is>
          <t>I hope we can reach an amicable agreement.</t>
        </is>
      </c>
      <c r="G1580" s="11" t="inlineStr">
        <is>
          <t>원만하게 합의할 수 있으면 좋겠어.</t>
        </is>
      </c>
      <c r="H1580" s="5">
        <f>HYPERLINK("https://www.youtube.com/watch?v=U7lavOJxf_I", "영상 보기 ▶")</f>
        <v/>
      </c>
    </row>
    <row r="1581" ht="26" customHeight="1">
      <c r="A1581" s="6" t="n">
        <v>1580</v>
      </c>
      <c r="B1581" s="7" t="inlineStr">
        <is>
          <t>총정리 32탄</t>
        </is>
      </c>
      <c r="C1581" s="7" t="inlineStr">
        <is>
          <t>실전회화/표현</t>
        </is>
      </c>
      <c r="D1581" s="8" t="inlineStr">
        <is>
          <t>amiable</t>
        </is>
      </c>
      <c r="E1581" s="12" t="inlineStr">
        <is>
          <t>붙임성 있는, 상냥한</t>
        </is>
      </c>
      <c r="F1581" s="12" t="inlineStr">
        <is>
          <t>She's very amiable.</t>
        </is>
      </c>
      <c r="G1581" s="12" t="inlineStr">
        <is>
          <t>그녀는 정말 상냥해.</t>
        </is>
      </c>
      <c r="H1581" s="9">
        <f>HYPERLINK("https://www.youtube.com/watch?v=U7lavOJxf_I", "영상 보기 ▶")</f>
        <v/>
      </c>
    </row>
    <row r="1582" ht="26" customHeight="1">
      <c r="A1582" s="2" t="n">
        <v>1581</v>
      </c>
      <c r="B1582" s="3" t="inlineStr">
        <is>
          <t>총정리 32탄</t>
        </is>
      </c>
      <c r="C1582" s="3" t="inlineStr">
        <is>
          <t>실전회화/표현</t>
        </is>
      </c>
      <c r="D1582" s="4" t="inlineStr">
        <is>
          <t>sort out</t>
        </is>
      </c>
      <c r="E1582" s="11" t="inlineStr">
        <is>
          <t>분류/정리하다</t>
        </is>
      </c>
      <c r="F1582" s="11" t="inlineStr">
        <is>
          <t>I've sorted these out based on their importance.</t>
        </is>
      </c>
      <c r="G1582" s="11" t="inlineStr">
        <is>
          <t>제가 중요도 순으로 정리해봤어요.</t>
        </is>
      </c>
      <c r="H1582" s="5">
        <f>HYPERLINK("https://www.youtube.com/watch?v=U7lavOJxf_I", "영상 보기 ▶")</f>
        <v/>
      </c>
    </row>
    <row r="1583" ht="26" customHeight="1">
      <c r="A1583" s="6" t="n">
        <v>1582</v>
      </c>
      <c r="B1583" s="7" t="inlineStr">
        <is>
          <t>총정리 32탄</t>
        </is>
      </c>
      <c r="C1583" s="7" t="inlineStr">
        <is>
          <t>실전회화/표현</t>
        </is>
      </c>
      <c r="D1583" s="8" t="inlineStr">
        <is>
          <t>sort out</t>
        </is>
      </c>
      <c r="E1583" s="12" t="inlineStr">
        <is>
          <t>구분짓다</t>
        </is>
      </c>
      <c r="F1583" s="12" t="inlineStr">
        <is>
          <t>I've sorted out the best options.</t>
        </is>
      </c>
      <c r="G1583" s="12" t="inlineStr">
        <is>
          <t>제일 좋은 옵션들을 추려냈어요.</t>
        </is>
      </c>
      <c r="H1583" s="9">
        <f>HYPERLINK("https://www.youtube.com/watch?v=U7lavOJxf_I", "영상 보기 ▶")</f>
        <v/>
      </c>
    </row>
    <row r="1584" ht="26" customHeight="1">
      <c r="A1584" s="2" t="n">
        <v>1583</v>
      </c>
      <c r="B1584" s="3" t="inlineStr">
        <is>
          <t>총정리 32탄</t>
        </is>
      </c>
      <c r="C1584" s="3" t="inlineStr">
        <is>
          <t>실전회화/표현</t>
        </is>
      </c>
      <c r="D1584" s="4" t="inlineStr">
        <is>
          <t>sort out</t>
        </is>
      </c>
      <c r="E1584" s="11" t="inlineStr">
        <is>
          <t>해결하다, 처리하다</t>
        </is>
      </c>
      <c r="F1584" s="11" t="inlineStr">
        <is>
          <t>I know it's a mess, but we'll sort it out.</t>
        </is>
      </c>
      <c r="G1584" s="11" t="inlineStr">
        <is>
          <t>상황이 엉망인거 알지만, 우리가 해결할거야.</t>
        </is>
      </c>
      <c r="H1584" s="5">
        <f>HYPERLINK("https://www.youtube.com/watch?v=U7lavOJxf_I", "영상 보기 ▶")</f>
        <v/>
      </c>
    </row>
    <row r="1585" ht="26" customHeight="1">
      <c r="A1585" s="6" t="n">
        <v>1584</v>
      </c>
      <c r="B1585" s="7" t="inlineStr">
        <is>
          <t>총정리 32탄</t>
        </is>
      </c>
      <c r="C1585" s="7" t="inlineStr">
        <is>
          <t>실전회화/표현</t>
        </is>
      </c>
      <c r="D1585" s="8" t="inlineStr">
        <is>
          <t>have a long way to go</t>
        </is>
      </c>
      <c r="E1585" s="12" t="inlineStr">
        <is>
          <t>갈 길이 멀다</t>
        </is>
      </c>
      <c r="F1585" s="12" t="inlineStr">
        <is>
          <t>We have a long way to go.</t>
        </is>
      </c>
      <c r="G1585" s="12" t="inlineStr">
        <is>
          <t>아직 더 많이 노력해야해.</t>
        </is>
      </c>
      <c r="H1585" s="9">
        <f>HYPERLINK("https://www.youtube.com/watch?v=U7lavOJxf_I", "영상 보기 ▶")</f>
        <v/>
      </c>
    </row>
    <row r="1586" ht="26" customHeight="1">
      <c r="A1586" s="2" t="n">
        <v>1585</v>
      </c>
      <c r="B1586" s="3" t="inlineStr">
        <is>
          <t>총정리 32탄</t>
        </is>
      </c>
      <c r="C1586" s="3" t="inlineStr">
        <is>
          <t>실전회화/표현</t>
        </is>
      </c>
      <c r="D1586" s="4" t="inlineStr">
        <is>
          <t>have come a long way</t>
        </is>
      </c>
      <c r="E1586" s="11" t="inlineStr">
        <is>
          <t>먼 길을 오다, 출세하다</t>
        </is>
      </c>
      <c r="F1586" s="11" t="inlineStr">
        <is>
          <t>You've come a long way.</t>
        </is>
      </c>
      <c r="G1586" s="11" t="inlineStr">
        <is>
          <t>정말 많이 노력했구나.</t>
        </is>
      </c>
      <c r="H1586" s="5">
        <f>HYPERLINK("https://www.youtube.com/watch?v=U7lavOJxf_I", "영상 보기 ▶")</f>
        <v/>
      </c>
    </row>
    <row r="1587" ht="26" customHeight="1">
      <c r="A1587" s="6" t="n">
        <v>1586</v>
      </c>
      <c r="B1587" s="7" t="inlineStr">
        <is>
          <t>총정리 32탄</t>
        </is>
      </c>
      <c r="C1587" s="7" t="inlineStr">
        <is>
          <t>실전회화/표현</t>
        </is>
      </c>
      <c r="D1587" s="8" t="inlineStr">
        <is>
          <t>naive</t>
        </is>
      </c>
      <c r="E1587" s="12" t="inlineStr">
        <is>
          <t>순진한, 세상물정 모르는</t>
        </is>
      </c>
      <c r="F1587" s="12" t="inlineStr">
        <is>
          <t>Don't be so naive.</t>
        </is>
      </c>
      <c r="G1587" s="12" t="inlineStr">
        <is>
          <t>그렇게 바보처럼 굴지마.</t>
        </is>
      </c>
      <c r="H1587" s="9">
        <f>HYPERLINK("https://www.youtube.com/watch?v=U7lavOJxf_I", "영상 보기 ▶")</f>
        <v/>
      </c>
    </row>
    <row r="1588" ht="26" customHeight="1">
      <c r="A1588" s="2" t="n">
        <v>1587</v>
      </c>
      <c r="B1588" s="3" t="inlineStr">
        <is>
          <t>총정리 32탄</t>
        </is>
      </c>
      <c r="C1588" s="3" t="inlineStr">
        <is>
          <t>실전회화/표현</t>
        </is>
      </c>
      <c r="D1588" s="4" t="inlineStr">
        <is>
          <t>land on your feet</t>
        </is>
      </c>
      <c r="E1588" s="11" t="inlineStr">
        <is>
          <t>궁지에서 벗어나다, 극복하다</t>
        </is>
      </c>
      <c r="F1588" s="11" t="inlineStr">
        <is>
          <t>I'm sure you'll land on your feet.</t>
        </is>
      </c>
      <c r="G1588" s="11" t="inlineStr">
        <is>
          <t>너라면 잘 극복할거야.</t>
        </is>
      </c>
      <c r="H1588" s="5">
        <f>HYPERLINK("https://www.youtube.com/watch?v=U7lavOJxf_I", "영상 보기 ▶")</f>
        <v/>
      </c>
    </row>
    <row r="1589" ht="26" customHeight="1">
      <c r="A1589" s="6" t="n">
        <v>1588</v>
      </c>
      <c r="B1589" s="7" t="inlineStr">
        <is>
          <t>총정리 32탄</t>
        </is>
      </c>
      <c r="C1589" s="7" t="inlineStr">
        <is>
          <t>실전회화/표현</t>
        </is>
      </c>
      <c r="D1589" s="8" t="inlineStr">
        <is>
          <t>I can't thank you enough.</t>
        </is>
      </c>
      <c r="E1589" s="12" t="inlineStr">
        <is>
          <t>정말 고맙습니다.</t>
        </is>
      </c>
      <c r="F1589" s="12" t="inlineStr">
        <is>
          <t>I can't apologize enough.</t>
        </is>
      </c>
      <c r="G1589" s="12" t="inlineStr">
        <is>
          <t>정말 죄송합니다.</t>
        </is>
      </c>
      <c r="H1589" s="9">
        <f>HYPERLINK("https://www.youtube.com/watch?v=U7lavOJxf_I", "영상 보기 ▶")</f>
        <v/>
      </c>
    </row>
    <row r="1590" ht="26" customHeight="1">
      <c r="A1590" s="2" t="n">
        <v>1589</v>
      </c>
      <c r="B1590" s="3" t="inlineStr">
        <is>
          <t>총정리 32탄</t>
        </is>
      </c>
      <c r="C1590" s="3" t="inlineStr">
        <is>
          <t>실전회화/표현</t>
        </is>
      </c>
      <c r="D1590" s="4" t="inlineStr">
        <is>
          <t>rock the boat</t>
        </is>
      </c>
      <c r="E1590" s="11" t="inlineStr">
        <is>
          <t>문제, 풍파를 일으키다</t>
        </is>
      </c>
      <c r="F1590" s="11" t="inlineStr">
        <is>
          <t>I don't wanna rock the boar.</t>
        </is>
      </c>
      <c r="G1590" s="11" t="inlineStr">
        <is>
          <t>괜히 문제를 일으키고 싶지 않아.</t>
        </is>
      </c>
      <c r="H1590" s="5">
        <f>HYPERLINK("https://www.youtube.com/watch?v=U7lavOJxf_I", "영상 보기 ▶")</f>
        <v/>
      </c>
    </row>
    <row r="1591" ht="26" customHeight="1">
      <c r="A1591" s="6" t="n">
        <v>1590</v>
      </c>
      <c r="B1591" s="7" t="inlineStr">
        <is>
          <t>총정리 32탄</t>
        </is>
      </c>
      <c r="C1591" s="7" t="inlineStr">
        <is>
          <t>실전회화/표현</t>
        </is>
      </c>
      <c r="D1591" s="8" t="inlineStr">
        <is>
          <t>finalize</t>
        </is>
      </c>
      <c r="E1591" s="12" t="inlineStr">
        <is>
          <t>마무리짓다</t>
        </is>
      </c>
      <c r="F1591" s="12" t="inlineStr">
        <is>
          <t>Don't rock the boat until everything is finalized.</t>
        </is>
      </c>
      <c r="G1591" s="12" t="inlineStr">
        <is>
          <t>모든게 마무리 될 때까지 문제를 일으키지 마.</t>
        </is>
      </c>
      <c r="H1591" s="9">
        <f>HYPERLINK("https://www.youtube.com/watch?v=U7lavOJxf_I", "영상 보기 ▶")</f>
        <v/>
      </c>
    </row>
    <row r="1592" ht="26" customHeight="1">
      <c r="A1592" s="2" t="n">
        <v>1591</v>
      </c>
      <c r="B1592" s="3" t="inlineStr">
        <is>
          <t>총정리 32탄</t>
        </is>
      </c>
      <c r="C1592" s="3" t="inlineStr">
        <is>
          <t>실전회화/표현</t>
        </is>
      </c>
      <c r="D1592" s="4" t="inlineStr">
        <is>
          <t>I'm not comfortable ~ ~</t>
        </is>
      </c>
      <c r="E1592" s="11" t="inlineStr">
        <is>
          <t>가 불편하네요</t>
        </is>
      </c>
      <c r="F1592" s="11" t="inlineStr">
        <is>
          <t>I'm not confortable with this conversation.</t>
        </is>
      </c>
      <c r="G1592" s="11" t="inlineStr">
        <is>
          <t>이 대화를 나누는게 불편하네요.</t>
        </is>
      </c>
      <c r="H1592" s="5">
        <f>HYPERLINK("https://www.youtube.com/watch?v=U7lavOJxf_I", "영상 보기 ▶")</f>
        <v/>
      </c>
    </row>
    <row r="1593" ht="26" customHeight="1">
      <c r="A1593" s="6" t="n">
        <v>1592</v>
      </c>
      <c r="B1593" s="7" t="inlineStr">
        <is>
          <t>총정리 32탄</t>
        </is>
      </c>
      <c r="C1593" s="7" t="inlineStr">
        <is>
          <t>실전회화/표현</t>
        </is>
      </c>
      <c r="D1593" s="8" t="inlineStr">
        <is>
          <t>The last thing I want/need</t>
        </is>
      </c>
      <c r="E1593" s="12" t="inlineStr">
        <is>
          <t>정말 싫은 것</t>
        </is>
      </c>
      <c r="F1593" s="12" t="inlineStr">
        <is>
          <t>That's the last thing I want.</t>
        </is>
      </c>
      <c r="G1593" s="12" t="inlineStr">
        <is>
          <t>난 그걸 정말 원치 않아.</t>
        </is>
      </c>
      <c r="H1593" s="9">
        <f>HYPERLINK("https://www.youtube.com/watch?v=U7lavOJxf_I", "영상 보기 ▶")</f>
        <v/>
      </c>
    </row>
    <row r="1594" ht="26" customHeight="1">
      <c r="A1594" s="2" t="n">
        <v>1593</v>
      </c>
      <c r="B1594" s="3" t="inlineStr">
        <is>
          <t>총정리 32탄</t>
        </is>
      </c>
      <c r="C1594" s="3" t="inlineStr">
        <is>
          <t>실전회화/표현</t>
        </is>
      </c>
      <c r="D1594" s="4" t="inlineStr">
        <is>
          <t>ingenious</t>
        </is>
      </c>
      <c r="E1594" s="11" t="inlineStr">
        <is>
          <t>기발한, 독창적인</t>
        </is>
      </c>
      <c r="F1594" s="11" t="inlineStr">
        <is>
          <t>This plan is ingenious.</t>
        </is>
      </c>
      <c r="G1594" s="11" t="inlineStr">
        <is>
          <t>진짜 기발한 계획이다.</t>
        </is>
      </c>
      <c r="H1594" s="5">
        <f>HYPERLINK("https://www.youtube.com/watch?v=U7lavOJxf_I", "영상 보기 ▶")</f>
        <v/>
      </c>
    </row>
    <row r="1595" ht="26" customHeight="1">
      <c r="A1595" s="6" t="n">
        <v>1594</v>
      </c>
      <c r="B1595" s="7" t="inlineStr">
        <is>
          <t>총정리 32탄</t>
        </is>
      </c>
      <c r="C1595" s="7" t="inlineStr">
        <is>
          <t>실전회화/표현</t>
        </is>
      </c>
      <c r="D1595" s="8" t="inlineStr">
        <is>
          <t>I'll see what I can do.</t>
        </is>
      </c>
      <c r="E1595" s="12" t="inlineStr">
        <is>
          <t>제가 도울 수 있는 게 있는지 한번 알아볼게요</t>
        </is>
      </c>
      <c r="F1595" s="12" t="inlineStr">
        <is>
          <t>Don't worry about the permit; I'll see what I can do.</t>
        </is>
      </c>
      <c r="G1595" s="12" t="inlineStr">
        <is>
          <t>허가 건은 너무 걱정 마세요, 제가 어떻게 알아봐 드릴게요.</t>
        </is>
      </c>
      <c r="H1595" s="9">
        <f>HYPERLINK("https://www.youtube.com/watch?v=U7lavOJxf_I", "영상 보기 ▶")</f>
        <v/>
      </c>
    </row>
    <row r="1596" ht="26" customHeight="1">
      <c r="A1596" s="2" t="n">
        <v>1595</v>
      </c>
      <c r="B1596" s="3" t="inlineStr">
        <is>
          <t>총정리 32탄</t>
        </is>
      </c>
      <c r="C1596" s="3" t="inlineStr">
        <is>
          <t>의견/의사결정</t>
        </is>
      </c>
      <c r="D1596" s="4" t="inlineStr">
        <is>
          <t>Let's cross that bridge when we get to it.</t>
        </is>
      </c>
      <c r="E1596" s="11" t="inlineStr">
        <is>
          <t>그 일은 그때 가서 닥치면 생각하자/해결하자</t>
        </is>
      </c>
      <c r="F1596" s="11" t="inlineStr">
        <is>
          <t>We might fail. - Let's cross that bridge when we get to it.</t>
        </is>
      </c>
      <c r="G1596" s="11" t="inlineStr">
        <is>
          <t>실패할 수도 있어. - 그 문제는 그때 닥치면 고민하자.</t>
        </is>
      </c>
      <c r="H1596" s="5">
        <f>HYPERLINK("https://www.youtube.com/watch?v=U7lavOJxf_I", "영상 보기 ▶")</f>
        <v/>
      </c>
    </row>
    <row r="1597" ht="26" customHeight="1">
      <c r="A1597" s="6" t="n">
        <v>1596</v>
      </c>
      <c r="B1597" s="7" t="inlineStr">
        <is>
          <t>총정리 32탄</t>
        </is>
      </c>
      <c r="C1597" s="7" t="inlineStr">
        <is>
          <t>실전회화/표현</t>
        </is>
      </c>
      <c r="D1597" s="8" t="inlineStr">
        <is>
          <t>make sure</t>
        </is>
      </c>
      <c r="E1597" s="12" t="inlineStr">
        <is>
          <t>확실히/꼭 ~하도록 하다</t>
        </is>
      </c>
      <c r="F1597" s="12" t="inlineStr">
        <is>
          <t>Make sure to be there on time.</t>
        </is>
      </c>
      <c r="G1597" s="12" t="inlineStr">
        <is>
          <t>꼭 제 시간에 오도록 해.</t>
        </is>
      </c>
      <c r="H1597" s="9">
        <f>HYPERLINK("https://www.youtube.com/watch?v=U7lavOJxf_I", "영상 보기 ▶")</f>
        <v/>
      </c>
    </row>
    <row r="1598" ht="26" customHeight="1">
      <c r="A1598" s="2" t="n">
        <v>1597</v>
      </c>
      <c r="B1598" s="3" t="inlineStr">
        <is>
          <t>총정리 32탄</t>
        </is>
      </c>
      <c r="C1598" s="3" t="inlineStr">
        <is>
          <t>실전회화/표현</t>
        </is>
      </c>
      <c r="D1598" s="4" t="inlineStr">
        <is>
          <t>make sure</t>
        </is>
      </c>
      <c r="E1598" s="11" t="inlineStr">
        <is>
          <t>확실히 ~한지 확인할 때</t>
        </is>
      </c>
      <c r="F1598" s="11" t="inlineStr">
        <is>
          <t>I just wanted to make sure we were on the right track.</t>
        </is>
      </c>
      <c r="G1598" s="11" t="inlineStr">
        <is>
          <t>문제 없이 잘 진행되고 있는지 확인차 연락해봤어.</t>
        </is>
      </c>
      <c r="H1598" s="5">
        <f>HYPERLINK("https://www.youtube.com/watch?v=U7lavOJxf_I", "영상 보기 ▶")</f>
        <v/>
      </c>
    </row>
    <row r="1599" ht="26" customHeight="1">
      <c r="A1599" s="6" t="n">
        <v>1598</v>
      </c>
      <c r="B1599" s="7" t="inlineStr">
        <is>
          <t>총정리 32탄</t>
        </is>
      </c>
      <c r="C1599" s="7" t="inlineStr">
        <is>
          <t>공감/감정</t>
        </is>
      </c>
      <c r="D1599" s="8" t="inlineStr">
        <is>
          <t>streamline</t>
        </is>
      </c>
      <c r="E1599" s="12" t="inlineStr">
        <is>
          <t>간소화/능률화하다</t>
        </is>
      </c>
      <c r="F1599" s="12" t="inlineStr">
        <is>
          <t>It'll streamline the process, and we'll let the data speak for itself.</t>
        </is>
      </c>
      <c r="G1599" s="12" t="inlineStr">
        <is>
          <t>절차를 간소화 시킬거고, 그 효과는 데이터가 말해줄거야.</t>
        </is>
      </c>
      <c r="H1599" s="9">
        <f>HYPERLINK("https://www.youtube.com/watch?v=U7lavOJxf_I", "영상 보기 ▶")</f>
        <v/>
      </c>
    </row>
    <row r="1600" ht="26" customHeight="1">
      <c r="A1600" s="2" t="n">
        <v>1599</v>
      </c>
      <c r="B1600" s="3" t="inlineStr">
        <is>
          <t>총정리 32탄</t>
        </is>
      </c>
      <c r="C1600" s="3" t="inlineStr">
        <is>
          <t>실전회화/표현</t>
        </is>
      </c>
      <c r="D1600" s="4" t="inlineStr">
        <is>
          <t>well-rested</t>
        </is>
      </c>
      <c r="E1600" s="11" t="inlineStr">
        <is>
          <t>충분히 휴식을 취한</t>
        </is>
      </c>
      <c r="F1600" s="11" t="inlineStr">
        <is>
          <t>You look well-rested.</t>
        </is>
      </c>
      <c r="G1600" s="11" t="inlineStr">
        <is>
          <t>푹 쉰 것 같아 보이네.</t>
        </is>
      </c>
      <c r="H1600" s="5">
        <f>HYPERLINK("https://www.youtube.com/watch?v=U7lavOJxf_I", "영상 보기 ▶")</f>
        <v/>
      </c>
    </row>
    <row r="1601" ht="26" customHeight="1">
      <c r="A1601" s="6" t="n">
        <v>1600</v>
      </c>
      <c r="B1601" s="7" t="inlineStr">
        <is>
          <t>총정리 32탄</t>
        </is>
      </c>
      <c r="C1601" s="7" t="inlineStr">
        <is>
          <t>실전회화/표현</t>
        </is>
      </c>
      <c r="D1601" s="8" t="inlineStr">
        <is>
          <t>only so many/much</t>
        </is>
      </c>
      <c r="E1601" s="12" t="inlineStr">
        <is>
          <t>한계가 있는</t>
        </is>
      </c>
      <c r="F1601" s="12" t="inlineStr">
        <is>
          <t>There's so much I can do.</t>
        </is>
      </c>
      <c r="G1601" s="12" t="inlineStr">
        <is>
          <t>내가 할 수 있는게 정말 많아.</t>
        </is>
      </c>
      <c r="H1601" s="9">
        <f>HYPERLINK("https://www.youtube.com/watch?v=U7lavOJxf_I", "영상 보기 ▶")</f>
        <v/>
      </c>
    </row>
    <row r="1602" ht="26" customHeight="1">
      <c r="A1602" s="2" t="n">
        <v>1601</v>
      </c>
      <c r="B1602" s="3" t="inlineStr">
        <is>
          <t>총정리 33탄</t>
        </is>
      </c>
      <c r="C1602" s="3" t="inlineStr">
        <is>
          <t>실전회화/표현</t>
        </is>
      </c>
      <c r="D1602" s="4" t="inlineStr">
        <is>
          <t>project</t>
        </is>
      </c>
      <c r="E1602" s="11" t="inlineStr">
        <is>
          <t>계획하다, 예상/추정하다</t>
        </is>
      </c>
      <c r="F1602" s="11" t="inlineStr">
        <is>
          <t>It's hard to project that far in the future.</t>
        </is>
      </c>
      <c r="G1602" s="11" t="inlineStr">
        <is>
          <t>그렇게 먼 미래를 예측하는건 힘들어요.</t>
        </is>
      </c>
      <c r="H1602" s="5">
        <f>HYPERLINK("https://www.youtube.com/watch?v=QvQUucVgmWc", "영상 보기 ▶")</f>
        <v/>
      </c>
    </row>
    <row r="1603" ht="26" customHeight="1">
      <c r="A1603" s="6" t="n">
        <v>1602</v>
      </c>
      <c r="B1603" s="7" t="inlineStr">
        <is>
          <t>총정리 33탄</t>
        </is>
      </c>
      <c r="C1603" s="7" t="inlineStr">
        <is>
          <t>실전회화/표현</t>
        </is>
      </c>
      <c r="D1603" s="8" t="inlineStr">
        <is>
          <t>be loved by ~</t>
        </is>
      </c>
      <c r="E1603" s="12" t="inlineStr">
        <is>
          <t>에게 총애받다, 인기가 많다</t>
        </is>
      </c>
      <c r="F1603" s="12" t="inlineStr">
        <is>
          <t>Bulgogi is a Korean classic. It's beloved by all.</t>
        </is>
      </c>
      <c r="G1603" s="12" t="inlineStr">
        <is>
          <t>불고기는 한국 국민 음식이야. 다들 좋아해.</t>
        </is>
      </c>
      <c r="H1603" s="9">
        <f>HYPERLINK("https://www.youtube.com/watch?v=QvQUucVgmWc", "영상 보기 ▶")</f>
        <v/>
      </c>
    </row>
    <row r="1604" ht="26" customHeight="1">
      <c r="A1604" s="2" t="n">
        <v>1603</v>
      </c>
      <c r="B1604" s="3" t="inlineStr">
        <is>
          <t>총정리 33탄</t>
        </is>
      </c>
      <c r="C1604" s="3" t="inlineStr">
        <is>
          <t>실전회화/표현</t>
        </is>
      </c>
      <c r="D1604" s="4" t="inlineStr">
        <is>
          <t>indeed</t>
        </is>
      </c>
      <c r="E1604" s="11" t="inlineStr">
        <is>
          <t>참으로, 실제로, 정말로</t>
        </is>
      </c>
      <c r="F1604" s="11" t="inlineStr">
        <is>
          <t>It is indeed a great pleasure to be here today.</t>
        </is>
      </c>
      <c r="G1604" s="11" t="inlineStr">
        <is>
          <t>오늘 함께하게 되어 정말 기쁩니다.</t>
        </is>
      </c>
      <c r="H1604" s="5">
        <f>HYPERLINK("https://www.youtube.com/watch?v=QvQUucVgmWc", "영상 보기 ▶")</f>
        <v/>
      </c>
    </row>
    <row r="1605" ht="26" customHeight="1">
      <c r="A1605" s="6" t="n">
        <v>1604</v>
      </c>
      <c r="B1605" s="7" t="inlineStr">
        <is>
          <t>총정리 33탄</t>
        </is>
      </c>
      <c r="C1605" s="7" t="inlineStr">
        <is>
          <t>실전회화/표현</t>
        </is>
      </c>
      <c r="D1605" s="8" t="inlineStr">
        <is>
          <t>indeed</t>
        </is>
      </c>
      <c r="E1605" s="12" t="inlineStr">
        <is>
          <t>정말/진짜 그래, 맞아</t>
        </is>
      </c>
      <c r="F1605" s="12" t="inlineStr">
        <is>
          <t>A: It's a beautiful day today.</t>
        </is>
      </c>
      <c r="G1605" s="12" t="inlineStr">
        <is>
          <t>오늘 날씨 정말 좋다.</t>
        </is>
      </c>
      <c r="H1605" s="9">
        <f>HYPERLINK("https://www.youtube.com/watch?v=QvQUucVgmWc", "영상 보기 ▶")</f>
        <v/>
      </c>
    </row>
    <row r="1606" ht="26" customHeight="1">
      <c r="A1606" s="2" t="n">
        <v>1605</v>
      </c>
      <c r="B1606" s="3" t="inlineStr">
        <is>
          <t>총정리 33탄</t>
        </is>
      </c>
      <c r="C1606" s="3" t="inlineStr">
        <is>
          <t>실전회화/표현</t>
        </is>
      </c>
      <c r="D1606" s="4" t="inlineStr">
        <is>
          <t>finalize</t>
        </is>
      </c>
      <c r="E1606" s="11" t="inlineStr">
        <is>
          <t>마무리짓다, 최종 확정짓다</t>
        </is>
      </c>
      <c r="F1606" s="11" t="inlineStr">
        <is>
          <t>We need to finalize it ASAP.</t>
        </is>
      </c>
      <c r="G1606" s="11" t="inlineStr">
        <is>
          <t>최대한 빨리 마무리 지어야 해.</t>
        </is>
      </c>
      <c r="H1606" s="5">
        <f>HYPERLINK("https://www.youtube.com/watch?v=QvQUucVgmWc", "영상 보기 ▶")</f>
        <v/>
      </c>
    </row>
    <row r="1607" ht="26" customHeight="1">
      <c r="A1607" s="6" t="n">
        <v>1606</v>
      </c>
      <c r="B1607" s="7" t="inlineStr">
        <is>
          <t>총정리 33탄</t>
        </is>
      </c>
      <c r="C1607" s="7" t="inlineStr">
        <is>
          <t>실전회화/표현</t>
        </is>
      </c>
      <c r="D1607" s="8" t="inlineStr">
        <is>
          <t>variable</t>
        </is>
      </c>
      <c r="E1607" s="12" t="inlineStr">
        <is>
          <t>변수</t>
        </is>
      </c>
      <c r="F1607" s="12" t="inlineStr">
        <is>
          <t>A: What do you think might happen?</t>
        </is>
      </c>
      <c r="G1607" s="12" t="inlineStr">
        <is>
          <t>어떻게 될 것 같아요?</t>
        </is>
      </c>
      <c r="H1607" s="9">
        <f>HYPERLINK("https://www.youtube.com/watch?v=QvQUucVgmWc", "영상 보기 ▶")</f>
        <v/>
      </c>
    </row>
    <row r="1608" ht="26" customHeight="1">
      <c r="A1608" s="2" t="n">
        <v>1607</v>
      </c>
      <c r="B1608" s="3" t="inlineStr">
        <is>
          <t>총정리 33탄</t>
        </is>
      </c>
      <c r="C1608" s="3" t="inlineStr">
        <is>
          <t>실전회화/표현</t>
        </is>
      </c>
      <c r="D1608" s="4" t="inlineStr">
        <is>
          <t>be torn</t>
        </is>
      </c>
      <c r="E1608" s="11" t="inlineStr">
        <is>
          <t>갈피를 못 잡다, 갈등/망설이다</t>
        </is>
      </c>
      <c r="F1608" s="11" t="inlineStr">
        <is>
          <t>A: Are you going to answer it?</t>
        </is>
      </c>
      <c r="G1608" s="11" t="inlineStr">
        <is>
          <t>전화 받을거야?</t>
        </is>
      </c>
      <c r="H1608" s="5">
        <f>HYPERLINK("https://www.youtube.com/watch?v=QvQUucVgmWc", "영상 보기 ▶")</f>
        <v/>
      </c>
    </row>
    <row r="1609" ht="26" customHeight="1">
      <c r="A1609" s="6" t="n">
        <v>1608</v>
      </c>
      <c r="B1609" s="7" t="inlineStr">
        <is>
          <t>총정리 33탄</t>
        </is>
      </c>
      <c r="C1609" s="7" t="inlineStr">
        <is>
          <t>실전회화/표현</t>
        </is>
      </c>
      <c r="D1609" s="8" t="inlineStr">
        <is>
          <t>conservative</t>
        </is>
      </c>
      <c r="E1609" s="12" t="inlineStr">
        <is>
          <t>보수적인, 적게 잡은</t>
        </is>
      </c>
      <c r="F1609" s="12" t="inlineStr">
        <is>
          <t>It would cost $6000, and that's a conservative estimate.</t>
        </is>
      </c>
      <c r="G1609" s="12" t="inlineStr">
        <is>
          <t>적게 잡아도 6천불은 들어.</t>
        </is>
      </c>
      <c r="H1609" s="9">
        <f>HYPERLINK("https://www.youtube.com/watch?v=QvQUucVgmWc", "영상 보기 ▶")</f>
        <v/>
      </c>
    </row>
    <row r="1610" ht="26" customHeight="1">
      <c r="A1610" s="2" t="n">
        <v>1609</v>
      </c>
      <c r="B1610" s="3" t="inlineStr">
        <is>
          <t>총정리 33탄</t>
        </is>
      </c>
      <c r="C1610" s="3" t="inlineStr">
        <is>
          <t>실전회화/표현</t>
        </is>
      </c>
      <c r="D1610" s="4" t="inlineStr">
        <is>
          <t>What's it like ~? ~</t>
        </is>
      </c>
      <c r="E1610" s="11" t="inlineStr">
        <is>
          <t>는 어때?</t>
        </is>
      </c>
      <c r="F1610" s="11" t="inlineStr">
        <is>
          <t>A: What's it like having a child?</t>
        </is>
      </c>
      <c r="G1610" s="11" t="inlineStr">
        <is>
          <t>아이가 있는 삶은 어때?</t>
        </is>
      </c>
      <c r="H1610" s="5">
        <f>HYPERLINK("https://www.youtube.com/watch?v=QvQUucVgmWc", "영상 보기 ▶")</f>
        <v/>
      </c>
    </row>
    <row r="1611" ht="26" customHeight="1">
      <c r="A1611" s="6" t="n">
        <v>1610</v>
      </c>
      <c r="B1611" s="7" t="inlineStr">
        <is>
          <t>총정리 33탄</t>
        </is>
      </c>
      <c r="C1611" s="7" t="inlineStr">
        <is>
          <t>실전회화/표현</t>
        </is>
      </c>
      <c r="D1611" s="8" t="inlineStr">
        <is>
          <t>likewise</t>
        </is>
      </c>
      <c r="E1611" s="12" t="inlineStr">
        <is>
          <t>마찬가지, 동감이야</t>
        </is>
      </c>
      <c r="F1611" s="12" t="inlineStr">
        <is>
          <t>A: Nice to meet you.</t>
        </is>
      </c>
      <c r="G1611" s="12" t="inlineStr">
        <is>
          <t>만나서 반가워요.</t>
        </is>
      </c>
      <c r="H1611" s="9">
        <f>HYPERLINK("https://www.youtube.com/watch?v=QvQUucVgmWc", "영상 보기 ▶")</f>
        <v/>
      </c>
    </row>
    <row r="1612" ht="26" customHeight="1">
      <c r="A1612" s="2" t="n">
        <v>1611</v>
      </c>
      <c r="B1612" s="3" t="inlineStr">
        <is>
          <t>총정리 33탄</t>
        </is>
      </c>
      <c r="C1612" s="3" t="inlineStr">
        <is>
          <t>실전회화/표현</t>
        </is>
      </c>
      <c r="D1612" s="4" t="inlineStr">
        <is>
          <t>at all costs</t>
        </is>
      </c>
      <c r="E1612" s="11" t="inlineStr">
        <is>
          <t>반드시, 기어코</t>
        </is>
      </c>
      <c r="F1612" s="11" t="inlineStr">
        <is>
          <t>We have to stop this at all costs.</t>
        </is>
      </c>
      <c r="G1612" s="11" t="inlineStr">
        <is>
          <t>무슨 수를 써서라도 이 상황을 멈춰야해.</t>
        </is>
      </c>
      <c r="H1612" s="5">
        <f>HYPERLINK("https://www.youtube.com/watch?v=QvQUucVgmWc", "영상 보기 ▶")</f>
        <v/>
      </c>
    </row>
    <row r="1613" ht="26" customHeight="1">
      <c r="A1613" s="6" t="n">
        <v>1612</v>
      </c>
      <c r="B1613" s="7" t="inlineStr">
        <is>
          <t>총정리 33탄</t>
        </is>
      </c>
      <c r="C1613" s="7" t="inlineStr">
        <is>
          <t>실전회화/표현</t>
        </is>
      </c>
      <c r="D1613" s="8" t="inlineStr">
        <is>
          <t>​long overdue</t>
        </is>
      </c>
      <c r="E1613" s="12" t="inlineStr">
        <is>
          <t>한참 전에 했어야 할, 이미 했어야 할</t>
        </is>
      </c>
      <c r="F1613" s="12" t="inlineStr">
        <is>
          <t>It’s a long overdue vacation. We should splurge and get a suite.</t>
        </is>
      </c>
      <c r="G1613" s="12" t="inlineStr">
        <is>
          <t>정말 오랜만에 가는 휴가니까 사치를 부려서 스위트룸으로 하자.</t>
        </is>
      </c>
      <c r="H1613" s="9">
        <f>HYPERLINK("https://www.youtube.com/watch?v=QvQUucVgmWc", "영상 보기 ▶")</f>
        <v/>
      </c>
    </row>
    <row r="1614" ht="26" customHeight="1">
      <c r="A1614" s="2" t="n">
        <v>1613</v>
      </c>
      <c r="B1614" s="3" t="inlineStr">
        <is>
          <t>총정리 33탄</t>
        </is>
      </c>
      <c r="C1614" s="3" t="inlineStr">
        <is>
          <t>실전회화/표현</t>
        </is>
      </c>
      <c r="D1614" s="4" t="inlineStr">
        <is>
          <t>No wonder</t>
        </is>
      </c>
      <c r="E1614" s="11" t="inlineStr">
        <is>
          <t>어쩐지 ~하더라</t>
        </is>
      </c>
      <c r="F1614" s="11" t="inlineStr">
        <is>
          <t>No wonder you’re upset.</t>
        </is>
      </c>
      <c r="G1614" s="11" t="inlineStr">
        <is>
          <t>네가 속상해 할만 해.</t>
        </is>
      </c>
      <c r="H1614" s="5">
        <f>HYPERLINK("https://www.youtube.com/watch?v=QvQUucVgmWc", "영상 보기 ▶")</f>
        <v/>
      </c>
    </row>
    <row r="1615" ht="26" customHeight="1">
      <c r="A1615" s="6" t="n">
        <v>1614</v>
      </c>
      <c r="B1615" s="7" t="inlineStr">
        <is>
          <t>총정리 33탄</t>
        </is>
      </c>
      <c r="C1615" s="7" t="inlineStr">
        <is>
          <t>실전회화/표현</t>
        </is>
      </c>
      <c r="D1615" s="8" t="inlineStr">
        <is>
          <t>cut short</t>
        </is>
      </c>
      <c r="E1615" s="12" t="inlineStr">
        <is>
          <t>일찍 끝내다, 짧게 줄이다</t>
        </is>
      </c>
      <c r="F1615" s="12" t="inlineStr">
        <is>
          <t>I’m sorry, but I have to cut this short.</t>
        </is>
      </c>
      <c r="G1615" s="12" t="inlineStr">
        <is>
          <t>미안하지만 이쯤에서 일찍 끝내야할 것 같아.</t>
        </is>
      </c>
      <c r="H1615" s="9">
        <f>HYPERLINK("https://www.youtube.com/watch?v=QvQUucVgmWc", "영상 보기 ▶")</f>
        <v/>
      </c>
    </row>
    <row r="1616" ht="26" customHeight="1">
      <c r="A1616" s="2" t="n">
        <v>1615</v>
      </c>
      <c r="B1616" s="3" t="inlineStr">
        <is>
          <t>총정리 33탄</t>
        </is>
      </c>
      <c r="C1616" s="3" t="inlineStr">
        <is>
          <t>실전회화/표현</t>
        </is>
      </c>
      <c r="D1616" s="4" t="inlineStr">
        <is>
          <t>~ is coming up ~</t>
        </is>
      </c>
      <c r="E1616" s="11" t="inlineStr">
        <is>
          <t>가 다가오고 있다</t>
        </is>
      </c>
      <c r="F1616" s="11" t="inlineStr">
        <is>
          <t>A: Your vacation is coming up.</t>
        </is>
      </c>
      <c r="G1616" s="11" t="inlineStr">
        <is>
          <t>곧 있으면 휴가네.</t>
        </is>
      </c>
      <c r="H1616" s="5">
        <f>HYPERLINK("https://www.youtube.com/watch?v=QvQUucVgmWc", "영상 보기 ▶")</f>
        <v/>
      </c>
    </row>
    <row r="1617" ht="26" customHeight="1">
      <c r="A1617" s="6" t="n">
        <v>1616</v>
      </c>
      <c r="B1617" s="7" t="inlineStr">
        <is>
          <t>총정리 33탄</t>
        </is>
      </c>
      <c r="C1617" s="7" t="inlineStr">
        <is>
          <t>실전회화/표현</t>
        </is>
      </c>
      <c r="D1617" s="8" t="inlineStr">
        <is>
          <t>just/right around the corner ~</t>
        </is>
      </c>
      <c r="E1617" s="12" t="inlineStr">
        <is>
          <t>가 코앞이다</t>
        </is>
      </c>
      <c r="F1617" s="12" t="inlineStr">
        <is>
          <t>The weekend is just around the corner. Do you have any special plans?</t>
        </is>
      </c>
      <c r="G1617" s="12" t="inlineStr">
        <is>
          <t>주말이 코앞인데, 특별한 계획있어?</t>
        </is>
      </c>
      <c r="H1617" s="9">
        <f>HYPERLINK("https://www.youtube.com/watch?v=QvQUucVgmWc", "영상 보기 ▶")</f>
        <v/>
      </c>
    </row>
    <row r="1618" ht="26" customHeight="1">
      <c r="A1618" s="2" t="n">
        <v>1617</v>
      </c>
      <c r="B1618" s="3" t="inlineStr">
        <is>
          <t>총정리 33탄</t>
        </is>
      </c>
      <c r="C1618" s="3" t="inlineStr">
        <is>
          <t>실전회화/표현</t>
        </is>
      </c>
      <c r="D1618" s="4" t="inlineStr">
        <is>
          <t>have a hankering for ~</t>
        </is>
      </c>
      <c r="E1618" s="11" t="inlineStr">
        <is>
          <t>를 갈망하다</t>
        </is>
      </c>
      <c r="F1618" s="11" t="inlineStr">
        <is>
          <t>I have a hankering for Thai food.</t>
        </is>
      </c>
      <c r="G1618" s="11" t="inlineStr">
        <is>
          <t>태국 음식이 당긴다.</t>
        </is>
      </c>
      <c r="H1618" s="5">
        <f>HYPERLINK("https://www.youtube.com/watch?v=QvQUucVgmWc", "영상 보기 ▶")</f>
        <v/>
      </c>
    </row>
    <row r="1619" ht="26" customHeight="1">
      <c r="A1619" s="6" t="n">
        <v>1618</v>
      </c>
      <c r="B1619" s="7" t="inlineStr">
        <is>
          <t>총정리 33탄</t>
        </is>
      </c>
      <c r="C1619" s="7" t="inlineStr">
        <is>
          <t>실전회화/표현</t>
        </is>
      </c>
      <c r="D1619" s="8" t="inlineStr">
        <is>
          <t>That makes two of us.</t>
        </is>
      </c>
      <c r="E1619" s="12" t="inlineStr">
        <is>
          <t>나도 그래.</t>
        </is>
      </c>
      <c r="F1619" s="12" t="inlineStr">
        <is>
          <t>A: Horror movies are not for me.</t>
        </is>
      </c>
      <c r="G1619" s="12" t="inlineStr">
        <is>
          <t>호러 영화는 내 취향이 아니야.</t>
        </is>
      </c>
      <c r="H1619" s="9">
        <f>HYPERLINK("https://www.youtube.com/watch?v=QvQUucVgmWc", "영상 보기 ▶")</f>
        <v/>
      </c>
    </row>
    <row r="1620" ht="26" customHeight="1">
      <c r="A1620" s="2" t="n">
        <v>1619</v>
      </c>
      <c r="B1620" s="3" t="inlineStr">
        <is>
          <t>총정리 33탄</t>
        </is>
      </c>
      <c r="C1620" s="3" t="inlineStr">
        <is>
          <t>실전회화/표현</t>
        </is>
      </c>
      <c r="D1620" s="4" t="inlineStr">
        <is>
          <t>We’ll see.</t>
        </is>
      </c>
      <c r="E1620" s="11" t="inlineStr">
        <is>
          <t>두고 보자, 두고보면 알겠지</t>
        </is>
      </c>
      <c r="F1620" s="11" t="inlineStr">
        <is>
          <t>We’ll see how it goes.</t>
        </is>
      </c>
      <c r="G1620" s="11" t="inlineStr">
        <is>
          <t>어떻게 되는지 두고 보자.</t>
        </is>
      </c>
      <c r="H1620" s="5">
        <f>HYPERLINK("https://www.youtube.com/watch?v=QvQUucVgmWc", "영상 보기 ▶")</f>
        <v/>
      </c>
    </row>
    <row r="1621" ht="26" customHeight="1">
      <c r="A1621" s="6" t="n">
        <v>1620</v>
      </c>
      <c r="B1621" s="7" t="inlineStr">
        <is>
          <t>총정리 33탄</t>
        </is>
      </c>
      <c r="C1621" s="7" t="inlineStr">
        <is>
          <t>실전회화/표현</t>
        </is>
      </c>
      <c r="D1621" s="8" t="inlineStr">
        <is>
          <t>straighten out</t>
        </is>
      </c>
      <c r="E1621" s="12" t="inlineStr">
        <is>
          <t>해결하다, 바로잡다</t>
        </is>
      </c>
      <c r="F1621" s="12" t="inlineStr">
        <is>
          <t>Don’t worry. I’ll talk to her and straighten this out.</t>
        </is>
      </c>
      <c r="G1621" s="12" t="inlineStr">
        <is>
          <t>걱정마. 내가 그녀와 얘기해서 해결해볼게.</t>
        </is>
      </c>
      <c r="H1621" s="9">
        <f>HYPERLINK("https://www.youtube.com/watch?v=QvQUucVgmWc", "영상 보기 ▶")</f>
        <v/>
      </c>
    </row>
    <row r="1622" ht="26" customHeight="1">
      <c r="A1622" s="2" t="n">
        <v>1621</v>
      </c>
      <c r="B1622" s="3" t="inlineStr">
        <is>
          <t>총정리 33탄</t>
        </is>
      </c>
      <c r="C1622" s="3" t="inlineStr">
        <is>
          <t>실전회화/표현</t>
        </is>
      </c>
      <c r="D1622" s="4" t="inlineStr">
        <is>
          <t>prioritize ~</t>
        </is>
      </c>
      <c r="E1622" s="11" t="inlineStr">
        <is>
          <t>를 우선시하다, 우선으로 처리하다</t>
        </is>
      </c>
      <c r="F1622" s="11" t="inlineStr">
        <is>
          <t>I’ll make sure to prioritize this.</t>
        </is>
      </c>
      <c r="G1622" s="11" t="inlineStr">
        <is>
          <t>꼭 이것부터 처리하도록 할게요.</t>
        </is>
      </c>
      <c r="H1622" s="5">
        <f>HYPERLINK("https://www.youtube.com/watch?v=QvQUucVgmWc", "영상 보기 ▶")</f>
        <v/>
      </c>
    </row>
    <row r="1623" ht="26" customHeight="1">
      <c r="A1623" s="6" t="n">
        <v>1622</v>
      </c>
      <c r="B1623" s="7" t="inlineStr">
        <is>
          <t>총정리 33탄</t>
        </is>
      </c>
      <c r="C1623" s="7" t="inlineStr">
        <is>
          <t>실전회화/표현</t>
        </is>
      </c>
      <c r="D1623" s="8" t="inlineStr">
        <is>
          <t>versus ~</t>
        </is>
      </c>
      <c r="E1623" s="12" t="inlineStr">
        <is>
          <t>와 비교하여</t>
        </is>
      </c>
      <c r="F1623" s="12" t="inlineStr">
        <is>
          <t>We have a choice of classic versus modern.</t>
        </is>
      </c>
      <c r="G1623" s="12" t="inlineStr">
        <is>
          <t>클래식대 모던, 둘 중에 선택할 수 있어요.</t>
        </is>
      </c>
      <c r="H1623" s="9">
        <f>HYPERLINK("https://www.youtube.com/watch?v=QvQUucVgmWc", "영상 보기 ▶")</f>
        <v/>
      </c>
    </row>
    <row r="1624" ht="26" customHeight="1">
      <c r="A1624" s="2" t="n">
        <v>1623</v>
      </c>
      <c r="B1624" s="3" t="inlineStr">
        <is>
          <t>총정리 33탄</t>
        </is>
      </c>
      <c r="C1624" s="3" t="inlineStr">
        <is>
          <t>실전회화/표현</t>
        </is>
      </c>
      <c r="D1624" s="4" t="inlineStr">
        <is>
          <t>I could be wrong.</t>
        </is>
      </c>
      <c r="E1624" s="11" t="inlineStr">
        <is>
          <t>내가 틀릴 수도 있어.</t>
        </is>
      </c>
      <c r="F1624" s="11" t="inlineStr">
        <is>
          <t>I think it would work, but I could be wrong.</t>
        </is>
      </c>
      <c r="G1624" s="11" t="inlineStr">
        <is>
          <t>그게 될 것 같은데 내가 틀릴 수도 있어.</t>
        </is>
      </c>
      <c r="H1624" s="5">
        <f>HYPERLINK("https://www.youtube.com/watch?v=QvQUucVgmWc", "영상 보기 ▶")</f>
        <v/>
      </c>
    </row>
    <row r="1625" ht="26" customHeight="1">
      <c r="A1625" s="6" t="n">
        <v>1624</v>
      </c>
      <c r="B1625" s="7" t="inlineStr">
        <is>
          <t>총정리 33탄</t>
        </is>
      </c>
      <c r="C1625" s="7" t="inlineStr">
        <is>
          <t>실전회화/표현</t>
        </is>
      </c>
      <c r="D1625" s="8" t="inlineStr">
        <is>
          <t>straightforward</t>
        </is>
      </c>
      <c r="E1625" s="12" t="inlineStr">
        <is>
          <t>직설적인</t>
        </is>
      </c>
      <c r="F1625" s="12" t="inlineStr">
        <is>
          <t>You can just be straightforward with me.</t>
        </is>
      </c>
      <c r="G1625" s="12" t="inlineStr">
        <is>
          <t>그냥 솔직히 말해줘도 돼.</t>
        </is>
      </c>
      <c r="H1625" s="9">
        <f>HYPERLINK("https://www.youtube.com/watch?v=QvQUucVgmWc", "영상 보기 ▶")</f>
        <v/>
      </c>
    </row>
    <row r="1626" ht="26" customHeight="1">
      <c r="A1626" s="2" t="n">
        <v>1625</v>
      </c>
      <c r="B1626" s="3" t="inlineStr">
        <is>
          <t>총정리 33탄</t>
        </is>
      </c>
      <c r="C1626" s="3" t="inlineStr">
        <is>
          <t>실전회화/표현</t>
        </is>
      </c>
      <c r="D1626" s="4" t="inlineStr">
        <is>
          <t>Give it to me straight.</t>
        </is>
      </c>
      <c r="E1626" s="11" t="inlineStr">
        <is>
          <t>솔직히 말해줘.</t>
        </is>
      </c>
      <c r="F1626" s="11" t="inlineStr">
        <is>
          <t>Don’t sugarcoat it. Give it to me straight.</t>
        </is>
      </c>
      <c r="G1626" s="11" t="inlineStr">
        <is>
          <t>좋게 포장해서 말하려 하지 말고 솔직히 말해줘.</t>
        </is>
      </c>
      <c r="H1626" s="5">
        <f>HYPERLINK("https://www.youtube.com/watch?v=QvQUucVgmWc", "영상 보기 ▶")</f>
        <v/>
      </c>
    </row>
    <row r="1627" ht="26" customHeight="1">
      <c r="A1627" s="6" t="n">
        <v>1626</v>
      </c>
      <c r="B1627" s="7" t="inlineStr">
        <is>
          <t>총정리 33탄</t>
        </is>
      </c>
      <c r="C1627" s="7" t="inlineStr">
        <is>
          <t>실전회화/표현</t>
        </is>
      </c>
      <c r="D1627" s="8" t="inlineStr">
        <is>
          <t>straightforward</t>
        </is>
      </c>
      <c r="E1627" s="12" t="inlineStr">
        <is>
          <t>간단한, 쉬운, 복잡하지 않은</t>
        </is>
      </c>
      <c r="F1627" s="12" t="inlineStr">
        <is>
          <t>It’s pretty straightforward.</t>
        </is>
      </c>
      <c r="G1627" s="12" t="inlineStr">
        <is>
          <t>이해하기 꽤 쉬워.</t>
        </is>
      </c>
      <c r="H1627" s="9">
        <f>HYPERLINK("https://www.youtube.com/watch?v=QvQUucVgmWc", "영상 보기 ▶")</f>
        <v/>
      </c>
    </row>
    <row r="1628" ht="26" customHeight="1">
      <c r="A1628" s="2" t="n">
        <v>1627</v>
      </c>
      <c r="B1628" s="3" t="inlineStr">
        <is>
          <t>총정리 33탄</t>
        </is>
      </c>
      <c r="C1628" s="3" t="inlineStr">
        <is>
          <t>실전회화/표현</t>
        </is>
      </c>
      <c r="D1628" s="4" t="inlineStr">
        <is>
          <t>fortune</t>
        </is>
      </c>
      <c r="E1628" s="11" t="inlineStr">
        <is>
          <t>큰 재산, 부</t>
        </is>
      </c>
      <c r="F1628" s="11" t="inlineStr">
        <is>
          <t>It cost a fortune.</t>
        </is>
      </c>
      <c r="G1628" s="11" t="inlineStr">
        <is>
          <t>그거 엄청 비쌌어.</t>
        </is>
      </c>
      <c r="H1628" s="5">
        <f>HYPERLINK("https://www.youtube.com/watch?v=QvQUucVgmWc", "영상 보기 ▶")</f>
        <v/>
      </c>
    </row>
    <row r="1629" ht="26" customHeight="1">
      <c r="A1629" s="6" t="n">
        <v>1628</v>
      </c>
      <c r="B1629" s="7" t="inlineStr">
        <is>
          <t>총정리 33탄</t>
        </is>
      </c>
      <c r="C1629" s="7" t="inlineStr">
        <is>
          <t>실전회화/표현</t>
        </is>
      </c>
      <c r="D1629" s="8" t="inlineStr">
        <is>
          <t>strict</t>
        </is>
      </c>
      <c r="E1629" s="12" t="inlineStr">
        <is>
          <t>엄격한, 엄밀한</t>
        </is>
      </c>
      <c r="F1629" s="12" t="inlineStr">
        <is>
          <t>Let’s move on to the next topic. I have strict instructions to finish on time.</t>
        </is>
      </c>
      <c r="G1629" s="12" t="inlineStr">
        <is>
          <t>다음 주제로 넘어가죠. 제 시간에 끝내야 한다고 지시를 받아서요.</t>
        </is>
      </c>
      <c r="H1629" s="9">
        <f>HYPERLINK("https://www.youtube.com/watch?v=QvQUucVgmWc", "영상 보기 ▶")</f>
        <v/>
      </c>
    </row>
    <row r="1630" ht="26" customHeight="1">
      <c r="A1630" s="2" t="n">
        <v>1629</v>
      </c>
      <c r="B1630" s="3" t="inlineStr">
        <is>
          <t>총정리 33탄</t>
        </is>
      </c>
      <c r="C1630" s="3" t="inlineStr">
        <is>
          <t>의견/의사결정</t>
        </is>
      </c>
      <c r="D1630" s="4" t="inlineStr">
        <is>
          <t>be on the fence</t>
        </is>
      </c>
      <c r="E1630" s="11" t="inlineStr">
        <is>
          <t>고민중인, 결정을 못한</t>
        </is>
      </c>
      <c r="F1630" s="11" t="inlineStr">
        <is>
          <t>I’m still on the fence.</t>
        </is>
      </c>
      <c r="G1630" s="11" t="inlineStr">
        <is>
          <t>아직 결정을 못했어.</t>
        </is>
      </c>
      <c r="H1630" s="5">
        <f>HYPERLINK("https://www.youtube.com/watch?v=QvQUucVgmWc", "영상 보기 ▶")</f>
        <v/>
      </c>
    </row>
    <row r="1631" ht="26" customHeight="1">
      <c r="A1631" s="6" t="n">
        <v>1630</v>
      </c>
      <c r="B1631" s="7" t="inlineStr">
        <is>
          <t>총정리 33탄</t>
        </is>
      </c>
      <c r="C1631" s="7" t="inlineStr">
        <is>
          <t>실전회화/표현</t>
        </is>
      </c>
      <c r="D1631" s="8" t="inlineStr">
        <is>
          <t>​see through</t>
        </is>
      </c>
      <c r="E1631" s="12" t="inlineStr">
        <is>
          <t>꿰뚫어보다, 간파하다</t>
        </is>
      </c>
      <c r="F1631" s="12" t="inlineStr">
        <is>
          <t>You can’t just wing it. They’ll see right through that.</t>
        </is>
      </c>
      <c r="G1631" s="12" t="inlineStr">
        <is>
          <t>준비없이 대충하면 바로 알아챌거야.</t>
        </is>
      </c>
      <c r="H1631" s="9">
        <f>HYPERLINK("https://www.youtube.com/watch?v=QvQUucVgmWc", "영상 보기 ▶")</f>
        <v/>
      </c>
    </row>
    <row r="1632" ht="26" customHeight="1">
      <c r="A1632" s="2" t="n">
        <v>1631</v>
      </c>
      <c r="B1632" s="3" t="inlineStr">
        <is>
          <t>총정리 33탄</t>
        </is>
      </c>
      <c r="C1632" s="3" t="inlineStr">
        <is>
          <t>실전회화/표현</t>
        </is>
      </c>
      <c r="D1632" s="4" t="inlineStr">
        <is>
          <t>just this once</t>
        </is>
      </c>
      <c r="E1632" s="11" t="inlineStr">
        <is>
          <t>이번 한 번만</t>
        </is>
      </c>
      <c r="F1632" s="11" t="inlineStr">
        <is>
          <t>We'll do that for you just this once.</t>
        </is>
      </c>
      <c r="G1632" s="11" t="inlineStr">
        <is>
          <t>이번 한 번만 그렇게 해드릴게요.</t>
        </is>
      </c>
      <c r="H1632" s="5">
        <f>HYPERLINK("https://www.youtube.com/watch?v=QvQUucVgmWc", "영상 보기 ▶")</f>
        <v/>
      </c>
    </row>
    <row r="1633" ht="26" customHeight="1">
      <c r="A1633" s="6" t="n">
        <v>1632</v>
      </c>
      <c r="B1633" s="7" t="inlineStr">
        <is>
          <t>총정리 33탄</t>
        </is>
      </c>
      <c r="C1633" s="7" t="inlineStr">
        <is>
          <t>실전회화/표현</t>
        </is>
      </c>
      <c r="D1633" s="8" t="inlineStr">
        <is>
          <t>courtesy</t>
        </is>
      </c>
      <c r="E1633" s="12" t="inlineStr">
        <is>
          <t>특별 대우, 우대</t>
        </is>
      </c>
      <c r="F1633" s="12" t="inlineStr">
        <is>
          <t>We don't normally do that for our clients, but we'll do that as a one-time courtesy.</t>
        </is>
      </c>
      <c r="G1633" s="12" t="inlineStr">
        <is>
          <t>고객들에게 원래 그렇게 안 해드리는데, 이번만 특별히 해드릴게요.</t>
        </is>
      </c>
      <c r="H1633" s="9">
        <f>HYPERLINK("https://www.youtube.com/watch?v=QvQUucVgmWc", "영상 보기 ▶")</f>
        <v/>
      </c>
    </row>
    <row r="1634" ht="26" customHeight="1">
      <c r="A1634" s="2" t="n">
        <v>1633</v>
      </c>
      <c r="B1634" s="3" t="inlineStr">
        <is>
          <t>총정리 33탄</t>
        </is>
      </c>
      <c r="C1634" s="3" t="inlineStr">
        <is>
          <t>실전회화/표현</t>
        </is>
      </c>
      <c r="D1634" s="4" t="inlineStr">
        <is>
          <t>courtesy of ~</t>
        </is>
      </c>
      <c r="E1634" s="11" t="inlineStr">
        <is>
          <t>의 호의로, ~가 제공하는</t>
        </is>
      </c>
      <c r="F1634" s="11" t="inlineStr">
        <is>
          <t>Help yourself to some coffee, courtesy of the management.</t>
        </is>
      </c>
      <c r="G1634" s="11" t="inlineStr">
        <is>
          <t>경영진에서 제공한 커피이니 마음껏 드세요.</t>
        </is>
      </c>
      <c r="H1634" s="5">
        <f>HYPERLINK("https://www.youtube.com/watch?v=QvQUucVgmWc", "영상 보기 ▶")</f>
        <v/>
      </c>
    </row>
    <row r="1635" ht="26" customHeight="1">
      <c r="A1635" s="6" t="n">
        <v>1634</v>
      </c>
      <c r="B1635" s="7" t="inlineStr">
        <is>
          <t>총정리 33탄</t>
        </is>
      </c>
      <c r="C1635" s="7" t="inlineStr">
        <is>
          <t>실전회화/표현</t>
        </is>
      </c>
      <c r="D1635" s="8" t="inlineStr">
        <is>
          <t>from scratch</t>
        </is>
      </c>
      <c r="E1635" s="12" t="inlineStr">
        <is>
          <t>맨 처음부터</t>
        </is>
      </c>
      <c r="F1635" s="12" t="inlineStr">
        <is>
          <t>I made them from scratch.</t>
        </is>
      </c>
      <c r="G1635" s="12" t="inlineStr">
        <is>
          <t>내가 처음부터 직접 다 만들었어.</t>
        </is>
      </c>
      <c r="H1635" s="9">
        <f>HYPERLINK("https://www.youtube.com/watch?v=QvQUucVgmWc", "영상 보기 ▶")</f>
        <v/>
      </c>
    </row>
    <row r="1636" ht="26" customHeight="1">
      <c r="A1636" s="2" t="n">
        <v>1635</v>
      </c>
      <c r="B1636" s="3" t="inlineStr">
        <is>
          <t>총정리 33탄</t>
        </is>
      </c>
      <c r="C1636" s="3" t="inlineStr">
        <is>
          <t>실전회화/표현</t>
        </is>
      </c>
      <c r="D1636" s="4" t="inlineStr">
        <is>
          <t>Let's play it safe.</t>
        </is>
      </c>
      <c r="E1636" s="11" t="inlineStr">
        <is>
          <t>안전하게 행동하자.</t>
        </is>
      </c>
      <c r="F1636" s="11" t="inlineStr">
        <is>
          <t>Let's play it safe and leave in 10 minutes. I mean, we don't wanna be late.</t>
        </is>
      </c>
      <c r="G1636" s="11" t="inlineStr">
        <is>
          <t>안전하게 10분 뒤에 출발하자. 늦고 싶진 않잖아.</t>
        </is>
      </c>
      <c r="H1636" s="5">
        <f>HYPERLINK("https://www.youtube.com/watch?v=QvQUucVgmWc", "영상 보기 ▶")</f>
        <v/>
      </c>
    </row>
    <row r="1637" ht="26" customHeight="1">
      <c r="A1637" s="6" t="n">
        <v>1636</v>
      </c>
      <c r="B1637" s="7" t="inlineStr">
        <is>
          <t>총정리 33탄</t>
        </is>
      </c>
      <c r="C1637" s="7" t="inlineStr">
        <is>
          <t>실전회화/표현</t>
        </is>
      </c>
      <c r="D1637" s="8" t="inlineStr">
        <is>
          <t>Better safe than sorry.</t>
        </is>
      </c>
      <c r="E1637" s="12" t="inlineStr">
        <is>
          <t>나중에 후회하는 것보단 조심하는 게 낫지 (유비무환)</t>
        </is>
      </c>
      <c r="F1637" s="12" t="inlineStr">
        <is>
          <t>Let's bring an umbrella; better safe than sorry.</t>
        </is>
      </c>
      <c r="G1637" s="12" t="inlineStr">
        <is>
          <t>우산 챙겨가자, 나중에 비 맞고 후회하는 것보단 낫잖아.</t>
        </is>
      </c>
      <c r="H1637" s="9">
        <f>HYPERLINK("https://www.youtube.com/watch?v=QvQUucVgmWc", "영상 보기 ▶")</f>
        <v/>
      </c>
    </row>
    <row r="1638" ht="26" customHeight="1">
      <c r="A1638" s="2" t="n">
        <v>1637</v>
      </c>
      <c r="B1638" s="3" t="inlineStr">
        <is>
          <t>총정리 33탄</t>
        </is>
      </c>
      <c r="C1638" s="3" t="inlineStr">
        <is>
          <t>실전회화/표현</t>
        </is>
      </c>
      <c r="D1638" s="4" t="inlineStr">
        <is>
          <t>see the difference</t>
        </is>
      </c>
      <c r="E1638" s="11" t="inlineStr">
        <is>
          <t>차이점을 알아보다</t>
        </is>
      </c>
      <c r="F1638" s="11" t="inlineStr">
        <is>
          <t>Do you see the difference?</t>
        </is>
      </c>
      <c r="G1638" s="11" t="inlineStr">
        <is>
          <t>차이점이 보이나요?</t>
        </is>
      </c>
      <c r="H1638" s="5">
        <f>HYPERLINK("https://www.youtube.com/watch?v=QvQUucVgmWc", "영상 보기 ▶")</f>
        <v/>
      </c>
    </row>
    <row r="1639" ht="26" customHeight="1">
      <c r="A1639" s="6" t="n">
        <v>1638</v>
      </c>
      <c r="B1639" s="7" t="inlineStr">
        <is>
          <t>총정리 33탄</t>
        </is>
      </c>
      <c r="C1639" s="7" t="inlineStr">
        <is>
          <t>실전회화/표현</t>
        </is>
      </c>
      <c r="D1639" s="8" t="inlineStr">
        <is>
          <t>conservative</t>
        </is>
      </c>
      <c r="E1639" s="12" t="inlineStr">
        <is>
          <t>보수적인, 조심스러운</t>
        </is>
      </c>
      <c r="F1639" s="12" t="inlineStr">
        <is>
          <t>I'm conservative when it comes to money. I like to play it safe.</t>
        </is>
      </c>
      <c r="G1639" s="12" t="inlineStr">
        <is>
          <t>난 돈에 있어선 조심스러워. 안전한게 좋거든.</t>
        </is>
      </c>
      <c r="H1639" s="9">
        <f>HYPERLINK("https://www.youtube.com/watch?v=QvQUucVgmWc", "영상 보기 ▶")</f>
        <v/>
      </c>
    </row>
    <row r="1640" ht="26" customHeight="1">
      <c r="A1640" s="2" t="n">
        <v>1639</v>
      </c>
      <c r="B1640" s="3" t="inlineStr">
        <is>
          <t>총정리 33탄</t>
        </is>
      </c>
      <c r="C1640" s="3" t="inlineStr">
        <is>
          <t>실전회화/표현</t>
        </is>
      </c>
      <c r="D1640" s="4" t="inlineStr">
        <is>
          <t>-wise (접미사)</t>
        </is>
      </c>
      <c r="E1640" s="11" t="inlineStr">
        <is>
          <t>(시간/비용 등의) 측면에서, ~에 관하여</t>
        </is>
      </c>
      <c r="F1640" s="11" t="inlineStr">
        <is>
          <t>So, how are we doing time-wise?</t>
        </is>
      </c>
      <c r="G1640" s="11" t="inlineStr">
        <is>
          <t>시간적인 측면에서 볼 때 우리 일정에 맞게 잘 진행되고 있나요?</t>
        </is>
      </c>
      <c r="H1640" s="5">
        <f>HYPERLINK("https://www.youtube.com/watch?v=QvQUucVgmWc", "영상 보기 ▶")</f>
        <v/>
      </c>
    </row>
    <row r="1641" ht="26" customHeight="1">
      <c r="A1641" s="6" t="n">
        <v>1640</v>
      </c>
      <c r="B1641" s="7" t="inlineStr">
        <is>
          <t>총정리 33탄</t>
        </is>
      </c>
      <c r="C1641" s="7" t="inlineStr">
        <is>
          <t>실전회화/표현</t>
        </is>
      </c>
      <c r="D1641" s="8" t="inlineStr">
        <is>
          <t>go in a different direction</t>
        </is>
      </c>
      <c r="E1641" s="12" t="inlineStr">
        <is>
          <t>다른 방향으로 가다</t>
        </is>
      </c>
      <c r="F1641" s="12" t="inlineStr">
        <is>
          <t>I'm sorry, but we've decided to go in a different direction.</t>
        </is>
      </c>
      <c r="G1641" s="12" t="inlineStr">
        <is>
          <t>죄송하지만, 저희는 다른 방향으로 가기로 했어요.</t>
        </is>
      </c>
      <c r="H1641" s="9">
        <f>HYPERLINK("https://www.youtube.com/watch?v=QvQUucVgmWc", "영상 보기 ▶")</f>
        <v/>
      </c>
    </row>
    <row r="1642" ht="26" customHeight="1">
      <c r="A1642" s="2" t="n">
        <v>1641</v>
      </c>
      <c r="B1642" s="3" t="inlineStr">
        <is>
          <t>총정리 33탄</t>
        </is>
      </c>
      <c r="C1642" s="3" t="inlineStr">
        <is>
          <t>실전회화/표현</t>
        </is>
      </c>
      <c r="D1642" s="4" t="inlineStr">
        <is>
          <t>familiar</t>
        </is>
      </c>
      <c r="E1642" s="11" t="inlineStr">
        <is>
          <t>익숙한, 친숙한</t>
        </is>
      </c>
      <c r="F1642" s="11" t="inlineStr">
        <is>
          <t>Can you walk me through it? I'm not familiar with the concept.</t>
        </is>
      </c>
      <c r="G1642" s="11" t="inlineStr">
        <is>
          <t>차근차근 설명해 줄 수 있어? 개념이 익숙치 않아서.</t>
        </is>
      </c>
      <c r="H1642" s="5">
        <f>HYPERLINK("https://www.youtube.com/watch?v=QvQUucVgmWc", "영상 보기 ▶")</f>
        <v/>
      </c>
    </row>
    <row r="1643" ht="26" customHeight="1">
      <c r="A1643" s="6" t="n">
        <v>1642</v>
      </c>
      <c r="B1643" s="7" t="inlineStr">
        <is>
          <t>총정리 33탄</t>
        </is>
      </c>
      <c r="C1643" s="7" t="inlineStr">
        <is>
          <t>실전회화/표현</t>
        </is>
      </c>
      <c r="D1643" s="8" t="inlineStr">
        <is>
          <t>catch</t>
        </is>
      </c>
      <c r="E1643" s="12" t="inlineStr">
        <is>
          <t>알아듣다</t>
        </is>
      </c>
      <c r="F1643" s="12" t="inlineStr">
        <is>
          <t>Sorry, I didn't catch that last part.</t>
        </is>
      </c>
      <c r="G1643" s="12" t="inlineStr">
        <is>
          <t>미안한데 마지막 부분은 잘 못 들었어.</t>
        </is>
      </c>
      <c r="H1643" s="9">
        <f>HYPERLINK("https://www.youtube.com/watch?v=QvQUucVgmWc", "영상 보기 ▶")</f>
        <v/>
      </c>
    </row>
    <row r="1644" ht="26" customHeight="1">
      <c r="A1644" s="2" t="n">
        <v>1643</v>
      </c>
      <c r="B1644" s="3" t="inlineStr">
        <is>
          <t>총정리 33탄</t>
        </is>
      </c>
      <c r="C1644" s="3" t="inlineStr">
        <is>
          <t>실전회화/표현</t>
        </is>
      </c>
      <c r="D1644" s="4" t="inlineStr">
        <is>
          <t>You can never be too prepared.</t>
        </is>
      </c>
      <c r="E1644" s="11" t="inlineStr">
        <is>
          <t>준비는 아무리 철저히 해도 지나치지 않아</t>
        </is>
      </c>
      <c r="F1644" s="11" t="inlineStr">
        <is>
          <t>Review the slides again; you can never be too prepared.</t>
        </is>
      </c>
      <c r="G1644" s="11" t="inlineStr">
        <is>
          <t>슬라이드 다시 점검해 봐, 준비는 과할수록 좋은 법이야.</t>
        </is>
      </c>
      <c r="H1644" s="5">
        <f>HYPERLINK("https://www.youtube.com/watch?v=QvQUucVgmWc", "영상 보기 ▶")</f>
        <v/>
      </c>
    </row>
    <row r="1645" ht="26" customHeight="1">
      <c r="A1645" s="6" t="n">
        <v>1644</v>
      </c>
      <c r="B1645" s="7" t="inlineStr">
        <is>
          <t>총정리 33탄</t>
        </is>
      </c>
      <c r="C1645" s="7" t="inlineStr">
        <is>
          <t>실전회화/표현</t>
        </is>
      </c>
      <c r="D1645" s="8" t="inlineStr">
        <is>
          <t>point me in the right direction</t>
        </is>
      </c>
      <c r="E1645" s="12" t="inlineStr">
        <is>
          <t>옳은 방향을 알려주다</t>
        </is>
      </c>
      <c r="F1645" s="12" t="inlineStr">
        <is>
          <t>Could you point me in the right direction?</t>
        </is>
      </c>
      <c r="G1645" s="12" t="inlineStr">
        <is>
          <t>어떻게 해야할지 조언해줄 수 있어?</t>
        </is>
      </c>
      <c r="H1645" s="9">
        <f>HYPERLINK("https://www.youtube.com/watch?v=QvQUucVgmWc", "영상 보기 ▶")</f>
        <v/>
      </c>
    </row>
    <row r="1646" ht="26" customHeight="1">
      <c r="A1646" s="2" t="n">
        <v>1645</v>
      </c>
      <c r="B1646" s="3" t="inlineStr">
        <is>
          <t>총정리 33탄</t>
        </is>
      </c>
      <c r="C1646" s="3" t="inlineStr">
        <is>
          <t>실전회화/표현</t>
        </is>
      </c>
      <c r="D1646" s="4" t="inlineStr">
        <is>
          <t>moving forward</t>
        </is>
      </c>
      <c r="E1646" s="11" t="inlineStr">
        <is>
          <t>앞으로</t>
        </is>
      </c>
      <c r="F1646" s="11" t="inlineStr">
        <is>
          <t>What should we do moving forward?</t>
        </is>
      </c>
      <c r="G1646" s="11" t="inlineStr">
        <is>
          <t>앞으로 어떻게 해야할까?</t>
        </is>
      </c>
      <c r="H1646" s="5">
        <f>HYPERLINK("https://www.youtube.com/watch?v=QvQUucVgmWc", "영상 보기 ▶")</f>
        <v/>
      </c>
    </row>
    <row r="1647" ht="26" customHeight="1">
      <c r="A1647" s="6" t="n">
        <v>1646</v>
      </c>
      <c r="B1647" s="7" t="inlineStr">
        <is>
          <t>총정리 33탄</t>
        </is>
      </c>
      <c r="C1647" s="7" t="inlineStr">
        <is>
          <t>의견/의사결정</t>
        </is>
      </c>
      <c r="D1647" s="8" t="inlineStr">
        <is>
          <t>see eye to eye</t>
        </is>
      </c>
      <c r="E1647" s="12" t="inlineStr">
        <is>
          <t>서로 의견, 생각이 일치하다</t>
        </is>
      </c>
      <c r="F1647" s="12" t="inlineStr">
        <is>
          <t>We don't always see eye to eye, but he's a good person.</t>
        </is>
      </c>
      <c r="G1647" s="12" t="inlineStr">
        <is>
          <t>의견이 늘 같진 않지만, 그래도 그는 좋은 사람이야.</t>
        </is>
      </c>
      <c r="H1647" s="9">
        <f>HYPERLINK("https://www.youtube.com/watch?v=QvQUucVgmWc", "영상 보기 ▶")</f>
        <v/>
      </c>
    </row>
    <row r="1648" ht="26" customHeight="1">
      <c r="A1648" s="2" t="n">
        <v>1647</v>
      </c>
      <c r="B1648" s="3" t="inlineStr">
        <is>
          <t>총정리 33탄</t>
        </is>
      </c>
      <c r="C1648" s="3" t="inlineStr">
        <is>
          <t>실전회화/표현</t>
        </is>
      </c>
      <c r="D1648" s="4" t="inlineStr">
        <is>
          <t>similar</t>
        </is>
      </c>
      <c r="E1648" s="11" t="inlineStr">
        <is>
          <t>비슷한, 닮은</t>
        </is>
      </c>
      <c r="F1648" s="11" t="inlineStr">
        <is>
          <t>They're not the same, but they are similar.</t>
        </is>
      </c>
      <c r="G1648" s="11" t="inlineStr">
        <is>
          <t>똑같지는 않지만 비슷해.</t>
        </is>
      </c>
      <c r="H1648" s="5">
        <f>HYPERLINK("https://www.youtube.com/watch?v=QvQUucVgmWc", "영상 보기 ▶")</f>
        <v/>
      </c>
    </row>
    <row r="1649" ht="26" customHeight="1">
      <c r="A1649" s="6" t="n">
        <v>1648</v>
      </c>
      <c r="B1649" s="7" t="inlineStr">
        <is>
          <t>총정리 33탄</t>
        </is>
      </c>
      <c r="C1649" s="7" t="inlineStr">
        <is>
          <t>실전회화/표현</t>
        </is>
      </c>
      <c r="D1649" s="8" t="inlineStr">
        <is>
          <t>go with (</t>
        </is>
      </c>
      <c r="E1649" s="12" t="inlineStr">
        <is>
          <t>계획, 제의 등을) 받아들이다</t>
        </is>
      </c>
      <c r="F1649" s="12" t="inlineStr">
        <is>
          <t>I'm sorry, but we've decided to go with Kevin's idea.</t>
        </is>
      </c>
      <c r="G1649" s="12" t="inlineStr">
        <is>
          <t>미안하지만 케빈의 아이디어를 받아들이기로 했어.</t>
        </is>
      </c>
      <c r="H1649" s="9">
        <f>HYPERLINK("https://www.youtube.com/watch?v=QvQUucVgmWc", "영상 보기 ▶")</f>
        <v/>
      </c>
    </row>
    <row r="1650" ht="26" customHeight="1">
      <c r="A1650" s="2" t="n">
        <v>1649</v>
      </c>
      <c r="B1650" s="3" t="inlineStr">
        <is>
          <t>총정리 33탄</t>
        </is>
      </c>
      <c r="C1650" s="3" t="inlineStr">
        <is>
          <t>실전회화/표현</t>
        </is>
      </c>
      <c r="D1650" s="4" t="inlineStr">
        <is>
          <t>move forward</t>
        </is>
      </c>
      <c r="E1650" s="11" t="inlineStr">
        <is>
          <t>추진하다, 진행하다, 나아가다</t>
        </is>
      </c>
      <c r="F1650" s="11" t="inlineStr">
        <is>
          <t>We're interested in moving forward. What would be the next step?</t>
        </is>
      </c>
      <c r="G1650" s="11" t="inlineStr">
        <is>
          <t>이렇게 진행하고 싶은데 다음 단계는 어떻게 되죠?</t>
        </is>
      </c>
      <c r="H1650" s="5">
        <f>HYPERLINK("https://www.youtube.com/watch?v=QvQUucVgmWc", "영상 보기 ▶")</f>
        <v/>
      </c>
    </row>
    <row r="1651" ht="26" customHeight="1">
      <c r="A1651" s="6" t="n">
        <v>1650</v>
      </c>
      <c r="B1651" s="7" t="inlineStr">
        <is>
          <t>총정리 33탄</t>
        </is>
      </c>
      <c r="C1651" s="7" t="inlineStr">
        <is>
          <t>실전회화/표현</t>
        </is>
      </c>
      <c r="D1651" s="8" t="inlineStr">
        <is>
          <t>turn down</t>
        </is>
      </c>
      <c r="E1651" s="12" t="inlineStr">
        <is>
          <t>거절, 거부하다</t>
        </is>
      </c>
      <c r="F1651" s="12" t="inlineStr">
        <is>
          <t>I'm sorry, but we've decided to turn down your proposal.</t>
        </is>
      </c>
      <c r="G1651" s="12" t="inlineStr">
        <is>
          <t>죄송하지만 제안을 거절하기로 결정했어요.</t>
        </is>
      </c>
      <c r="H1651" s="9">
        <f>HYPERLINK("https://www.youtube.com/watch?v=QvQUucVgmWc", "영상 보기 ▶")</f>
        <v/>
      </c>
    </row>
    <row r="1652" ht="26" customHeight="1">
      <c r="A1652" s="2" t="n">
        <v>1651</v>
      </c>
      <c r="B1652" s="3" t="inlineStr">
        <is>
          <t>총정리 34탄</t>
        </is>
      </c>
      <c r="C1652" s="3" t="inlineStr">
        <is>
          <t>실전회화/표현</t>
        </is>
      </c>
      <c r="D1652" s="4" t="inlineStr">
        <is>
          <t>track record</t>
        </is>
      </c>
      <c r="E1652" s="11" t="inlineStr">
        <is>
          <t>실적, 전적</t>
        </is>
      </c>
      <c r="F1652" s="11" t="inlineStr">
        <is>
          <t>They have a track record of great products.</t>
        </is>
      </c>
      <c r="G1652" s="11" t="inlineStr">
        <is>
          <t>지금까지 그들이 내놓은 상품들이 다 좋아.</t>
        </is>
      </c>
      <c r="H1652" s="5">
        <f>HYPERLINK("https://www.youtube.com/watch?v=5NOqOeZdtfQ", "영상 보기 ▶")</f>
        <v/>
      </c>
    </row>
    <row r="1653" ht="26" customHeight="1">
      <c r="A1653" s="6" t="n">
        <v>1652</v>
      </c>
      <c r="B1653" s="7" t="inlineStr">
        <is>
          <t>총정리 34탄</t>
        </is>
      </c>
      <c r="C1653" s="7" t="inlineStr">
        <is>
          <t>실전회화/표현</t>
        </is>
      </c>
      <c r="D1653" s="8" t="inlineStr">
        <is>
          <t>rule out</t>
        </is>
      </c>
      <c r="E1653" s="12" t="inlineStr">
        <is>
          <t>배제하다, 제외시키다</t>
        </is>
      </c>
      <c r="F1653" s="12" t="inlineStr">
        <is>
          <t>We can rule out the last option. It's not within our budget.</t>
        </is>
      </c>
      <c r="G1653" s="12" t="inlineStr">
        <is>
          <t>우리 예산 밖이니 마지막 옵션은 제외시켜도 돼.</t>
        </is>
      </c>
      <c r="H1653" s="9">
        <f>HYPERLINK("https://www.youtube.com/watch?v=5NOqOeZdtfQ", "영상 보기 ▶")</f>
        <v/>
      </c>
    </row>
    <row r="1654" ht="26" customHeight="1">
      <c r="A1654" s="2" t="n">
        <v>1653</v>
      </c>
      <c r="B1654" s="3" t="inlineStr">
        <is>
          <t>총정리 34탄</t>
        </is>
      </c>
      <c r="C1654" s="3" t="inlineStr">
        <is>
          <t>실전회화/표현</t>
        </is>
      </c>
      <c r="D1654" s="4" t="inlineStr">
        <is>
          <t>greenlight</t>
        </is>
      </c>
      <c r="E1654" s="11" t="inlineStr">
        <is>
          <t>허가, 승인하다</t>
        </is>
      </c>
      <c r="F1654" s="11" t="inlineStr">
        <is>
          <t>He finally greenlit the project.</t>
        </is>
      </c>
      <c r="G1654" s="11" t="inlineStr">
        <is>
          <t>드디어 그가 프로젝트를 승인했어.</t>
        </is>
      </c>
      <c r="H1654" s="5">
        <f>HYPERLINK("https://www.youtube.com/watch?v=5NOqOeZdtfQ", "영상 보기 ▶")</f>
        <v/>
      </c>
    </row>
    <row r="1655" ht="26" customHeight="1">
      <c r="A1655" s="6" t="n">
        <v>1654</v>
      </c>
      <c r="B1655" s="7" t="inlineStr">
        <is>
          <t>총정리 34탄</t>
        </is>
      </c>
      <c r="C1655" s="7" t="inlineStr">
        <is>
          <t>실전회화/표현</t>
        </is>
      </c>
      <c r="D1655" s="8" t="inlineStr">
        <is>
          <t>sign off on</t>
        </is>
      </c>
      <c r="E1655" s="12" t="inlineStr">
        <is>
          <t>허가, 승인하다</t>
        </is>
      </c>
      <c r="F1655" s="12" t="inlineStr">
        <is>
          <t>He finally signed off on the project.</t>
        </is>
      </c>
      <c r="G1655" s="12" t="inlineStr">
        <is>
          <t>그가 드디어 프로젝트를 승인했어.</t>
        </is>
      </c>
      <c r="H1655" s="9">
        <f>HYPERLINK("https://www.youtube.com/watch?v=5NOqOeZdtfQ", "영상 보기 ▶")</f>
        <v/>
      </c>
    </row>
    <row r="1656" ht="26" customHeight="1">
      <c r="A1656" s="2" t="n">
        <v>1655</v>
      </c>
      <c r="B1656" s="3" t="inlineStr">
        <is>
          <t>총정리 34탄</t>
        </is>
      </c>
      <c r="C1656" s="3" t="inlineStr">
        <is>
          <t>실전회화/표현</t>
        </is>
      </c>
      <c r="D1656" s="4" t="inlineStr">
        <is>
          <t>big ask</t>
        </is>
      </c>
      <c r="E1656" s="11" t="inlineStr">
        <is>
          <t>만만찮은 일, 힘든 요구사항</t>
        </is>
      </c>
      <c r="F1656" s="11" t="inlineStr">
        <is>
          <t>I know it's a big ask, but we have to do everything by Friday.</t>
        </is>
      </c>
      <c r="G1656" s="11" t="inlineStr">
        <is>
          <t>힘든 요구라는거 알지만, 금요일까지 다 끝내야 해.</t>
        </is>
      </c>
      <c r="H1656" s="5">
        <f>HYPERLINK("https://www.youtube.com/watch?v=5NOqOeZdtfQ", "영상 보기 ▶")</f>
        <v/>
      </c>
    </row>
    <row r="1657" ht="26" customHeight="1">
      <c r="A1657" s="6" t="n">
        <v>1656</v>
      </c>
      <c r="B1657" s="7" t="inlineStr">
        <is>
          <t>총정리 34탄</t>
        </is>
      </c>
      <c r="C1657" s="7" t="inlineStr">
        <is>
          <t>실전회화/표현</t>
        </is>
      </c>
      <c r="D1657" s="8" t="inlineStr">
        <is>
          <t>big favor</t>
        </is>
      </c>
      <c r="E1657" s="12" t="inlineStr">
        <is>
          <t>큰 부탁 (&amp;#x3D; huge favor)</t>
        </is>
      </c>
      <c r="F1657" s="12" t="inlineStr">
        <is>
          <t>Can I ask you a big favot? Would you mind pick Ziggy up at pick-up? I just have so much work to do, and I could use a few extra hours to catch up.</t>
        </is>
      </c>
      <c r="G1657" s="12" t="inlineStr">
        <is>
          <t>큰 부탁 하나 해도 될까? 우리 애 좀 픽업해줄 수 있어? 일이 너무 많아서 다 하려면 몇시간 더 걸릴 것 같아.</t>
        </is>
      </c>
      <c r="H1657" s="9">
        <f>HYPERLINK("https://www.youtube.com/watch?v=5NOqOeZdtfQ", "영상 보기 ▶")</f>
        <v/>
      </c>
    </row>
    <row r="1658" ht="26" customHeight="1">
      <c r="A1658" s="2" t="n">
        <v>1657</v>
      </c>
      <c r="B1658" s="3" t="inlineStr">
        <is>
          <t>총정리 34탄</t>
        </is>
      </c>
      <c r="C1658" s="3" t="inlineStr">
        <is>
          <t>실전회화/표현</t>
        </is>
      </c>
      <c r="D1658" s="4" t="inlineStr">
        <is>
          <t>turn to ~</t>
        </is>
      </c>
      <c r="E1658" s="11" t="inlineStr">
        <is>
          <t>에 의지하다</t>
        </is>
      </c>
      <c r="F1658" s="11" t="inlineStr">
        <is>
          <t>The deadline is tomorrow, and I didn't know who else to turn to.</t>
        </is>
      </c>
      <c r="G1658" s="11" t="inlineStr">
        <is>
          <t>마감기한이 내일인데 너 말고 누구한테 도움을 요청하야할지 몰라서.</t>
        </is>
      </c>
      <c r="H1658" s="5">
        <f>HYPERLINK("https://www.youtube.com/watch?v=5NOqOeZdtfQ", "영상 보기 ▶")</f>
        <v/>
      </c>
    </row>
    <row r="1659" ht="26" customHeight="1">
      <c r="A1659" s="6" t="n">
        <v>1658</v>
      </c>
      <c r="B1659" s="7" t="inlineStr">
        <is>
          <t>총정리 34탄</t>
        </is>
      </c>
      <c r="C1659" s="7" t="inlineStr">
        <is>
          <t>실전회화/표현</t>
        </is>
      </c>
      <c r="D1659" s="8" t="inlineStr">
        <is>
          <t>turn to ~</t>
        </is>
      </c>
      <c r="E1659" s="12" t="inlineStr">
        <is>
          <t>로 넘어가다</t>
        </is>
      </c>
      <c r="F1659" s="12" t="inlineStr">
        <is>
          <t>Now, let's turn to strategies.</t>
        </is>
      </c>
      <c r="G1659" s="12" t="inlineStr">
        <is>
          <t>이제 전략을 얘기해보도록 하죠.</t>
        </is>
      </c>
      <c r="H1659" s="9">
        <f>HYPERLINK("https://www.youtube.com/watch?v=5NOqOeZdtfQ", "영상 보기 ▶")</f>
        <v/>
      </c>
    </row>
    <row r="1660" ht="26" customHeight="1">
      <c r="A1660" s="2" t="n">
        <v>1659</v>
      </c>
      <c r="B1660" s="3" t="inlineStr">
        <is>
          <t>총정리 34탄</t>
        </is>
      </c>
      <c r="C1660" s="3" t="inlineStr">
        <is>
          <t>실전회화/표현</t>
        </is>
      </c>
      <c r="D1660" s="4" t="inlineStr">
        <is>
          <t>get around to something</t>
        </is>
      </c>
      <c r="E1660" s="11" t="inlineStr">
        <is>
          <t>시간, 짬을 내다</t>
        </is>
      </c>
      <c r="F1660" s="11" t="inlineStr">
        <is>
          <t>Sorry, I haven't gotten around to it yet.</t>
        </is>
      </c>
      <c r="G1660" s="11" t="inlineStr">
        <is>
          <t>미안해, 시간이 없어서 아직 못했어.</t>
        </is>
      </c>
      <c r="H1660" s="5">
        <f>HYPERLINK("https://www.youtube.com/watch?v=5NOqOeZdtfQ", "영상 보기 ▶")</f>
        <v/>
      </c>
    </row>
    <row r="1661" ht="26" customHeight="1">
      <c r="A1661" s="6" t="n">
        <v>1660</v>
      </c>
      <c r="B1661" s="7" t="inlineStr">
        <is>
          <t>총정리 34탄</t>
        </is>
      </c>
      <c r="C1661" s="7" t="inlineStr">
        <is>
          <t>실전회화/표현</t>
        </is>
      </c>
      <c r="D1661" s="8" t="inlineStr">
        <is>
          <t>not one's first rodeo</t>
        </is>
      </c>
      <c r="E1661" s="12" t="inlineStr">
        <is>
          <t>처음이 아닌</t>
        </is>
      </c>
      <c r="F1661" s="12" t="inlineStr">
        <is>
          <t>A: Are you all set for the presentation tomorrow?</t>
        </is>
      </c>
      <c r="G1661" s="12" t="inlineStr">
        <is>
          <t>내일 발표 준비는 다 됐지?</t>
        </is>
      </c>
      <c r="H1661" s="9">
        <f>HYPERLINK("https://www.youtube.com/watch?v=5NOqOeZdtfQ", "영상 보기 ▶")</f>
        <v/>
      </c>
    </row>
    <row r="1662" ht="26" customHeight="1">
      <c r="A1662" s="2" t="n">
        <v>1661</v>
      </c>
      <c r="B1662" s="3" t="inlineStr">
        <is>
          <t>총정리 34탄</t>
        </is>
      </c>
      <c r="C1662" s="3" t="inlineStr">
        <is>
          <t>실전회화/표현</t>
        </is>
      </c>
      <c r="D1662" s="4" t="inlineStr">
        <is>
          <t>bug</t>
        </is>
      </c>
      <c r="E1662" s="11" t="inlineStr">
        <is>
          <t>귀찮게 굴다, 거슬리게 하다</t>
        </is>
      </c>
      <c r="F1662" s="11" t="inlineStr">
        <is>
          <t>Is something bugging you? What's on your mind?</t>
        </is>
      </c>
      <c r="G1662" s="11" t="inlineStr">
        <is>
          <t>뭐 신경쓰이는 일 있어? 무슨 생각해?</t>
        </is>
      </c>
      <c r="H1662" s="5">
        <f>HYPERLINK("https://www.youtube.com/watch?v=5NOqOeZdtfQ", "영상 보기 ▶")</f>
        <v/>
      </c>
    </row>
    <row r="1663" ht="26" customHeight="1">
      <c r="A1663" s="6" t="n">
        <v>1662</v>
      </c>
      <c r="B1663" s="7" t="inlineStr">
        <is>
          <t>총정리 34탄</t>
        </is>
      </c>
      <c r="C1663" s="7" t="inlineStr">
        <is>
          <t>실전회화/표현</t>
        </is>
      </c>
      <c r="D1663" s="8" t="inlineStr">
        <is>
          <t>be in good hands</t>
        </is>
      </c>
      <c r="E1663" s="12" t="inlineStr">
        <is>
          <t>안심할 수 있는, 잘 관리되는</t>
        </is>
      </c>
      <c r="F1663" s="12" t="inlineStr">
        <is>
          <t>This isn't our first rodeo. You're in good hands.</t>
        </is>
      </c>
      <c r="G1663" s="12" t="inlineStr">
        <is>
          <t>저희가 이런걸 한두번 해본것도 아니고 잘 케어해드릴테니 안심하세요.</t>
        </is>
      </c>
      <c r="H1663" s="9">
        <f>HYPERLINK("https://www.youtube.com/watch?v=5NOqOeZdtfQ", "영상 보기 ▶")</f>
        <v/>
      </c>
    </row>
    <row r="1664" ht="26" customHeight="1">
      <c r="A1664" s="2" t="n">
        <v>1663</v>
      </c>
      <c r="B1664" s="3" t="inlineStr">
        <is>
          <t>총정리 34탄</t>
        </is>
      </c>
      <c r="C1664" s="3" t="inlineStr">
        <is>
          <t>실전회화/표현</t>
        </is>
      </c>
      <c r="D1664" s="4" t="inlineStr">
        <is>
          <t>stickler</t>
        </is>
      </c>
      <c r="E1664" s="11" t="inlineStr">
        <is>
          <t>까다로운, 엄격한 사람</t>
        </is>
      </c>
      <c r="F1664" s="11" t="inlineStr">
        <is>
          <t>A: We might be a little late to the meeting.</t>
        </is>
      </c>
      <c r="G1664" s="11" t="inlineStr">
        <is>
          <t>우리 미팅에 조금 늦을 수도 있어.</t>
        </is>
      </c>
      <c r="H1664" s="5">
        <f>HYPERLINK("https://www.youtube.com/watch?v=5NOqOeZdtfQ", "영상 보기 ▶")</f>
        <v/>
      </c>
    </row>
    <row r="1665" ht="26" customHeight="1">
      <c r="A1665" s="6" t="n">
        <v>1664</v>
      </c>
      <c r="B1665" s="7" t="inlineStr">
        <is>
          <t>총정리 34탄</t>
        </is>
      </c>
      <c r="C1665" s="7" t="inlineStr">
        <is>
          <t>실전회화/표현</t>
        </is>
      </c>
      <c r="D1665" s="8" t="inlineStr">
        <is>
          <t>street smart</t>
        </is>
      </c>
      <c r="E1665" s="12" t="inlineStr">
        <is>
          <t>세상 물정에 밝은, 지혜가 많은</t>
        </is>
      </c>
      <c r="F1665" s="12" t="inlineStr">
        <is>
          <t>I prefer street smart to book smart.</t>
        </is>
      </c>
      <c r="G1665" s="12" t="inlineStr">
        <is>
          <t>난 책 똑똑이 보단 세상 사는 지혜가 있는 사람이 좋아.</t>
        </is>
      </c>
      <c r="H1665" s="9">
        <f>HYPERLINK("https://www.youtube.com/watch?v=5NOqOeZdtfQ", "영상 보기 ▶")</f>
        <v/>
      </c>
    </row>
    <row r="1666" ht="26" customHeight="1">
      <c r="A1666" s="2" t="n">
        <v>1665</v>
      </c>
      <c r="B1666" s="3" t="inlineStr">
        <is>
          <t>총정리 34탄</t>
        </is>
      </c>
      <c r="C1666" s="3" t="inlineStr">
        <is>
          <t>실전회화/표현</t>
        </is>
      </c>
      <c r="D1666" s="4" t="inlineStr">
        <is>
          <t>get into</t>
        </is>
      </c>
      <c r="E1666" s="11" t="inlineStr">
        <is>
          <t>들어가다, ~를 시작하게 되다</t>
        </is>
      </c>
      <c r="F1666" s="11" t="inlineStr">
        <is>
          <t>How did you get into that industry?</t>
        </is>
      </c>
      <c r="G1666" s="11" t="inlineStr">
        <is>
          <t>그 분야 일은 어떻게 시작하게 된거야?</t>
        </is>
      </c>
      <c r="H1666" s="5">
        <f>HYPERLINK("https://www.youtube.com/watch?v=5NOqOeZdtfQ", "영상 보기 ▶")</f>
        <v/>
      </c>
    </row>
    <row r="1667" ht="26" customHeight="1">
      <c r="A1667" s="6" t="n">
        <v>1666</v>
      </c>
      <c r="B1667" s="7" t="inlineStr">
        <is>
          <t>총정리 34탄</t>
        </is>
      </c>
      <c r="C1667" s="7" t="inlineStr">
        <is>
          <t>실전회화/표현</t>
        </is>
      </c>
      <c r="D1667" s="8" t="inlineStr">
        <is>
          <t>get out of ~</t>
        </is>
      </c>
      <c r="E1667" s="12" t="inlineStr">
        <is>
          <t>에서 얻다</t>
        </is>
      </c>
      <c r="F1667" s="12" t="inlineStr">
        <is>
          <t>I hope you get a lot out of this training program.</t>
        </is>
      </c>
      <c r="G1667" s="12" t="inlineStr">
        <is>
          <t>이 프로그램에서 많은 걸 얻어가시길 바라요.</t>
        </is>
      </c>
      <c r="H1667" s="9">
        <f>HYPERLINK("https://www.youtube.com/watch?v=5NOqOeZdtfQ", "영상 보기 ▶")</f>
        <v/>
      </c>
    </row>
    <row r="1668" ht="26" customHeight="1">
      <c r="A1668" s="2" t="n">
        <v>1667</v>
      </c>
      <c r="B1668" s="3" t="inlineStr">
        <is>
          <t>총정리 34탄</t>
        </is>
      </c>
      <c r="C1668" s="3" t="inlineStr">
        <is>
          <t>실전회화/표현</t>
        </is>
      </c>
      <c r="D1668" s="4" t="inlineStr">
        <is>
          <t>time constraints</t>
        </is>
      </c>
      <c r="E1668" s="11" t="inlineStr">
        <is>
          <t>시간 제약</t>
        </is>
      </c>
      <c r="F1668" s="11" t="inlineStr">
        <is>
          <t>Due to time constraints, I can't get into the details.</t>
        </is>
      </c>
      <c r="G1668" s="11" t="inlineStr">
        <is>
          <t>시간 제한 때문에 자세한 것 까지 다루지는 못 하겠네요.</t>
        </is>
      </c>
      <c r="H1668" s="5">
        <f>HYPERLINK("https://www.youtube.com/watch?v=5NOqOeZdtfQ", "영상 보기 ▶")</f>
        <v/>
      </c>
    </row>
    <row r="1669" ht="26" customHeight="1">
      <c r="A1669" s="6" t="n">
        <v>1668</v>
      </c>
      <c r="B1669" s="7" t="inlineStr">
        <is>
          <t>총정리 34탄</t>
        </is>
      </c>
      <c r="C1669" s="7" t="inlineStr">
        <is>
          <t>실전회화/표현</t>
        </is>
      </c>
      <c r="D1669" s="8" t="inlineStr">
        <is>
          <t>game-changer</t>
        </is>
      </c>
      <c r="E1669" s="12" t="inlineStr">
        <is>
          <t>상황을 바꿔놓는 사람, 아이디어, 사건</t>
        </is>
      </c>
      <c r="F1669" s="12" t="inlineStr">
        <is>
          <t>Wow, this is really good! Adding chocolate was a game-changer.</t>
        </is>
      </c>
      <c r="G1669" s="12" t="inlineStr">
        <is>
          <t>와, 진짜 맛있다. 초코를 더한게 신의 한수였어.</t>
        </is>
      </c>
      <c r="H1669" s="9">
        <f>HYPERLINK("https://www.youtube.com/watch?v=5NOqOeZdtfQ", "영상 보기 ▶")</f>
        <v/>
      </c>
    </row>
    <row r="1670" ht="26" customHeight="1">
      <c r="A1670" s="2" t="n">
        <v>1669</v>
      </c>
      <c r="B1670" s="3" t="inlineStr">
        <is>
          <t>총정리 34탄</t>
        </is>
      </c>
      <c r="C1670" s="3" t="inlineStr">
        <is>
          <t>실전회화/표현</t>
        </is>
      </c>
      <c r="D1670" s="4" t="inlineStr">
        <is>
          <t>get</t>
        </is>
      </c>
      <c r="E1670" s="11" t="inlineStr">
        <is>
          <t>대상 out of your system ~를 해소하다</t>
        </is>
      </c>
      <c r="F1670" s="11" t="inlineStr">
        <is>
          <t>Whatever you wanna say, just get it out of your system.</t>
        </is>
      </c>
      <c r="G1670" s="11" t="inlineStr">
        <is>
          <t>그냥 하고 싶은 말이 있으면 속 시원하게 해.</t>
        </is>
      </c>
      <c r="H1670" s="5">
        <f>HYPERLINK("https://www.youtube.com/watch?v=5NOqOeZdtfQ", "영상 보기 ▶")</f>
        <v/>
      </c>
    </row>
    <row r="1671" ht="26" customHeight="1">
      <c r="A1671" s="6" t="n">
        <v>1670</v>
      </c>
      <c r="B1671" s="7" t="inlineStr">
        <is>
          <t>총정리 34탄</t>
        </is>
      </c>
      <c r="C1671" s="7" t="inlineStr">
        <is>
          <t>공감/감정</t>
        </is>
      </c>
      <c r="D1671" s="8" t="inlineStr">
        <is>
          <t>hard feelings</t>
        </is>
      </c>
      <c r="E1671" s="12" t="inlineStr">
        <is>
          <t>안 좋은 감정</t>
        </is>
      </c>
      <c r="F1671" s="12" t="inlineStr">
        <is>
          <t>No hard feelings, right?</t>
        </is>
      </c>
      <c r="G1671" s="12" t="inlineStr">
        <is>
          <t>우리 사이 괜찮은거지?</t>
        </is>
      </c>
      <c r="H1671" s="9">
        <f>HYPERLINK("https://www.youtube.com/watch?v=5NOqOeZdtfQ", "영상 보기 ▶")</f>
        <v/>
      </c>
    </row>
    <row r="1672" ht="26" customHeight="1">
      <c r="A1672" s="2" t="n">
        <v>1671</v>
      </c>
      <c r="B1672" s="3" t="inlineStr">
        <is>
          <t>총정리 34탄</t>
        </is>
      </c>
      <c r="C1672" s="3" t="inlineStr">
        <is>
          <t>실전회화/표현</t>
        </is>
      </c>
      <c r="D1672" s="4" t="inlineStr">
        <is>
          <t>intense</t>
        </is>
      </c>
      <c r="E1672" s="11" t="inlineStr">
        <is>
          <t>심한, 격렬한</t>
        </is>
      </c>
      <c r="F1672" s="11" t="inlineStr">
        <is>
          <t>That's so intense.</t>
        </is>
      </c>
      <c r="G1672" s="11" t="inlineStr">
        <is>
          <t>진짜 장난 아니다.</t>
        </is>
      </c>
      <c r="H1672" s="5">
        <f>HYPERLINK("https://www.youtube.com/watch?v=5NOqOeZdtfQ", "영상 보기 ▶")</f>
        <v/>
      </c>
    </row>
    <row r="1673" ht="26" customHeight="1">
      <c r="A1673" s="6" t="n">
        <v>1672</v>
      </c>
      <c r="B1673" s="7" t="inlineStr">
        <is>
          <t>총정리 34탄</t>
        </is>
      </c>
      <c r="C1673" s="7" t="inlineStr">
        <is>
          <t>실전회화/표현</t>
        </is>
      </c>
      <c r="D1673" s="8" t="inlineStr">
        <is>
          <t>have one's hands full</t>
        </is>
      </c>
      <c r="E1673" s="12" t="inlineStr">
        <is>
          <t>정말 바쁜</t>
        </is>
      </c>
      <c r="F1673" s="12" t="inlineStr">
        <is>
          <t>Sorry, I have my hands full.</t>
        </is>
      </c>
      <c r="G1673" s="12" t="inlineStr">
        <is>
          <t>미안해. 나 정말 바빠.</t>
        </is>
      </c>
      <c r="H1673" s="9">
        <f>HYPERLINK("https://www.youtube.com/watch?v=5NOqOeZdtfQ", "영상 보기 ▶")</f>
        <v/>
      </c>
    </row>
    <row r="1674" ht="26" customHeight="1">
      <c r="A1674" s="2" t="n">
        <v>1673</v>
      </c>
      <c r="B1674" s="3" t="inlineStr">
        <is>
          <t>총정리 34탄</t>
        </is>
      </c>
      <c r="C1674" s="3" t="inlineStr">
        <is>
          <t>실전회화/표현</t>
        </is>
      </c>
      <c r="D1674" s="4" t="inlineStr">
        <is>
          <t>My hands are tied.</t>
        </is>
      </c>
      <c r="E1674" s="11" t="inlineStr">
        <is>
          <t>저도 어쩔 수 없어요.</t>
        </is>
      </c>
      <c r="F1674" s="11" t="inlineStr">
        <is>
          <t>My hands are tied.</t>
        </is>
      </c>
      <c r="G1674" s="11" t="inlineStr">
        <is>
          <t>저도 어쩔 수 없어요.</t>
        </is>
      </c>
      <c r="H1674" s="5">
        <f>HYPERLINK("https://www.youtube.com/watch?v=5NOqOeZdtfQ", "영상 보기 ▶")</f>
        <v/>
      </c>
    </row>
    <row r="1675" ht="26" customHeight="1">
      <c r="A1675" s="6" t="n">
        <v>1674</v>
      </c>
      <c r="B1675" s="7" t="inlineStr">
        <is>
          <t>총정리 34탄</t>
        </is>
      </c>
      <c r="C1675" s="7" t="inlineStr">
        <is>
          <t>실전회화/표현</t>
        </is>
      </c>
      <c r="D1675" s="8" t="inlineStr">
        <is>
          <t>back on track</t>
        </is>
      </c>
      <c r="E1675" s="12" t="inlineStr">
        <is>
          <t>다시 정상으로 돌아온</t>
        </is>
      </c>
      <c r="F1675" s="12" t="inlineStr">
        <is>
          <t>I took some time off, and I'm trying to get my career back on the track.</t>
        </is>
      </c>
      <c r="G1675" s="12" t="inlineStr">
        <is>
          <t>일을 좀 쉬어서 다시 커리어를 복구시키려 노력 중이야.</t>
        </is>
      </c>
      <c r="H1675" s="9">
        <f>HYPERLINK("https://www.youtube.com/watch?v=5NOqOeZdtfQ", "영상 보기 ▶")</f>
        <v/>
      </c>
    </row>
    <row r="1676" ht="26" customHeight="1">
      <c r="A1676" s="2" t="n">
        <v>1675</v>
      </c>
      <c r="B1676" s="3" t="inlineStr">
        <is>
          <t>총정리 34탄</t>
        </is>
      </c>
      <c r="C1676" s="3" t="inlineStr">
        <is>
          <t>실전회화/표현</t>
        </is>
      </c>
      <c r="D1676" s="4" t="inlineStr">
        <is>
          <t>sidetrack (</t>
        </is>
      </c>
      <c r="E1676" s="11" t="inlineStr">
        <is>
          <t>주제, 본론에서) 벗어나다</t>
        </is>
      </c>
      <c r="F1676" s="11" t="inlineStr">
        <is>
          <t>I think we're getting sidetracked here. Let's get back on track.</t>
        </is>
      </c>
      <c r="G1676" s="11" t="inlineStr">
        <is>
          <t>지금 얘기가 딴길로 새고 있는 것 같은데 다시 본론으로 돌아가죠.</t>
        </is>
      </c>
      <c r="H1676" s="5">
        <f>HYPERLINK("https://www.youtube.com/watch?v=5NOqOeZdtfQ", "영상 보기 ▶")</f>
        <v/>
      </c>
    </row>
    <row r="1677" ht="26" customHeight="1">
      <c r="A1677" s="6" t="n">
        <v>1676</v>
      </c>
      <c r="B1677" s="7" t="inlineStr">
        <is>
          <t>총정리 34탄</t>
        </is>
      </c>
      <c r="C1677" s="7" t="inlineStr">
        <is>
          <t>실전회화/표현</t>
        </is>
      </c>
      <c r="D1677" s="8" t="inlineStr">
        <is>
          <t>at best</t>
        </is>
      </c>
      <c r="E1677" s="12" t="inlineStr">
        <is>
          <t>기껏해야, 잘해야</t>
        </is>
      </c>
      <c r="F1677" s="12" t="inlineStr">
        <is>
          <t>It's mediocre at best.</t>
        </is>
      </c>
      <c r="G1677" s="12" t="inlineStr">
        <is>
          <t>기껏해야 평범한 수준이야.</t>
        </is>
      </c>
      <c r="H1677" s="9">
        <f>HYPERLINK("https://www.youtube.com/watch?v=5NOqOeZdtfQ", "영상 보기 ▶")</f>
        <v/>
      </c>
    </row>
    <row r="1678" ht="26" customHeight="1">
      <c r="A1678" s="2" t="n">
        <v>1677</v>
      </c>
      <c r="B1678" s="3" t="inlineStr">
        <is>
          <t>총정리 34탄</t>
        </is>
      </c>
      <c r="C1678" s="3" t="inlineStr">
        <is>
          <t>실전회화/표현</t>
        </is>
      </c>
      <c r="D1678" s="4" t="inlineStr">
        <is>
          <t>tangible</t>
        </is>
      </c>
      <c r="E1678" s="11" t="inlineStr">
        <is>
          <t>명백한, 실질적인</t>
        </is>
      </c>
      <c r="F1678" s="11" t="inlineStr">
        <is>
          <t>I need tangible results.</t>
        </is>
      </c>
      <c r="G1678" s="11" t="inlineStr">
        <is>
          <t>실질적인 결과가 필요해.</t>
        </is>
      </c>
      <c r="H1678" s="5">
        <f>HYPERLINK("https://www.youtube.com/watch?v=5NOqOeZdtfQ", "영상 보기 ▶")</f>
        <v/>
      </c>
    </row>
    <row r="1679" ht="26" customHeight="1">
      <c r="A1679" s="6" t="n">
        <v>1678</v>
      </c>
      <c r="B1679" s="7" t="inlineStr">
        <is>
          <t>총정리 34탄</t>
        </is>
      </c>
      <c r="C1679" s="7" t="inlineStr">
        <is>
          <t>실전회화/표현</t>
        </is>
      </c>
      <c r="D1679" s="8" t="inlineStr">
        <is>
          <t>handy</t>
        </is>
      </c>
      <c r="E1679" s="12" t="inlineStr">
        <is>
          <t>유용한, 편리한</t>
        </is>
      </c>
      <c r="F1679" s="12" t="inlineStr">
        <is>
          <t>It's a very handy slide.</t>
        </is>
      </c>
      <c r="G1679" s="12" t="inlineStr">
        <is>
          <t>진짜 유용한 슬라이드다.</t>
        </is>
      </c>
      <c r="H1679" s="9">
        <f>HYPERLINK("https://www.youtube.com/watch?v=5NOqOeZdtfQ", "영상 보기 ▶")</f>
        <v/>
      </c>
    </row>
    <row r="1680" ht="26" customHeight="1">
      <c r="A1680" s="2" t="n">
        <v>1679</v>
      </c>
      <c r="B1680" s="3" t="inlineStr">
        <is>
          <t>총정리 34탄</t>
        </is>
      </c>
      <c r="C1680" s="3" t="inlineStr">
        <is>
          <t>실전회화/표현</t>
        </is>
      </c>
      <c r="D1680" s="4" t="inlineStr">
        <is>
          <t>the ins and outs</t>
        </is>
      </c>
      <c r="E1680" s="11" t="inlineStr">
        <is>
          <t>구석구석, 속속들이</t>
        </is>
      </c>
      <c r="F1680" s="11" t="inlineStr">
        <is>
          <t>Well, we don't know all the ins and outs.</t>
        </is>
      </c>
      <c r="G1680" s="11" t="inlineStr">
        <is>
          <t>우리가 모든걸 다 알진 않아.</t>
        </is>
      </c>
      <c r="H1680" s="5">
        <f>HYPERLINK("https://www.youtube.com/watch?v=5NOqOeZdtfQ", "영상 보기 ▶")</f>
        <v/>
      </c>
    </row>
    <row r="1681" ht="26" customHeight="1">
      <c r="A1681" s="6" t="n">
        <v>1680</v>
      </c>
      <c r="B1681" s="7" t="inlineStr">
        <is>
          <t>총정리 34탄</t>
        </is>
      </c>
      <c r="C1681" s="7" t="inlineStr">
        <is>
          <t>실전회화/표현</t>
        </is>
      </c>
      <c r="D1681" s="8" t="inlineStr">
        <is>
          <t>rip off the Band-Aid</t>
        </is>
      </c>
      <c r="E1681" s="12" t="inlineStr">
        <is>
          <t>빨리 해버리다</t>
        </is>
      </c>
      <c r="F1681" s="12" t="inlineStr">
        <is>
          <t>I'm gonna rip off the Band-Aid and tell her what's going on.</t>
        </is>
      </c>
      <c r="G1681" s="12" t="inlineStr">
        <is>
          <t>그냥 걔한테 사실을 말해주고 끝내야겠어.</t>
        </is>
      </c>
      <c r="H1681" s="9">
        <f>HYPERLINK("https://www.youtube.com/watch?v=5NOqOeZdtfQ", "영상 보기 ▶")</f>
        <v/>
      </c>
    </row>
    <row r="1682" ht="26" customHeight="1">
      <c r="A1682" s="2" t="n">
        <v>1681</v>
      </c>
      <c r="B1682" s="3" t="inlineStr">
        <is>
          <t>총정리 34탄</t>
        </is>
      </c>
      <c r="C1682" s="3" t="inlineStr">
        <is>
          <t>실전회화/표현</t>
        </is>
      </c>
      <c r="D1682" s="4" t="inlineStr">
        <is>
          <t>rip off</t>
        </is>
      </c>
      <c r="E1682" s="11" t="inlineStr">
        <is>
          <t>뜯어내다, 바가지를 씌우다</t>
        </is>
      </c>
      <c r="F1682" s="11" t="inlineStr">
        <is>
          <t>Do you think I got ripped off?</t>
        </is>
      </c>
      <c r="G1682" s="11" t="inlineStr">
        <is>
          <t>나 바가지 쓴 것 같아?</t>
        </is>
      </c>
      <c r="H1682" s="5">
        <f>HYPERLINK("https://www.youtube.com/watch?v=5NOqOeZdtfQ", "영상 보기 ▶")</f>
        <v/>
      </c>
    </row>
    <row r="1683" ht="26" customHeight="1">
      <c r="A1683" s="6" t="n">
        <v>1682</v>
      </c>
      <c r="B1683" s="7" t="inlineStr">
        <is>
          <t>총정리 34탄</t>
        </is>
      </c>
      <c r="C1683" s="7" t="inlineStr">
        <is>
          <t>실전회화/표현</t>
        </is>
      </c>
      <c r="D1683" s="8" t="inlineStr">
        <is>
          <t>get to work</t>
        </is>
      </c>
      <c r="E1683" s="12" t="inlineStr">
        <is>
          <t>일을 시작하다, 착수하다</t>
        </is>
      </c>
      <c r="F1683" s="12" t="inlineStr">
        <is>
          <t>Okay, let's get to work.</t>
        </is>
      </c>
      <c r="G1683" s="12" t="inlineStr">
        <is>
          <t>좋아, 일을 시작해볼까.</t>
        </is>
      </c>
      <c r="H1683" s="9">
        <f>HYPERLINK("https://www.youtube.com/watch?v=5NOqOeZdtfQ", "영상 보기 ▶")</f>
        <v/>
      </c>
    </row>
    <row r="1684" ht="26" customHeight="1">
      <c r="A1684" s="2" t="n">
        <v>1683</v>
      </c>
      <c r="B1684" s="3" t="inlineStr">
        <is>
          <t>총정리 34탄</t>
        </is>
      </c>
      <c r="C1684" s="3" t="inlineStr">
        <is>
          <t>실전회화/표현</t>
        </is>
      </c>
      <c r="D1684" s="4" t="inlineStr">
        <is>
          <t>hands-on</t>
        </is>
      </c>
      <c r="E1684" s="11" t="inlineStr">
        <is>
          <t>적극 참여하는, 직접 실무에 참가하는</t>
        </is>
      </c>
      <c r="F1684" s="11" t="inlineStr">
        <is>
          <t>He's a very hands-on manager.</t>
        </is>
      </c>
      <c r="G1684" s="11" t="inlineStr">
        <is>
          <t>그는 실무에 적극적으로 참여하는 매니저야.</t>
        </is>
      </c>
      <c r="H1684" s="5">
        <f>HYPERLINK("https://www.youtube.com/watch?v=5NOqOeZdtfQ", "영상 보기 ▶")</f>
        <v/>
      </c>
    </row>
    <row r="1685" ht="26" customHeight="1">
      <c r="A1685" s="6" t="n">
        <v>1684</v>
      </c>
      <c r="B1685" s="7" t="inlineStr">
        <is>
          <t>총정리 34탄</t>
        </is>
      </c>
      <c r="C1685" s="7" t="inlineStr">
        <is>
          <t>실전회화/표현</t>
        </is>
      </c>
      <c r="D1685" s="8" t="inlineStr">
        <is>
          <t>hands-on</t>
        </is>
      </c>
      <c r="E1685" s="12" t="inlineStr">
        <is>
          <t>직접 해보는, 실제의</t>
        </is>
      </c>
      <c r="F1685" s="12" t="inlineStr">
        <is>
          <t>Nothing beats hands-on experience.</t>
        </is>
      </c>
      <c r="G1685" s="12" t="inlineStr">
        <is>
          <t>실전 경험을 해보는게 최고야.</t>
        </is>
      </c>
      <c r="H1685" s="9">
        <f>HYPERLINK("https://www.youtube.com/watch?v=5NOqOeZdtfQ", "영상 보기 ▶")</f>
        <v/>
      </c>
    </row>
    <row r="1686" ht="26" customHeight="1">
      <c r="A1686" s="2" t="n">
        <v>1685</v>
      </c>
      <c r="B1686" s="3" t="inlineStr">
        <is>
          <t>총정리 34탄</t>
        </is>
      </c>
      <c r="C1686" s="3" t="inlineStr">
        <is>
          <t>실전회화/표현</t>
        </is>
      </c>
      <c r="D1686" s="4" t="inlineStr">
        <is>
          <t>hands-off</t>
        </is>
      </c>
      <c r="E1686" s="11" t="inlineStr">
        <is>
          <t>간섭/참견하지 않는</t>
        </is>
      </c>
      <c r="F1686" s="11" t="inlineStr">
        <is>
          <t>Hands-off approach isn't going to help at this point.</t>
        </is>
      </c>
      <c r="G1686" s="11" t="inlineStr">
        <is>
          <t>지금 시점에서 그냥 내버려두는건 아무 도움이 안돼.</t>
        </is>
      </c>
      <c r="H1686" s="5">
        <f>HYPERLINK("https://www.youtube.com/watch?v=5NOqOeZdtfQ", "영상 보기 ▶")</f>
        <v/>
      </c>
    </row>
    <row r="1687" ht="26" customHeight="1">
      <c r="A1687" s="6" t="n">
        <v>1686</v>
      </c>
      <c r="B1687" s="7" t="inlineStr">
        <is>
          <t>총정리 34탄</t>
        </is>
      </c>
      <c r="C1687" s="7" t="inlineStr">
        <is>
          <t>실전회화/표현</t>
        </is>
      </c>
      <c r="D1687" s="8" t="inlineStr">
        <is>
          <t>in one's blood</t>
        </is>
      </c>
      <c r="E1687" s="12" t="inlineStr">
        <is>
          <t>타고나다</t>
        </is>
      </c>
      <c r="F1687" s="12" t="inlineStr">
        <is>
          <t>Sweet talking is not in my blood.</t>
        </is>
      </c>
      <c r="G1687" s="12" t="inlineStr">
        <is>
          <t>난 원래 상냥하게 말하질 못해.</t>
        </is>
      </c>
      <c r="H1687" s="9">
        <f>HYPERLINK("https://www.youtube.com/watch?v=5NOqOeZdtfQ", "영상 보기 ▶")</f>
        <v/>
      </c>
    </row>
    <row r="1688" ht="26" customHeight="1">
      <c r="A1688" s="2" t="n">
        <v>1687</v>
      </c>
      <c r="B1688" s="3" t="inlineStr">
        <is>
          <t>총정리 34탄</t>
        </is>
      </c>
      <c r="C1688" s="3" t="inlineStr">
        <is>
          <t>실전회화/표현</t>
        </is>
      </c>
      <c r="D1688" s="4" t="inlineStr">
        <is>
          <t>sound</t>
        </is>
      </c>
      <c r="E1688" s="11" t="inlineStr">
        <is>
          <t>믿을만한, 타당한, 안전한</t>
        </is>
      </c>
      <c r="F1688" s="11" t="inlineStr">
        <is>
          <t>I should ask Ted. He always gives sound advice.</t>
        </is>
      </c>
      <c r="G1688" s="11" t="inlineStr">
        <is>
          <t>Ted에게 물어보는게 좋겠어. 늘 적절한 조언을 해주거든.</t>
        </is>
      </c>
      <c r="H1688" s="5">
        <f>HYPERLINK("https://www.youtube.com/watch?v=5NOqOeZdtfQ", "영상 보기 ▶")</f>
        <v/>
      </c>
    </row>
    <row r="1689" ht="26" customHeight="1">
      <c r="A1689" s="6" t="n">
        <v>1688</v>
      </c>
      <c r="B1689" s="7" t="inlineStr">
        <is>
          <t>총정리 34탄</t>
        </is>
      </c>
      <c r="C1689" s="7" t="inlineStr">
        <is>
          <t>실전회화/표현</t>
        </is>
      </c>
      <c r="D1689" s="8" t="inlineStr">
        <is>
          <t>solid</t>
        </is>
      </c>
      <c r="E1689" s="12" t="inlineStr">
        <is>
          <t>탄탄한, 알찬, 믿음직한</t>
        </is>
      </c>
      <c r="F1689" s="12" t="inlineStr">
        <is>
          <t>It's a solid plan.</t>
        </is>
      </c>
      <c r="G1689" s="12" t="inlineStr">
        <is>
          <t>빈틈없은 계획인걸.</t>
        </is>
      </c>
      <c r="H1689" s="9">
        <f>HYPERLINK("https://www.youtube.com/watch?v=5NOqOeZdtfQ", "영상 보기 ▶")</f>
        <v/>
      </c>
    </row>
    <row r="1690" ht="26" customHeight="1">
      <c r="A1690" s="2" t="n">
        <v>1689</v>
      </c>
      <c r="B1690" s="3" t="inlineStr">
        <is>
          <t>총정리 34탄</t>
        </is>
      </c>
      <c r="C1690" s="3" t="inlineStr">
        <is>
          <t>실전회화/표현</t>
        </is>
      </c>
      <c r="D1690" s="4" t="inlineStr">
        <is>
          <t>get to ~</t>
        </is>
      </c>
      <c r="E1690" s="11" t="inlineStr">
        <is>
          <t>에 영향을 주다, 짜증나게 하다</t>
        </is>
      </c>
      <c r="F1690" s="11" t="inlineStr">
        <is>
          <t>Don't let her get to you.</t>
        </is>
      </c>
      <c r="G1690" s="11" t="inlineStr">
        <is>
          <t>걔 때문에 속상해 하지마.</t>
        </is>
      </c>
      <c r="H1690" s="5">
        <f>HYPERLINK("https://www.youtube.com/watch?v=5NOqOeZdtfQ", "영상 보기 ▶")</f>
        <v/>
      </c>
    </row>
    <row r="1691" ht="26" customHeight="1">
      <c r="A1691" s="6" t="n">
        <v>1690</v>
      </c>
      <c r="B1691" s="7" t="inlineStr">
        <is>
          <t>총정리 34탄</t>
        </is>
      </c>
      <c r="C1691" s="7" t="inlineStr">
        <is>
          <t>실전회화/표현</t>
        </is>
      </c>
      <c r="D1691" s="8" t="inlineStr">
        <is>
          <t>get in touch</t>
        </is>
      </c>
      <c r="E1691" s="12" t="inlineStr">
        <is>
          <t>연락을 취하다</t>
        </is>
      </c>
      <c r="F1691" s="12" t="inlineStr">
        <is>
          <t>I'll get in touch with IT.</t>
        </is>
      </c>
      <c r="G1691" s="12" t="inlineStr">
        <is>
          <t>기술팀에 연락해볼게요.</t>
        </is>
      </c>
      <c r="H1691" s="9">
        <f>HYPERLINK("https://www.youtube.com/watch?v=5NOqOeZdtfQ", "영상 보기 ▶")</f>
        <v/>
      </c>
    </row>
    <row r="1692" ht="26" customHeight="1">
      <c r="A1692" s="2" t="n">
        <v>1691</v>
      </c>
      <c r="B1692" s="3" t="inlineStr">
        <is>
          <t>총정리 34탄</t>
        </is>
      </c>
      <c r="C1692" s="3" t="inlineStr">
        <is>
          <t>실전회화/표현</t>
        </is>
      </c>
      <c r="D1692" s="4" t="inlineStr">
        <is>
          <t>hands down</t>
        </is>
      </c>
      <c r="E1692" s="11" t="inlineStr">
        <is>
          <t>노력하지 않고, 수월하게</t>
        </is>
      </c>
      <c r="F1692" s="11" t="inlineStr">
        <is>
          <t>They won the game hands down.</t>
        </is>
      </c>
      <c r="G1692" s="11" t="inlineStr">
        <is>
          <t>아주 수월하게 경기에서 이겼어.</t>
        </is>
      </c>
      <c r="H1692" s="5">
        <f>HYPERLINK("https://www.youtube.com/watch?v=5NOqOeZdtfQ", "영상 보기 ▶")</f>
        <v/>
      </c>
    </row>
    <row r="1693" ht="26" customHeight="1">
      <c r="A1693" s="6" t="n">
        <v>1692</v>
      </c>
      <c r="B1693" s="7" t="inlineStr">
        <is>
          <t>총정리 34탄</t>
        </is>
      </c>
      <c r="C1693" s="7" t="inlineStr">
        <is>
          <t>실전회화/표현</t>
        </is>
      </c>
      <c r="D1693" s="8" t="inlineStr">
        <is>
          <t>​hands down</t>
        </is>
      </c>
      <c r="E1693" s="12" t="inlineStr">
        <is>
          <t>명백히, 분명히</t>
        </is>
      </c>
      <c r="F1693" s="12" t="inlineStr">
        <is>
          <t>This is the best pizza I've ever had, hands down.</t>
        </is>
      </c>
      <c r="G1693" s="12" t="inlineStr">
        <is>
          <t>내가 먹어본 피자중에 제일 맛있어. 진짜 리얼.</t>
        </is>
      </c>
      <c r="H1693" s="9">
        <f>HYPERLINK("https://www.youtube.com/watch?v=5NOqOeZdtfQ", "영상 보기 ▶")</f>
        <v/>
      </c>
    </row>
    <row r="1694" ht="26" customHeight="1">
      <c r="A1694" s="2" t="n">
        <v>1693</v>
      </c>
      <c r="B1694" s="3" t="inlineStr">
        <is>
          <t>총정리 34탄</t>
        </is>
      </c>
      <c r="C1694" s="3" t="inlineStr">
        <is>
          <t>실전회화/표현</t>
        </is>
      </c>
      <c r="D1694" s="4" t="inlineStr">
        <is>
          <t>token</t>
        </is>
      </c>
      <c r="E1694" s="11" t="inlineStr">
        <is>
          <t>표시, 징표</t>
        </is>
      </c>
      <c r="F1694" s="11" t="inlineStr">
        <is>
          <t>It's nothing fancy, but it's just a small token of my appreciation.</t>
        </is>
      </c>
      <c r="G1694" s="11" t="inlineStr">
        <is>
          <t>비싼건 아닌데, 작은 감사의 표시야.</t>
        </is>
      </c>
      <c r="H1694" s="5">
        <f>HYPERLINK("https://www.youtube.com/watch?v=5NOqOeZdtfQ", "영상 보기 ▶")</f>
        <v/>
      </c>
    </row>
    <row r="1695" ht="26" customHeight="1">
      <c r="A1695" s="6" t="n">
        <v>1694</v>
      </c>
      <c r="B1695" s="7" t="inlineStr">
        <is>
          <t>총정리 34탄</t>
        </is>
      </c>
      <c r="C1695" s="7" t="inlineStr">
        <is>
          <t>실전회화/표현</t>
        </is>
      </c>
      <c r="D1695" s="8" t="inlineStr">
        <is>
          <t>You name it.</t>
        </is>
      </c>
      <c r="E1695" s="12" t="inlineStr">
        <is>
          <t>뭐든 말만해.</t>
        </is>
      </c>
      <c r="F1695" s="12" t="inlineStr">
        <is>
          <t>Is there anything I can do? Anything, you name it.</t>
        </is>
      </c>
      <c r="G1695" s="12" t="inlineStr">
        <is>
          <t>내가 도와줄거 있어? 뭐든 말만해.</t>
        </is>
      </c>
      <c r="H1695" s="9">
        <f>HYPERLINK("https://www.youtube.com/watch?v=5NOqOeZdtfQ", "영상 보기 ▶")</f>
        <v/>
      </c>
    </row>
    <row r="1696" ht="26" customHeight="1">
      <c r="A1696" s="2" t="n">
        <v>1695</v>
      </c>
      <c r="B1696" s="3" t="inlineStr">
        <is>
          <t>총정리 34탄</t>
        </is>
      </c>
      <c r="C1696" s="3" t="inlineStr">
        <is>
          <t>실전회화/표현</t>
        </is>
      </c>
      <c r="D1696" s="4" t="inlineStr">
        <is>
          <t>at stake</t>
        </is>
      </c>
      <c r="E1696" s="11" t="inlineStr">
        <is>
          <t>성패가 달린, 위태로운</t>
        </is>
      </c>
      <c r="F1696" s="11" t="inlineStr">
        <is>
          <t>I can't sign off on this deal. There's too much at stake.</t>
        </is>
      </c>
      <c r="G1696" s="11" t="inlineStr">
        <is>
          <t>이 거래는 허락할 수 없어. 잃을게 너무 많아.</t>
        </is>
      </c>
      <c r="H1696" s="5">
        <f>HYPERLINK("https://www.youtube.com/watch?v=5NOqOeZdtfQ", "영상 보기 ▶")</f>
        <v/>
      </c>
    </row>
    <row r="1697" ht="26" customHeight="1">
      <c r="A1697" s="6" t="n">
        <v>1696</v>
      </c>
      <c r="B1697" s="7" t="inlineStr">
        <is>
          <t>총정리 34탄</t>
        </is>
      </c>
      <c r="C1697" s="7" t="inlineStr">
        <is>
          <t>실전회화/표현</t>
        </is>
      </c>
      <c r="D1697" s="8" t="inlineStr">
        <is>
          <t>get ~</t>
        </is>
      </c>
      <c r="E1697" s="12" t="inlineStr">
        <is>
          <t>한 상태가 되다</t>
        </is>
      </c>
      <c r="F1697" s="12" t="inlineStr">
        <is>
          <t>Well, it's getting late. Let's call it a day.</t>
        </is>
      </c>
      <c r="G1697" s="12" t="inlineStr">
        <is>
          <t>밤이 깊어가니 오늘은 여기까지 하자.</t>
        </is>
      </c>
      <c r="H1697" s="9">
        <f>HYPERLINK("https://www.youtube.com/watch?v=5NOqOeZdtfQ", "영상 보기 ▶")</f>
        <v/>
      </c>
    </row>
    <row r="1698" ht="26" customHeight="1">
      <c r="A1698" s="2" t="n">
        <v>1697</v>
      </c>
      <c r="B1698" s="3" t="inlineStr">
        <is>
          <t>총정리 34탄</t>
        </is>
      </c>
      <c r="C1698" s="3" t="inlineStr">
        <is>
          <t>실전회화/표현</t>
        </is>
      </c>
      <c r="D1698" s="4" t="inlineStr">
        <is>
          <t>There's no way ~</t>
        </is>
      </c>
      <c r="E1698" s="11" t="inlineStr">
        <is>
          <t>할 리가 없어.</t>
        </is>
      </c>
      <c r="F1698" s="11" t="inlineStr">
        <is>
          <t>There's no way she's going to sign off on that.</t>
        </is>
      </c>
      <c r="G1698" s="11" t="inlineStr">
        <is>
          <t>그걸 그녀가 승인할 리가 없어.</t>
        </is>
      </c>
      <c r="H1698" s="5">
        <f>HYPERLINK("https://www.youtube.com/watch?v=5NOqOeZdtfQ", "영상 보기 ▶")</f>
        <v/>
      </c>
    </row>
    <row r="1699" ht="26" customHeight="1">
      <c r="A1699" s="6" t="n">
        <v>1698</v>
      </c>
      <c r="B1699" s="7" t="inlineStr">
        <is>
          <t>총정리 34탄</t>
        </is>
      </c>
      <c r="C1699" s="7" t="inlineStr">
        <is>
          <t>실전회화/표현</t>
        </is>
      </c>
      <c r="D1699" s="8" t="inlineStr">
        <is>
          <t>be on board</t>
        </is>
      </c>
      <c r="E1699" s="12" t="inlineStr">
        <is>
          <t>동참하다</t>
        </is>
      </c>
      <c r="F1699" s="12" t="inlineStr">
        <is>
          <t>He's not on board yet, but he'll get there.</t>
        </is>
      </c>
      <c r="G1699" s="12" t="inlineStr">
        <is>
          <t>아직 우리 의견에 찬성하지 않았지만, 곧 그렇게 될거야.</t>
        </is>
      </c>
      <c r="H1699" s="9">
        <f>HYPERLINK("https://www.youtube.com/watch?v=5NOqOeZdtfQ", "영상 보기 ▶")</f>
        <v/>
      </c>
    </row>
    <row r="1700" ht="26" customHeight="1">
      <c r="A1700" s="2" t="n">
        <v>1699</v>
      </c>
      <c r="B1700" s="3" t="inlineStr">
        <is>
          <t>총정리 34탄</t>
        </is>
      </c>
      <c r="C1700" s="3" t="inlineStr">
        <is>
          <t>실전회화/표현</t>
        </is>
      </c>
      <c r="D1700" s="4" t="inlineStr">
        <is>
          <t>I can tell ~</t>
        </is>
      </c>
      <c r="E1700" s="11" t="inlineStr">
        <is>
          <t>라는 걸 알 수 있어</t>
        </is>
      </c>
      <c r="F1700" s="11" t="inlineStr">
        <is>
          <t>I can tell this isn't your first rodeo.</t>
        </is>
      </c>
      <c r="G1700" s="11" t="inlineStr">
        <is>
          <t>처음이 아니신가봐요.</t>
        </is>
      </c>
      <c r="H1700" s="5">
        <f>HYPERLINK("https://www.youtube.com/watch?v=5NOqOeZdtfQ", "영상 보기 ▶")</f>
        <v/>
      </c>
    </row>
    <row r="1701" ht="26" customHeight="1">
      <c r="A1701" s="6" t="n">
        <v>1700</v>
      </c>
      <c r="B1701" s="7" t="inlineStr">
        <is>
          <t>총정리 34탄</t>
        </is>
      </c>
      <c r="C1701" s="7" t="inlineStr">
        <is>
          <t>실전회화/표현</t>
        </is>
      </c>
      <c r="D1701" s="8" t="inlineStr">
        <is>
          <t>It's all in good fun.</t>
        </is>
      </c>
      <c r="E1701" s="12" t="inlineStr">
        <is>
          <t>재밌자고 하는 거야.</t>
        </is>
      </c>
      <c r="F1701" s="12" t="inlineStr">
        <is>
          <t>A: I'm sorry if I upset you.</t>
        </is>
      </c>
      <c r="G1701" s="12" t="inlineStr">
        <is>
          <t>속상하게 했다면 미안해.</t>
        </is>
      </c>
      <c r="H1701" s="9">
        <f>HYPERLINK("https://www.youtube.com/watch?v=5NOqOeZdtfQ", "영상 보기 ▶")</f>
        <v/>
      </c>
    </row>
    <row r="1702" ht="26" customHeight="1">
      <c r="A1702" s="2" t="n">
        <v>1701</v>
      </c>
      <c r="B1702" s="3" t="inlineStr">
        <is>
          <t>총정리 35탄</t>
        </is>
      </c>
      <c r="C1702" s="3" t="inlineStr">
        <is>
          <t>의견/의사결정</t>
        </is>
      </c>
      <c r="D1702" s="4" t="inlineStr">
        <is>
          <t>be all for ~</t>
        </is>
      </c>
      <c r="E1702" s="11" t="inlineStr">
        <is>
          <t>에 대찬성이다, 전적으로 동의/지지하다</t>
        </is>
      </c>
      <c r="F1702" s="11" t="inlineStr">
        <is>
          <t>I’m all for that idea.</t>
        </is>
      </c>
      <c r="G1702" s="11" t="inlineStr">
        <is>
          <t>난 그 아이디어에 대찬성이야.</t>
        </is>
      </c>
      <c r="H1702" s="5">
        <f>HYPERLINK("https://www.youtube.com/watch?v=p75ZLLE9ZIw", "영상 보기 ▶")</f>
        <v/>
      </c>
    </row>
    <row r="1703" ht="26" customHeight="1">
      <c r="A1703" s="6" t="n">
        <v>1702</v>
      </c>
      <c r="B1703" s="7" t="inlineStr">
        <is>
          <t>총정리 35탄</t>
        </is>
      </c>
      <c r="C1703" s="7" t="inlineStr">
        <is>
          <t>의견/의사결정</t>
        </is>
      </c>
      <c r="D1703" s="8" t="inlineStr">
        <is>
          <t>be against ~</t>
        </is>
      </c>
      <c r="E1703" s="12" t="inlineStr">
        <is>
          <t>에 반대하다</t>
        </is>
      </c>
      <c r="F1703" s="12" t="inlineStr">
        <is>
          <t>Are you for or against it?</t>
        </is>
      </c>
      <c r="G1703" s="12" t="inlineStr">
        <is>
          <t>찬성하시나요, 반대하시나요?</t>
        </is>
      </c>
      <c r="H1703" s="9">
        <f>HYPERLINK("https://www.youtube.com/watch?v=p75ZLLE9ZIw", "영상 보기 ▶")</f>
        <v/>
      </c>
    </row>
    <row r="1704" ht="26" customHeight="1">
      <c r="A1704" s="2" t="n">
        <v>1703</v>
      </c>
      <c r="B1704" s="3" t="inlineStr">
        <is>
          <t>총정리 35탄</t>
        </is>
      </c>
      <c r="C1704" s="3" t="inlineStr">
        <is>
          <t>실전회화/표현</t>
        </is>
      </c>
      <c r="D1704" s="4" t="inlineStr">
        <is>
          <t>out of the question</t>
        </is>
      </c>
      <c r="E1704" s="11" t="inlineStr">
        <is>
          <t>불가능한, 의논해봐야 소용없는</t>
        </is>
      </c>
      <c r="F1704" s="11" t="inlineStr">
        <is>
          <t>We can’t ask her to do that. It’s out of the question.</t>
        </is>
      </c>
      <c r="G1704" s="11" t="inlineStr">
        <is>
          <t>그렇게 부탁할 수 없어. 말도 안되는 소리야.</t>
        </is>
      </c>
      <c r="H1704" s="5">
        <f>HYPERLINK("https://www.youtube.com/watch?v=p75ZLLE9ZIw", "영상 보기 ▶")</f>
        <v/>
      </c>
    </row>
    <row r="1705" ht="26" customHeight="1">
      <c r="A1705" s="6" t="n">
        <v>1704</v>
      </c>
      <c r="B1705" s="7" t="inlineStr">
        <is>
          <t>총정리 35탄</t>
        </is>
      </c>
      <c r="C1705" s="7" t="inlineStr">
        <is>
          <t>실전회화/표현</t>
        </is>
      </c>
      <c r="D1705" s="8" t="inlineStr">
        <is>
          <t>The</t>
        </is>
      </c>
      <c r="E1705" s="12" t="inlineStr">
        <is>
          <t>비교급, the 비교급 ~할수록 더 ~하다</t>
        </is>
      </c>
      <c r="F1705" s="12" t="inlineStr">
        <is>
          <t>A: When do you need it by?</t>
        </is>
      </c>
      <c r="G1705" s="12" t="inlineStr">
        <is>
          <t>언제까지 필요한데?</t>
        </is>
      </c>
      <c r="H1705" s="9">
        <f>HYPERLINK("https://www.youtube.com/watch?v=p75ZLLE9ZIw", "영상 보기 ▶")</f>
        <v/>
      </c>
    </row>
    <row r="1706" ht="26" customHeight="1">
      <c r="A1706" s="2" t="n">
        <v>1705</v>
      </c>
      <c r="B1706" s="3" t="inlineStr">
        <is>
          <t>총정리 35탄</t>
        </is>
      </c>
      <c r="C1706" s="3" t="inlineStr">
        <is>
          <t>공감/감정</t>
        </is>
      </c>
      <c r="D1706" s="4" t="inlineStr">
        <is>
          <t>If it’s any consolation</t>
        </is>
      </c>
      <c r="E1706" s="11" t="inlineStr">
        <is>
          <t>위로가 될진 모르겠지만</t>
        </is>
      </c>
      <c r="F1706" s="11" t="inlineStr">
        <is>
          <t>A: He didn’t like what I put together.</t>
        </is>
      </c>
      <c r="G1706" s="11" t="inlineStr">
        <is>
          <t>내가 준비한게 마음에 안 든대.</t>
        </is>
      </c>
      <c r="H1706" s="5">
        <f>HYPERLINK("https://www.youtube.com/watch?v=p75ZLLE9ZIw", "영상 보기 ▶")</f>
        <v/>
      </c>
    </row>
    <row r="1707" ht="26" customHeight="1">
      <c r="A1707" s="6" t="n">
        <v>1706</v>
      </c>
      <c r="B1707" s="7" t="inlineStr">
        <is>
          <t>총정리 35탄</t>
        </is>
      </c>
      <c r="C1707" s="7" t="inlineStr">
        <is>
          <t>실전회화/표현</t>
        </is>
      </c>
      <c r="D1707" s="8" t="inlineStr">
        <is>
          <t>rather</t>
        </is>
      </c>
      <c r="E1707" s="12" t="inlineStr">
        <is>
          <t>어느 정도, 다소, 꽤 (&amp;#x3D; pretty)</t>
        </is>
      </c>
      <c r="F1707" s="12" t="inlineStr">
        <is>
          <t>Let’s call her tomorrow. It’s rather late.</t>
        </is>
      </c>
      <c r="G1707" s="12" t="inlineStr">
        <is>
          <t>시간이 꽤나 늦었으니 내일 전화하자.</t>
        </is>
      </c>
      <c r="H1707" s="9">
        <f>HYPERLINK("https://www.youtube.com/watch?v=p75ZLLE9ZIw", "영상 보기 ▶")</f>
        <v/>
      </c>
    </row>
    <row r="1708" ht="26" customHeight="1">
      <c r="A1708" s="2" t="n">
        <v>1707</v>
      </c>
      <c r="B1708" s="3" t="inlineStr">
        <is>
          <t>총정리 35탄</t>
        </is>
      </c>
      <c r="C1708" s="3" t="inlineStr">
        <is>
          <t>실전회화/표현</t>
        </is>
      </c>
      <c r="D1708" s="4" t="inlineStr">
        <is>
          <t>rather than ~</t>
        </is>
      </c>
      <c r="E1708" s="11" t="inlineStr">
        <is>
          <t>이기보다는 오히려, 차라리</t>
        </is>
      </c>
      <c r="F1708" s="11" t="inlineStr">
        <is>
          <t>Rather than doing this over the phone, why don’t I come by your office tomorrow?</t>
        </is>
      </c>
      <c r="G1708" s="11" t="inlineStr">
        <is>
          <t>전화로 하는 것 보단 내일 제가 사무실에 들르는게 어떨까요?</t>
        </is>
      </c>
      <c r="H1708" s="5">
        <f>HYPERLINK("https://www.youtube.com/watch?v=p75ZLLE9ZIw", "영상 보기 ▶")</f>
        <v/>
      </c>
    </row>
    <row r="1709" ht="26" customHeight="1">
      <c r="A1709" s="6" t="n">
        <v>1708</v>
      </c>
      <c r="B1709" s="7" t="inlineStr">
        <is>
          <t>총정리 35탄</t>
        </is>
      </c>
      <c r="C1709" s="7" t="inlineStr">
        <is>
          <t>실전회화/표현</t>
        </is>
      </c>
      <c r="D1709" s="8" t="inlineStr">
        <is>
          <t>end up</t>
        </is>
      </c>
      <c r="E1709" s="12" t="inlineStr">
        <is>
          <t>결국 ~하게 되다</t>
        </is>
      </c>
      <c r="F1709" s="12" t="inlineStr">
        <is>
          <t>I ended up working the whole weekend.</t>
        </is>
      </c>
      <c r="G1709" s="12" t="inlineStr">
        <is>
          <t>결국 주말 내내 일했어.</t>
        </is>
      </c>
      <c r="H1709" s="9">
        <f>HYPERLINK("https://www.youtube.com/watch?v=p75ZLLE9ZIw", "영상 보기 ▶")</f>
        <v/>
      </c>
    </row>
    <row r="1710" ht="26" customHeight="1">
      <c r="A1710" s="2" t="n">
        <v>1709</v>
      </c>
      <c r="B1710" s="3" t="inlineStr">
        <is>
          <t>총정리 35탄</t>
        </is>
      </c>
      <c r="C1710" s="3" t="inlineStr">
        <is>
          <t>실전회화/표현</t>
        </is>
      </c>
      <c r="D1710" s="4" t="inlineStr">
        <is>
          <t>part of me</t>
        </is>
      </c>
      <c r="E1710" s="11" t="inlineStr">
        <is>
          <t>한편으로는, 내심</t>
        </is>
      </c>
      <c r="F1710" s="11" t="inlineStr">
        <is>
          <t>A: Do you trust her?</t>
        </is>
      </c>
      <c r="G1710" s="11" t="inlineStr">
        <is>
          <t>넌 그녀를 믿어?</t>
        </is>
      </c>
      <c r="H1710" s="5">
        <f>HYPERLINK("https://www.youtube.com/watch?v=p75ZLLE9ZIw", "영상 보기 ▶")</f>
        <v/>
      </c>
    </row>
    <row r="1711" ht="26" customHeight="1">
      <c r="A1711" s="6" t="n">
        <v>1710</v>
      </c>
      <c r="B1711" s="7" t="inlineStr">
        <is>
          <t>총정리 35탄</t>
        </is>
      </c>
      <c r="C1711" s="7" t="inlineStr">
        <is>
          <t>실전회화/표현</t>
        </is>
      </c>
      <c r="D1711" s="8" t="inlineStr">
        <is>
          <t>explore</t>
        </is>
      </c>
      <c r="E1711" s="12" t="inlineStr">
        <is>
          <t>자세히 조사하다, 잘 알아보다</t>
        </is>
      </c>
      <c r="F1711" s="12" t="inlineStr">
        <is>
          <t>A: I don't think that would work.</t>
        </is>
      </c>
      <c r="G1711" s="12" t="inlineStr">
        <is>
          <t>그건 안 될 것 같아.</t>
        </is>
      </c>
      <c r="H1711" s="9">
        <f>HYPERLINK("https://www.youtube.com/watch?v=p75ZLLE9ZIw", "영상 보기 ▶")</f>
        <v/>
      </c>
    </row>
    <row r="1712" ht="26" customHeight="1">
      <c r="A1712" s="2" t="n">
        <v>1711</v>
      </c>
      <c r="B1712" s="3" t="inlineStr">
        <is>
          <t>총정리 35탄</t>
        </is>
      </c>
      <c r="C1712" s="3" t="inlineStr">
        <is>
          <t>실전회화/표현</t>
        </is>
      </c>
      <c r="D1712" s="4" t="inlineStr">
        <is>
          <t>go above and beyond</t>
        </is>
      </c>
      <c r="E1712" s="11" t="inlineStr">
        <is>
          <t>필요/기대이상으로 일을 하다</t>
        </is>
      </c>
      <c r="F1712" s="11" t="inlineStr">
        <is>
          <t>It's my all-time favorite restaurant. They go above and beyond on their service.</t>
        </is>
      </c>
      <c r="G1712" s="11" t="inlineStr">
        <is>
          <t>거기 내 최애 맛집이야. 서비스에 있어서 최선을 다해.</t>
        </is>
      </c>
      <c r="H1712" s="5">
        <f>HYPERLINK("https://www.youtube.com/watch?v=p75ZLLE9ZIw", "영상 보기 ▶")</f>
        <v/>
      </c>
    </row>
    <row r="1713" ht="26" customHeight="1">
      <c r="A1713" s="6" t="n">
        <v>1712</v>
      </c>
      <c r="B1713" s="7" t="inlineStr">
        <is>
          <t>총정리 35탄</t>
        </is>
      </c>
      <c r="C1713" s="7" t="inlineStr">
        <is>
          <t>실전회화/표현</t>
        </is>
      </c>
      <c r="D1713" s="8" t="inlineStr">
        <is>
          <t>nothing but</t>
        </is>
      </c>
      <c r="E1713" s="12" t="inlineStr">
        <is>
          <t>오직, 그저 ~일 뿐인</t>
        </is>
      </c>
      <c r="F1713" s="12" t="inlineStr">
        <is>
          <t>I wish nothing but the best for you. I mean it.</t>
        </is>
      </c>
      <c r="G1713" s="12" t="inlineStr">
        <is>
          <t>네게 좋은 일만 있길 바라. 진심이야.</t>
        </is>
      </c>
      <c r="H1713" s="9">
        <f>HYPERLINK("https://www.youtube.com/watch?v=p75ZLLE9ZIw", "영상 보기 ▶")</f>
        <v/>
      </c>
    </row>
    <row r="1714" ht="26" customHeight="1">
      <c r="A1714" s="2" t="n">
        <v>1713</v>
      </c>
      <c r="B1714" s="3" t="inlineStr">
        <is>
          <t>총정리 35탄</t>
        </is>
      </c>
      <c r="C1714" s="3" t="inlineStr">
        <is>
          <t>실전회화/표현</t>
        </is>
      </c>
      <c r="D1714" s="4" t="inlineStr">
        <is>
          <t>anything but</t>
        </is>
      </c>
      <c r="E1714" s="11" t="inlineStr">
        <is>
          <t>결코 ~가 아닌, 전혀 ~하지 않은</t>
        </is>
      </c>
      <c r="F1714" s="11" t="inlineStr">
        <is>
          <t>A: What do you want on your bagel?</t>
        </is>
      </c>
      <c r="G1714" s="11" t="inlineStr">
        <is>
          <t>베이글에 뭐 추가할래?</t>
        </is>
      </c>
      <c r="H1714" s="5">
        <f>HYPERLINK("https://www.youtube.com/watch?v=p75ZLLE9ZIw", "영상 보기 ▶")</f>
        <v/>
      </c>
    </row>
    <row r="1715" ht="26" customHeight="1">
      <c r="A1715" s="6" t="n">
        <v>1714</v>
      </c>
      <c r="B1715" s="7" t="inlineStr">
        <is>
          <t>총정리 35탄</t>
        </is>
      </c>
      <c r="C1715" s="7" t="inlineStr">
        <is>
          <t>실전회화/표현</t>
        </is>
      </c>
      <c r="D1715" s="8" t="inlineStr">
        <is>
          <t>never + anything but ~</t>
        </is>
      </c>
      <c r="E1715" s="12" t="inlineStr">
        <is>
          <t>하지 않은 적이 없는</t>
        </is>
      </c>
      <c r="F1715" s="12" t="inlineStr">
        <is>
          <t>He's never been anything but nice to me.</t>
        </is>
      </c>
      <c r="G1715" s="12" t="inlineStr">
        <is>
          <t>그 사람은 나에게 항상 친절하기만 했어.</t>
        </is>
      </c>
      <c r="H1715" s="9">
        <f>HYPERLINK("https://www.youtube.com/watch?v=p75ZLLE9ZIw", "영상 보기 ▶")</f>
        <v/>
      </c>
    </row>
    <row r="1716" ht="26" customHeight="1">
      <c r="A1716" s="2" t="n">
        <v>1715</v>
      </c>
      <c r="B1716" s="3" t="inlineStr">
        <is>
          <t>총정리 35탄</t>
        </is>
      </c>
      <c r="C1716" s="3" t="inlineStr">
        <is>
          <t>실전회화/표현</t>
        </is>
      </c>
      <c r="D1716" s="4" t="inlineStr">
        <is>
          <t>walk on eggshells</t>
        </is>
      </c>
      <c r="E1716" s="11" t="inlineStr">
        <is>
          <t>조심스럽게 행동하다, 눈치보다</t>
        </is>
      </c>
      <c r="F1716" s="11" t="inlineStr">
        <is>
          <t>Ted's in a mood. We have to walk on eggshells around him today.</t>
        </is>
      </c>
      <c r="G1716" s="11" t="inlineStr">
        <is>
          <t>Ted가 오늘 기분이 좋지 않아. 조심히 행동해야 해.</t>
        </is>
      </c>
      <c r="H1716" s="5">
        <f>HYPERLINK("https://www.youtube.com/watch?v=p75ZLLE9ZIw", "영상 보기 ▶")</f>
        <v/>
      </c>
    </row>
    <row r="1717" ht="26" customHeight="1">
      <c r="A1717" s="6" t="n">
        <v>1716</v>
      </c>
      <c r="B1717" s="7" t="inlineStr">
        <is>
          <t>총정리 35탄</t>
        </is>
      </c>
      <c r="C1717" s="7" t="inlineStr">
        <is>
          <t>실전회화/표현</t>
        </is>
      </c>
      <c r="D1717" s="8" t="inlineStr">
        <is>
          <t>material</t>
        </is>
      </c>
      <c r="E1717" s="12" t="inlineStr">
        <is>
          <t>자질, 감</t>
        </is>
      </c>
      <c r="F1717" s="12" t="inlineStr">
        <is>
          <t>He's marriage material.</t>
        </is>
      </c>
      <c r="G1717" s="12" t="inlineStr">
        <is>
          <t>그는 결혼감이야.</t>
        </is>
      </c>
      <c r="H1717" s="9">
        <f>HYPERLINK("https://www.youtube.com/watch?v=p75ZLLE9ZIw", "영상 보기 ▶")</f>
        <v/>
      </c>
    </row>
    <row r="1718" ht="26" customHeight="1">
      <c r="A1718" s="2" t="n">
        <v>1717</v>
      </c>
      <c r="B1718" s="3" t="inlineStr">
        <is>
          <t>총정리 35탄</t>
        </is>
      </c>
      <c r="C1718" s="3" t="inlineStr">
        <is>
          <t>공감/감정</t>
        </is>
      </c>
      <c r="D1718" s="4" t="inlineStr">
        <is>
          <t>blend in</t>
        </is>
      </c>
      <c r="E1718" s="11" t="inlineStr">
        <is>
          <t>어울리다, 조화를 이루다</t>
        </is>
      </c>
      <c r="F1718" s="11" t="inlineStr">
        <is>
          <t>I knew you'd blend right in.</t>
        </is>
      </c>
      <c r="G1718" s="11" t="inlineStr">
        <is>
          <t>네가 잘 적응할 줄 알았어.</t>
        </is>
      </c>
      <c r="H1718" s="5">
        <f>HYPERLINK("https://www.youtube.com/watch?v=p75ZLLE9ZIw", "영상 보기 ▶")</f>
        <v/>
      </c>
    </row>
    <row r="1719" ht="26" customHeight="1">
      <c r="A1719" s="6" t="n">
        <v>1718</v>
      </c>
      <c r="B1719" s="7" t="inlineStr">
        <is>
          <t>총정리 35탄</t>
        </is>
      </c>
      <c r="C1719" s="7" t="inlineStr">
        <is>
          <t>실전회화/표현</t>
        </is>
      </c>
      <c r="D1719" s="8" t="inlineStr">
        <is>
          <t>stand out</t>
        </is>
      </c>
      <c r="E1719" s="12" t="inlineStr">
        <is>
          <t>눈에 띄다, 두드러지다</t>
        </is>
      </c>
      <c r="F1719" s="12" t="inlineStr">
        <is>
          <t>The first thing that stood out to me was the color.</t>
        </is>
      </c>
      <c r="G1719" s="12" t="inlineStr">
        <is>
          <t>색상이 가장 눈에 띄었어요.</t>
        </is>
      </c>
      <c r="H1719" s="9">
        <f>HYPERLINK("https://www.youtube.com/watch?v=p75ZLLE9ZIw", "영상 보기 ▶")</f>
        <v/>
      </c>
    </row>
    <row r="1720" ht="26" customHeight="1">
      <c r="A1720" s="2" t="n">
        <v>1719</v>
      </c>
      <c r="B1720" s="3" t="inlineStr">
        <is>
          <t>총정리 35탄</t>
        </is>
      </c>
      <c r="C1720" s="3" t="inlineStr">
        <is>
          <t>실전회화/표현</t>
        </is>
      </c>
      <c r="D1720" s="4" t="inlineStr">
        <is>
          <t>root for ~</t>
        </is>
      </c>
      <c r="E1720" s="11" t="inlineStr">
        <is>
          <t>를 응원하다</t>
        </is>
      </c>
      <c r="F1720" s="11" t="inlineStr">
        <is>
          <t>Good luck with your interview. I'm rooting for you.</t>
        </is>
      </c>
      <c r="G1720" s="11" t="inlineStr">
        <is>
          <t>면접 잘 봤으면 좋겠어. 널 응원해.</t>
        </is>
      </c>
      <c r="H1720" s="5">
        <f>HYPERLINK("https://www.youtube.com/watch?v=p75ZLLE9ZIw", "영상 보기 ▶")</f>
        <v/>
      </c>
    </row>
    <row r="1721" ht="26" customHeight="1">
      <c r="A1721" s="6" t="n">
        <v>1720</v>
      </c>
      <c r="B1721" s="7" t="inlineStr">
        <is>
          <t>총정리 35탄</t>
        </is>
      </c>
      <c r="C1721" s="7" t="inlineStr">
        <is>
          <t>실전회화/표현</t>
        </is>
      </c>
      <c r="D1721" s="8" t="inlineStr">
        <is>
          <t>Good luck, not that you need it.</t>
        </is>
      </c>
      <c r="E1721" s="12" t="inlineStr">
        <is>
          <t>행운을 빌어, 실력이 워낙 좋으니 필요 없겠지만!</t>
        </is>
      </c>
      <c r="F1721" s="12" t="inlineStr">
        <is>
          <t>Good luck on the interview, not that you need it!</t>
        </is>
      </c>
      <c r="G1721" s="12" t="inlineStr">
        <is>
          <t>면접 잘 봐, 실력이 워낙 출중하니 행운 따위 필요 없겠지만!</t>
        </is>
      </c>
      <c r="H1721" s="9">
        <f>HYPERLINK("https://www.youtube.com/watch?v=p75ZLLE9ZIw", "영상 보기 ▶")</f>
        <v/>
      </c>
    </row>
    <row r="1722" ht="26" customHeight="1">
      <c r="A1722" s="2" t="n">
        <v>1721</v>
      </c>
      <c r="B1722" s="3" t="inlineStr">
        <is>
          <t>총정리 35탄</t>
        </is>
      </c>
      <c r="C1722" s="3" t="inlineStr">
        <is>
          <t>실전회화/표현</t>
        </is>
      </c>
      <c r="D1722" s="4" t="inlineStr">
        <is>
          <t>sooner rather than later</t>
        </is>
      </c>
      <c r="E1722" s="11" t="inlineStr">
        <is>
          <t>더 늦기 전에, 조만간, 머지 않아</t>
        </is>
      </c>
      <c r="F1722" s="11" t="inlineStr">
        <is>
          <t>It's better to do it sooner rather than later.</t>
        </is>
      </c>
      <c r="G1722" s="11" t="inlineStr">
        <is>
          <t>나중에 하는 것보단 차라리 일찌감치 하는게 나아.</t>
        </is>
      </c>
      <c r="H1722" s="5">
        <f>HYPERLINK("https://www.youtube.com/watch?v=p75ZLLE9ZIw", "영상 보기 ▶")</f>
        <v/>
      </c>
    </row>
    <row r="1723" ht="26" customHeight="1">
      <c r="A1723" s="6" t="n">
        <v>1722</v>
      </c>
      <c r="B1723" s="7" t="inlineStr">
        <is>
          <t>총정리 35탄</t>
        </is>
      </c>
      <c r="C1723" s="7" t="inlineStr">
        <is>
          <t>실전회화/표현</t>
        </is>
      </c>
      <c r="D1723" s="8" t="inlineStr">
        <is>
          <t>kick off</t>
        </is>
      </c>
      <c r="E1723" s="12" t="inlineStr">
        <is>
          <t>시작하다</t>
        </is>
      </c>
      <c r="F1723" s="12" t="inlineStr">
        <is>
          <t>I like to work out in the morning. It's a great way to kick off my day.</t>
        </is>
      </c>
      <c r="G1723" s="12" t="inlineStr">
        <is>
          <t>난 아침에 운동하는게 좋더라고. 하루를 활기차게 시작하는데 좋은 방법인 것 같아.</t>
        </is>
      </c>
      <c r="H1723" s="9">
        <f>HYPERLINK("https://www.youtube.com/watch?v=p75ZLLE9ZIw", "영상 보기 ▶")</f>
        <v/>
      </c>
    </row>
    <row r="1724" ht="26" customHeight="1">
      <c r="A1724" s="2" t="n">
        <v>1723</v>
      </c>
      <c r="B1724" s="3" t="inlineStr">
        <is>
          <t>총정리 35탄</t>
        </is>
      </c>
      <c r="C1724" s="3" t="inlineStr">
        <is>
          <t>의견/의사결정</t>
        </is>
      </c>
      <c r="D1724" s="4" t="inlineStr">
        <is>
          <t>thought-provoking</t>
        </is>
      </c>
      <c r="E1724" s="11" t="inlineStr">
        <is>
          <t>진지한 생각을 하게 하는</t>
        </is>
      </c>
      <c r="F1724" s="11" t="inlineStr">
        <is>
          <t>I'd like to kick us off with a thought-provoking statement.</t>
        </is>
      </c>
      <c r="G1724" s="11" t="inlineStr">
        <is>
          <t>여러모로 생각이 들게 하는 문장으로 시작하고 싶네요.</t>
        </is>
      </c>
      <c r="H1724" s="5">
        <f>HYPERLINK("https://www.youtube.com/watch?v=p75ZLLE9ZIw", "영상 보기 ▶")</f>
        <v/>
      </c>
    </row>
    <row r="1725" ht="26" customHeight="1">
      <c r="A1725" s="6" t="n">
        <v>1724</v>
      </c>
      <c r="B1725" s="7" t="inlineStr">
        <is>
          <t>총정리 35탄</t>
        </is>
      </c>
      <c r="C1725" s="7" t="inlineStr">
        <is>
          <t>실전회화/표현</t>
        </is>
      </c>
      <c r="D1725" s="8" t="inlineStr">
        <is>
          <t>back and forth</t>
        </is>
      </c>
      <c r="E1725" s="12" t="inlineStr">
        <is>
          <t>왔다갔다</t>
        </is>
      </c>
      <c r="F1725" s="12" t="inlineStr">
        <is>
          <t>A: So, when's your next date?</t>
        </is>
      </c>
      <c r="G1725" s="12" t="inlineStr">
        <is>
          <t>다음 데이트는 언제야?</t>
        </is>
      </c>
      <c r="H1725" s="9">
        <f>HYPERLINK("https://www.youtube.com/watch?v=p75ZLLE9ZIw", "영상 보기 ▶")</f>
        <v/>
      </c>
    </row>
    <row r="1726" ht="26" customHeight="1">
      <c r="A1726" s="2" t="n">
        <v>1725</v>
      </c>
      <c r="B1726" s="3" t="inlineStr">
        <is>
          <t>총정리 35탄</t>
        </is>
      </c>
      <c r="C1726" s="3" t="inlineStr">
        <is>
          <t>실전회화/표현</t>
        </is>
      </c>
      <c r="D1726" s="4" t="inlineStr">
        <is>
          <t>relay</t>
        </is>
      </c>
      <c r="E1726" s="11" t="inlineStr">
        <is>
          <t>전달하다</t>
        </is>
      </c>
      <c r="F1726" s="11" t="inlineStr">
        <is>
          <t>A: Can you tell Sarah that the meeting got pushed to next week?</t>
        </is>
      </c>
      <c r="G1726" s="11" t="inlineStr">
        <is>
          <t>미팅이 다음주로 미뤄졌다고 Sarah하네 말해줄 수 있어?</t>
        </is>
      </c>
      <c r="H1726" s="5">
        <f>HYPERLINK("https://www.youtube.com/watch?v=p75ZLLE9ZIw", "영상 보기 ▶")</f>
        <v/>
      </c>
    </row>
    <row r="1727" ht="26" customHeight="1">
      <c r="A1727" s="6" t="n">
        <v>1726</v>
      </c>
      <c r="B1727" s="7" t="inlineStr">
        <is>
          <t>총정리 35탄</t>
        </is>
      </c>
      <c r="C1727" s="7" t="inlineStr">
        <is>
          <t>실전회화/표현</t>
        </is>
      </c>
      <c r="D1727" s="8" t="inlineStr">
        <is>
          <t>talk in circles</t>
        </is>
      </c>
      <c r="E1727" s="12" t="inlineStr">
        <is>
          <t>같은 얘기만 반복하다</t>
        </is>
      </c>
      <c r="F1727" s="12" t="inlineStr">
        <is>
          <t>Let's take a 5-minute break. We're talking in circles here.</t>
        </is>
      </c>
      <c r="G1727" s="12" t="inlineStr">
        <is>
          <t>계속 했던 얘기만 반복하고 있으니 5분 쉬었다 하자.</t>
        </is>
      </c>
      <c r="H1727" s="9">
        <f>HYPERLINK("https://www.youtube.com/watch?v=p75ZLLE9ZIw", "영상 보기 ▶")</f>
        <v/>
      </c>
    </row>
    <row r="1728" ht="26" customHeight="1">
      <c r="A1728" s="2" t="n">
        <v>1727</v>
      </c>
      <c r="B1728" s="3" t="inlineStr">
        <is>
          <t>총정리 35탄</t>
        </is>
      </c>
      <c r="C1728" s="3" t="inlineStr">
        <is>
          <t>실전회화/표현</t>
        </is>
      </c>
      <c r="D1728" s="4" t="inlineStr">
        <is>
          <t>circle back</t>
        </is>
      </c>
      <c r="E1728" s="11" t="inlineStr">
        <is>
          <t>나중에 다시 얘기하다, 돌아오다</t>
        </is>
      </c>
      <c r="F1728" s="11" t="inlineStr">
        <is>
          <t>Let's move on and circle back to that later.</t>
        </is>
      </c>
      <c r="G1728" s="11" t="inlineStr">
        <is>
          <t>일단 넘어가고 그건 나중에 다시 얘기하도록 하자.</t>
        </is>
      </c>
      <c r="H1728" s="5">
        <f>HYPERLINK("https://www.youtube.com/watch?v=p75ZLLE9ZIw", "영상 보기 ▶")</f>
        <v/>
      </c>
    </row>
    <row r="1729" ht="26" customHeight="1">
      <c r="A1729" s="6" t="n">
        <v>1728</v>
      </c>
      <c r="B1729" s="7" t="inlineStr">
        <is>
          <t>총정리 35탄</t>
        </is>
      </c>
      <c r="C1729" s="7" t="inlineStr">
        <is>
          <t>실전회화/표현</t>
        </is>
      </c>
      <c r="D1729" s="8" t="inlineStr">
        <is>
          <t>I'd rather not ~</t>
        </is>
      </c>
      <c r="E1729" s="12" t="inlineStr">
        <is>
          <t>하지 않는게 좋겠어</t>
        </is>
      </c>
      <c r="F1729" s="12" t="inlineStr">
        <is>
          <t>I'd rather not talk about it.</t>
        </is>
      </c>
      <c r="G1729" s="12" t="inlineStr">
        <is>
          <t>그건 얘기하지 않는게 좋겠어.</t>
        </is>
      </c>
      <c r="H1729" s="9">
        <f>HYPERLINK("https://www.youtube.com/watch?v=p75ZLLE9ZIw", "영상 보기 ▶")</f>
        <v/>
      </c>
    </row>
    <row r="1730" ht="26" customHeight="1">
      <c r="A1730" s="2" t="n">
        <v>1729</v>
      </c>
      <c r="B1730" s="3" t="inlineStr">
        <is>
          <t>총정리 35탄</t>
        </is>
      </c>
      <c r="C1730" s="3" t="inlineStr">
        <is>
          <t>실전회화/표현</t>
        </is>
      </c>
      <c r="D1730" s="4" t="inlineStr">
        <is>
          <t>turn over to ~</t>
        </is>
      </c>
      <c r="E1730" s="11" t="inlineStr">
        <is>
          <t>에게 넘기다</t>
        </is>
      </c>
      <c r="F1730" s="11" t="inlineStr">
        <is>
          <t>Now, I'm going to turn it over to Ted. Ted, can you kick us off?</t>
        </is>
      </c>
      <c r="G1730" s="11" t="inlineStr">
        <is>
          <t>그럼 Ted에게 발언권을 넘기도록 할게요. 시작해 주시겠어요?</t>
        </is>
      </c>
      <c r="H1730" s="5">
        <f>HYPERLINK("https://www.youtube.com/watch?v=p75ZLLE9ZIw", "영상 보기 ▶")</f>
        <v/>
      </c>
    </row>
    <row r="1731" ht="26" customHeight="1">
      <c r="A1731" s="6" t="n">
        <v>1730</v>
      </c>
      <c r="B1731" s="7" t="inlineStr">
        <is>
          <t>총정리 35탄</t>
        </is>
      </c>
      <c r="C1731" s="7" t="inlineStr">
        <is>
          <t>실전회화/표현</t>
        </is>
      </c>
      <c r="D1731" s="8" t="inlineStr">
        <is>
          <t>only so far</t>
        </is>
      </c>
      <c r="E1731" s="12" t="inlineStr">
        <is>
          <t>제한된, 한계가 있는</t>
        </is>
      </c>
      <c r="F1731" s="12" t="inlineStr">
        <is>
          <t>You should go talk to her face-to-face. Phone calls only go so far.</t>
        </is>
      </c>
      <c r="G1731" s="12" t="inlineStr">
        <is>
          <t>얼굴 보고 얘기해야지. 전화로 하는 건 한계가 있잖아.</t>
        </is>
      </c>
      <c r="H1731" s="9">
        <f>HYPERLINK("https://www.youtube.com/watch?v=p75ZLLE9ZIw", "영상 보기 ▶")</f>
        <v/>
      </c>
    </row>
    <row r="1732" ht="26" customHeight="1">
      <c r="A1732" s="2" t="n">
        <v>1731</v>
      </c>
      <c r="B1732" s="3" t="inlineStr">
        <is>
          <t>총정리 35탄</t>
        </is>
      </c>
      <c r="C1732" s="3" t="inlineStr">
        <is>
          <t>실전회화/표현</t>
        </is>
      </c>
      <c r="D1732" s="4" t="inlineStr">
        <is>
          <t>only so many/much</t>
        </is>
      </c>
      <c r="E1732" s="11" t="inlineStr">
        <is>
          <t>제한된, 한계가 있는</t>
        </is>
      </c>
      <c r="F1732" s="11" t="inlineStr">
        <is>
          <t>There's only so much I can do.</t>
        </is>
      </c>
      <c r="G1732" s="11" t="inlineStr">
        <is>
          <t>내가 할 수 있는 것도 한계가 있어.</t>
        </is>
      </c>
      <c r="H1732" s="5">
        <f>HYPERLINK("https://www.youtube.com/watch?v=p75ZLLE9ZIw", "영상 보기 ▶")</f>
        <v/>
      </c>
    </row>
    <row r="1733" ht="26" customHeight="1">
      <c r="A1733" s="6" t="n">
        <v>1732</v>
      </c>
      <c r="B1733" s="7" t="inlineStr">
        <is>
          <t>총정리 35탄</t>
        </is>
      </c>
      <c r="C1733" s="7" t="inlineStr">
        <is>
          <t>실전회화/표현</t>
        </is>
      </c>
      <c r="D1733" s="8" t="inlineStr">
        <is>
          <t>reminisce</t>
        </is>
      </c>
      <c r="E1733" s="12" t="inlineStr">
        <is>
          <t>추억하다, 회상하다</t>
        </is>
      </c>
      <c r="F1733" s="12" t="inlineStr">
        <is>
          <t>A: It was nice catching up and reminiscing about college.</t>
        </is>
      </c>
      <c r="G1733" s="12" t="inlineStr">
        <is>
          <t>그간 근황 얘기도 하고 대학시절 생각도 나니 좋았어.</t>
        </is>
      </c>
      <c r="H1733" s="9">
        <f>HYPERLINK("https://www.youtube.com/watch?v=p75ZLLE9ZIw", "영상 보기 ▶")</f>
        <v/>
      </c>
    </row>
    <row r="1734" ht="26" customHeight="1">
      <c r="A1734" s="2" t="n">
        <v>1733</v>
      </c>
      <c r="B1734" s="3" t="inlineStr">
        <is>
          <t>총정리 35탄</t>
        </is>
      </c>
      <c r="C1734" s="3" t="inlineStr">
        <is>
          <t>실전회화/표현</t>
        </is>
      </c>
      <c r="D1734" s="4" t="inlineStr">
        <is>
          <t>wow</t>
        </is>
      </c>
      <c r="E1734" s="11" t="inlineStr">
        <is>
          <t>큰 감동을 주다, 열광시키다</t>
        </is>
      </c>
      <c r="F1734" s="11" t="inlineStr">
        <is>
          <t>If we wanna wow them, we really have to go above and beyond.</t>
        </is>
      </c>
      <c r="G1734" s="11" t="inlineStr">
        <is>
          <t>그들을 감동시키고 놀래켜주려면 적당히 하면 안돼.</t>
        </is>
      </c>
      <c r="H1734" s="5">
        <f>HYPERLINK("https://www.youtube.com/watch?v=p75ZLLE9ZIw", "영상 보기 ▶")</f>
        <v/>
      </c>
    </row>
    <row r="1735" ht="26" customHeight="1">
      <c r="A1735" s="6" t="n">
        <v>1734</v>
      </c>
      <c r="B1735" s="7" t="inlineStr">
        <is>
          <t>총정리 35탄</t>
        </is>
      </c>
      <c r="C1735" s="7" t="inlineStr">
        <is>
          <t>실전회화/표현</t>
        </is>
      </c>
      <c r="D1735" s="8" t="inlineStr">
        <is>
          <t>think through ~</t>
        </is>
      </c>
      <c r="E1735" s="12" t="inlineStr">
        <is>
          <t>을 철저히 따져보다, 심사숙고 하다</t>
        </is>
      </c>
      <c r="F1735" s="12" t="inlineStr">
        <is>
          <t>You might end up regretting it, so just think it through.</t>
        </is>
      </c>
      <c r="G1735" s="12" t="inlineStr">
        <is>
          <t>후회하게 될지도 모르니 잘 생각해봐.</t>
        </is>
      </c>
      <c r="H1735" s="9">
        <f>HYPERLINK("https://www.youtube.com/watch?v=p75ZLLE9ZIw", "영상 보기 ▶")</f>
        <v/>
      </c>
    </row>
    <row r="1736" ht="26" customHeight="1">
      <c r="A1736" s="2" t="n">
        <v>1735</v>
      </c>
      <c r="B1736" s="3" t="inlineStr">
        <is>
          <t>총정리 35탄</t>
        </is>
      </c>
      <c r="C1736" s="3" t="inlineStr">
        <is>
          <t>실전회화/표현</t>
        </is>
      </c>
      <c r="D1736" s="4" t="inlineStr">
        <is>
          <t>There's no way that ~</t>
        </is>
      </c>
      <c r="E1736" s="11" t="inlineStr">
        <is>
          <t>할 방법이 없어, ~일리가 없어</t>
        </is>
      </c>
      <c r="F1736" s="11" t="inlineStr">
        <is>
          <t>There's no way she's gonna say yes.</t>
        </is>
      </c>
      <c r="G1736" s="11" t="inlineStr">
        <is>
          <t>그녀가 알겠다고 할리가 없어.</t>
        </is>
      </c>
      <c r="H1736" s="5">
        <f>HYPERLINK("https://www.youtube.com/watch?v=p75ZLLE9ZIw", "영상 보기 ▶")</f>
        <v/>
      </c>
    </row>
    <row r="1737" ht="26" customHeight="1">
      <c r="A1737" s="6" t="n">
        <v>1736</v>
      </c>
      <c r="B1737" s="7" t="inlineStr">
        <is>
          <t>총정리 35탄</t>
        </is>
      </c>
      <c r="C1737" s="7" t="inlineStr">
        <is>
          <t>공감/감정</t>
        </is>
      </c>
      <c r="D1737" s="8" t="inlineStr">
        <is>
          <t>minimize</t>
        </is>
      </c>
      <c r="E1737" s="12" t="inlineStr">
        <is>
          <t>최소화하다, 가볍게 보다</t>
        </is>
      </c>
      <c r="F1737" s="12" t="inlineStr">
        <is>
          <t>Let's try to minimize our risk.</t>
        </is>
      </c>
      <c r="G1737" s="12" t="inlineStr">
        <is>
          <t>위험을 최소화 시키려 해보자.</t>
        </is>
      </c>
      <c r="H1737" s="9">
        <f>HYPERLINK("https://www.youtube.com/watch?v=p75ZLLE9ZIw", "영상 보기 ▶")</f>
        <v/>
      </c>
    </row>
    <row r="1738" ht="26" customHeight="1">
      <c r="A1738" s="2" t="n">
        <v>1737</v>
      </c>
      <c r="B1738" s="3" t="inlineStr">
        <is>
          <t>총정리 35탄</t>
        </is>
      </c>
      <c r="C1738" s="3" t="inlineStr">
        <is>
          <t>공감/감정</t>
        </is>
      </c>
      <c r="D1738" s="4" t="inlineStr">
        <is>
          <t>dwell on ~</t>
        </is>
      </c>
      <c r="E1738" s="11" t="inlineStr">
        <is>
          <t>를 곱씹다, 자꾸 생각하다, 마음에 담아두다</t>
        </is>
      </c>
      <c r="F1738" s="11" t="inlineStr">
        <is>
          <t>I'm not trying to minimize your problem. I'm just saying you shouldn't dwell on it.</t>
        </is>
      </c>
      <c r="G1738" s="11" t="inlineStr">
        <is>
          <t>너의 문제를 가볍게 보려는건 아니지만, 그것 좀 그만 생각해.</t>
        </is>
      </c>
      <c r="H1738" s="5">
        <f>HYPERLINK("https://www.youtube.com/watch?v=p75ZLLE9ZIw", "영상 보기 ▶")</f>
        <v/>
      </c>
    </row>
    <row r="1739" ht="26" customHeight="1">
      <c r="A1739" s="6" t="n">
        <v>1738</v>
      </c>
      <c r="B1739" s="7" t="inlineStr">
        <is>
          <t>총정리 35탄</t>
        </is>
      </c>
      <c r="C1739" s="7" t="inlineStr">
        <is>
          <t>공감/감정</t>
        </is>
      </c>
      <c r="D1739" s="8" t="inlineStr">
        <is>
          <t>simplify</t>
        </is>
      </c>
      <c r="E1739" s="12" t="inlineStr">
        <is>
          <t>간단하게 하다, 단순화하다</t>
        </is>
      </c>
      <c r="F1739" s="12" t="inlineStr">
        <is>
          <t>This is way too long. We need to simplify.</t>
        </is>
      </c>
      <c r="G1739" s="12" t="inlineStr">
        <is>
          <t>이거 너무 긴데. 좀 더 간단하게 만들어야 해.</t>
        </is>
      </c>
      <c r="H1739" s="9">
        <f>HYPERLINK("https://www.youtube.com/watch?v=p75ZLLE9ZIw", "영상 보기 ▶")</f>
        <v/>
      </c>
    </row>
    <row r="1740" ht="26" customHeight="1">
      <c r="A1740" s="2" t="n">
        <v>1739</v>
      </c>
      <c r="B1740" s="3" t="inlineStr">
        <is>
          <t>총정리 35탄</t>
        </is>
      </c>
      <c r="C1740" s="3" t="inlineStr">
        <is>
          <t>실전회화/표현</t>
        </is>
      </c>
      <c r="D1740" s="4" t="inlineStr">
        <is>
          <t>spread too thin</t>
        </is>
      </c>
      <c r="E1740" s="11" t="inlineStr">
        <is>
          <t>무리하다, 일을 너무 많이 벌리다</t>
        </is>
      </c>
      <c r="F1740" s="11" t="inlineStr">
        <is>
          <t>You're spreading yourself too thin.</t>
        </is>
      </c>
      <c r="G1740" s="11" t="inlineStr">
        <is>
          <t>너 지금 너무 일을 많이 벌려놨어.</t>
        </is>
      </c>
      <c r="H1740" s="5">
        <f>HYPERLINK("https://www.youtube.com/watch?v=p75ZLLE9ZIw", "영상 보기 ▶")</f>
        <v/>
      </c>
    </row>
    <row r="1741" ht="26" customHeight="1">
      <c r="A1741" s="6" t="n">
        <v>1740</v>
      </c>
      <c r="B1741" s="7" t="inlineStr">
        <is>
          <t>총정리 35탄</t>
        </is>
      </c>
      <c r="C1741" s="7" t="inlineStr">
        <is>
          <t>실전회화/표현</t>
        </is>
      </c>
      <c r="D1741" s="8" t="inlineStr">
        <is>
          <t>That's music to my ears.</t>
        </is>
      </c>
      <c r="E1741" s="12" t="inlineStr">
        <is>
          <t>그것 참 반가운 소식인걸.</t>
        </is>
      </c>
      <c r="F1741" s="12" t="inlineStr">
        <is>
          <t>A: He called off the project.</t>
        </is>
      </c>
      <c r="G1741" s="12" t="inlineStr">
        <is>
          <t>그가 프로젝트를 취소했어.</t>
        </is>
      </c>
      <c r="H1741" s="9">
        <f>HYPERLINK("https://www.youtube.com/watch?v=p75ZLLE9ZIw", "영상 보기 ▶")</f>
        <v/>
      </c>
    </row>
    <row r="1742" ht="26" customHeight="1">
      <c r="A1742" s="2" t="n">
        <v>1741</v>
      </c>
      <c r="B1742" s="3" t="inlineStr">
        <is>
          <t>총정리 35탄</t>
        </is>
      </c>
      <c r="C1742" s="3" t="inlineStr">
        <is>
          <t>실전회화/표현</t>
        </is>
      </c>
      <c r="D1742" s="4" t="inlineStr">
        <is>
          <t>dull</t>
        </is>
      </c>
      <c r="E1742" s="11" t="inlineStr">
        <is>
          <t>지루한, 재미없는</t>
        </is>
      </c>
      <c r="F1742" s="11" t="inlineStr">
        <is>
          <t>Never a dull moment.</t>
        </is>
      </c>
      <c r="G1742" s="11" t="inlineStr">
        <is>
          <t>지루할 틈이 없어.</t>
        </is>
      </c>
      <c r="H1742" s="5">
        <f>HYPERLINK("https://www.youtube.com/watch?v=p75ZLLE9ZIw", "영상 보기 ▶")</f>
        <v/>
      </c>
    </row>
    <row r="1743" ht="26" customHeight="1">
      <c r="A1743" s="6" t="n">
        <v>1742</v>
      </c>
      <c r="B1743" s="7" t="inlineStr">
        <is>
          <t>총정리 35탄</t>
        </is>
      </c>
      <c r="C1743" s="7" t="inlineStr">
        <is>
          <t>실전회화/표현</t>
        </is>
      </c>
      <c r="D1743" s="8" t="inlineStr">
        <is>
          <t>work up ~</t>
        </is>
      </c>
      <c r="E1743" s="12" t="inlineStr">
        <is>
          <t>를 불러일으키다</t>
        </is>
      </c>
      <c r="F1743" s="12" t="inlineStr">
        <is>
          <t>It's hard to work up an appetite when I'm stressed.</t>
        </is>
      </c>
      <c r="G1743" s="12" t="inlineStr">
        <is>
          <t>스트레스를 받으니 밥맛이 없어지네.</t>
        </is>
      </c>
      <c r="H1743" s="9">
        <f>HYPERLINK("https://www.youtube.com/watch?v=p75ZLLE9ZIw", "영상 보기 ▶")</f>
        <v/>
      </c>
    </row>
    <row r="1744" ht="26" customHeight="1">
      <c r="A1744" s="2" t="n">
        <v>1743</v>
      </c>
      <c r="B1744" s="3" t="inlineStr">
        <is>
          <t>총정리 35탄</t>
        </is>
      </c>
      <c r="C1744" s="3" t="inlineStr">
        <is>
          <t>실전회화/표현</t>
        </is>
      </c>
      <c r="D1744" s="4" t="inlineStr">
        <is>
          <t>nerve</t>
        </is>
      </c>
      <c r="E1744" s="11" t="inlineStr">
        <is>
          <t>용기</t>
        </is>
      </c>
      <c r="F1744" s="11" t="inlineStr">
        <is>
          <t>I cannot work up the nerve to tell her.</t>
        </is>
      </c>
      <c r="G1744" s="11" t="inlineStr">
        <is>
          <t>걔한테 말할 용기가 안나.</t>
        </is>
      </c>
      <c r="H1744" s="5">
        <f>HYPERLINK("https://www.youtube.com/watch?v=p75ZLLE9ZIw", "영상 보기 ▶")</f>
        <v/>
      </c>
    </row>
    <row r="1745" ht="26" customHeight="1">
      <c r="A1745" s="6" t="n">
        <v>1744</v>
      </c>
      <c r="B1745" s="7" t="inlineStr">
        <is>
          <t>총정리 35탄</t>
        </is>
      </c>
      <c r="C1745" s="7" t="inlineStr">
        <is>
          <t>공감/감정</t>
        </is>
      </c>
      <c r="D1745" s="8" t="inlineStr">
        <is>
          <t>worked up</t>
        </is>
      </c>
      <c r="E1745" s="12" t="inlineStr">
        <is>
          <t>흥분한, 화가난</t>
        </is>
      </c>
      <c r="F1745" s="12" t="inlineStr">
        <is>
          <t>I don't understand why you're so worked up. It's really not a big deal.</t>
        </is>
      </c>
      <c r="G1745" s="12" t="inlineStr">
        <is>
          <t>네가 왜 그렇게 화내는지 이해가 안돼. 별일 아니잖아.</t>
        </is>
      </c>
      <c r="H1745" s="9">
        <f>HYPERLINK("https://www.youtube.com/watch?v=p75ZLLE9ZIw", "영상 보기 ▶")</f>
        <v/>
      </c>
    </row>
    <row r="1746" ht="26" customHeight="1">
      <c r="A1746" s="2" t="n">
        <v>1745</v>
      </c>
      <c r="B1746" s="3" t="inlineStr">
        <is>
          <t>총정리 35탄</t>
        </is>
      </c>
      <c r="C1746" s="3" t="inlineStr">
        <is>
          <t>실전회화/표현</t>
        </is>
      </c>
      <c r="D1746" s="4" t="inlineStr">
        <is>
          <t>to the best of my knowledge</t>
        </is>
      </c>
      <c r="E1746" s="11" t="inlineStr">
        <is>
          <t>내가 아는 바로는</t>
        </is>
      </c>
      <c r="F1746" s="11" t="inlineStr">
        <is>
          <t>To the best of my knowledge, it hasn't been done yet.</t>
        </is>
      </c>
      <c r="G1746" s="11" t="inlineStr">
        <is>
          <t>제가 아는 바로는 그거 아직 안 됐어요.</t>
        </is>
      </c>
      <c r="H1746" s="5">
        <f>HYPERLINK("https://www.youtube.com/watch?v=p75ZLLE9ZIw", "영상 보기 ▶")</f>
        <v/>
      </c>
    </row>
    <row r="1747" ht="26" customHeight="1">
      <c r="A1747" s="6" t="n">
        <v>1746</v>
      </c>
      <c r="B1747" s="7" t="inlineStr">
        <is>
          <t>총정리 35탄</t>
        </is>
      </c>
      <c r="C1747" s="7" t="inlineStr">
        <is>
          <t>실전회화/표현</t>
        </is>
      </c>
      <c r="D1747" s="8" t="inlineStr">
        <is>
          <t>as far as I know</t>
        </is>
      </c>
      <c r="E1747" s="12" t="inlineStr">
        <is>
          <t>내가 아는 바로는</t>
        </is>
      </c>
      <c r="F1747" s="12" t="inlineStr">
        <is>
          <t>As far as I know, Mark is the decision-maker.</t>
        </is>
      </c>
      <c r="G1747" s="12" t="inlineStr">
        <is>
          <t>내가 알기로는 Mark가 결정자야.</t>
        </is>
      </c>
      <c r="H1747" s="9">
        <f>HYPERLINK("https://www.youtube.com/watch?v=p75ZLLE9ZIw", "영상 보기 ▶")</f>
        <v/>
      </c>
    </row>
    <row r="1748" ht="26" customHeight="1">
      <c r="A1748" s="2" t="n">
        <v>1747</v>
      </c>
      <c r="B1748" s="3" t="inlineStr">
        <is>
          <t>총정리 35탄</t>
        </is>
      </c>
      <c r="C1748" s="3" t="inlineStr">
        <is>
          <t>실전회화/표현</t>
        </is>
      </c>
      <c r="D1748" s="4" t="inlineStr">
        <is>
          <t>keep</t>
        </is>
      </c>
      <c r="E1748" s="11" t="inlineStr">
        <is>
          <t>대상 in my back pocket 따로, 예비로 가지고 있다</t>
        </is>
      </c>
      <c r="F1748" s="11" t="inlineStr">
        <is>
          <t>Thank you for the handy tips. I'll keep them in my back pocket.</t>
        </is>
      </c>
      <c r="G1748" s="11" t="inlineStr">
        <is>
          <t>유용한 팁들 고마워. 기억해뒀다 필요할 때 써먹을게.</t>
        </is>
      </c>
      <c r="H1748" s="5">
        <f>HYPERLINK("https://www.youtube.com/watch?v=p75ZLLE9ZIw", "영상 보기 ▶")</f>
        <v/>
      </c>
    </row>
    <row r="1749" ht="26" customHeight="1">
      <c r="A1749" s="6" t="n">
        <v>1748</v>
      </c>
      <c r="B1749" s="7" t="inlineStr">
        <is>
          <t>총정리 35탄</t>
        </is>
      </c>
      <c r="C1749" s="7" t="inlineStr">
        <is>
          <t>실전회화/표현</t>
        </is>
      </c>
      <c r="D1749" s="8" t="inlineStr">
        <is>
          <t>I could be wrong</t>
        </is>
      </c>
      <c r="E1749" s="12" t="inlineStr">
        <is>
          <t>내가 틀릴 수도 있어</t>
        </is>
      </c>
      <c r="F1749" s="12" t="inlineStr">
        <is>
          <t>I could be wrong, but I don't think he covered that in the meeting.</t>
        </is>
      </c>
      <c r="G1749" s="12" t="inlineStr">
        <is>
          <t>내가 틀릴 수도 있긴한데, 아침에 그건 언급 안됐어.</t>
        </is>
      </c>
      <c r="H1749" s="9">
        <f>HYPERLINK("https://www.youtube.com/watch?v=p75ZLLE9ZIw", "영상 보기 ▶")</f>
        <v/>
      </c>
    </row>
    <row r="1750" ht="26" customHeight="1">
      <c r="A1750" s="2" t="n">
        <v>1749</v>
      </c>
      <c r="B1750" s="3" t="inlineStr">
        <is>
          <t>총정리 35탄</t>
        </is>
      </c>
      <c r="C1750" s="3" t="inlineStr">
        <is>
          <t>의견/의사결정</t>
        </is>
      </c>
      <c r="D1750" s="4" t="inlineStr">
        <is>
          <t>collect my thoughts</t>
        </is>
      </c>
      <c r="E1750" s="11" t="inlineStr">
        <is>
          <t>생각을 정리하다</t>
        </is>
      </c>
      <c r="F1750" s="11" t="inlineStr">
        <is>
          <t>I need some time to collect my thoughts.</t>
        </is>
      </c>
      <c r="G1750" s="11" t="inlineStr">
        <is>
          <t>생각을 정리할 시간이 필요해.</t>
        </is>
      </c>
      <c r="H1750" s="5">
        <f>HYPERLINK("https://www.youtube.com/watch?v=p75ZLLE9ZIw", "영상 보기 ▶")</f>
        <v/>
      </c>
    </row>
    <row r="1751" ht="26" customHeight="1">
      <c r="A1751" s="6" t="n">
        <v>1750</v>
      </c>
      <c r="B1751" s="7" t="inlineStr">
        <is>
          <t>총정리 35탄</t>
        </is>
      </c>
      <c r="C1751" s="7" t="inlineStr">
        <is>
          <t>실전회화/표현</t>
        </is>
      </c>
      <c r="D1751" s="8" t="inlineStr">
        <is>
          <t>be on a roll</t>
        </is>
      </c>
      <c r="E1751" s="12" t="inlineStr">
        <is>
          <t>승승장구 하다, 계속 잘 풀리다</t>
        </is>
      </c>
      <c r="F1751" s="12" t="inlineStr">
        <is>
          <t>We're on a roll. Let's keep this momentum going.</t>
        </is>
      </c>
      <c r="G1751" s="12" t="inlineStr">
        <is>
          <t>계속해서 잘 하고 있으니 이 기세를 유지하도록 하자.</t>
        </is>
      </c>
      <c r="H1751" s="9">
        <f>HYPERLINK("https://www.youtube.com/watch?v=p75ZLLE9ZIw", "영상 보기 ▶")</f>
        <v/>
      </c>
    </row>
    <row r="1752" ht="26" customHeight="1">
      <c r="A1752" s="2" t="n">
        <v>1751</v>
      </c>
      <c r="B1752" s="3" t="inlineStr">
        <is>
          <t>총정리 36탄</t>
        </is>
      </c>
      <c r="C1752" s="3" t="inlineStr">
        <is>
          <t>실전회화/표현</t>
        </is>
      </c>
      <c r="D1752" s="4" t="inlineStr">
        <is>
          <t>hash out ~</t>
        </is>
      </c>
      <c r="E1752" s="11" t="inlineStr">
        <is>
          <t>를 논의해 끝을 보다, 결론을 내다</t>
        </is>
      </c>
      <c r="F1752" s="11" t="inlineStr">
        <is>
          <t>I hope we can hash things out.</t>
        </is>
      </c>
      <c r="G1752" s="11" t="inlineStr">
        <is>
          <t>문제를 대화로 해결할 수 있으면 좋겠어.</t>
        </is>
      </c>
      <c r="H1752" s="5">
        <f>HYPERLINK("https://www.youtube.com/watch?v=W8lGwgfRFsQ", "영상 보기 ▶")</f>
        <v/>
      </c>
    </row>
    <row r="1753" ht="26" customHeight="1">
      <c r="A1753" s="6" t="n">
        <v>1752</v>
      </c>
      <c r="B1753" s="7" t="inlineStr">
        <is>
          <t>총정리 36탄</t>
        </is>
      </c>
      <c r="C1753" s="7" t="inlineStr">
        <is>
          <t>실전회화/표현</t>
        </is>
      </c>
      <c r="D1753" s="8" t="inlineStr">
        <is>
          <t>jump in</t>
        </is>
      </c>
      <c r="E1753" s="12" t="inlineStr">
        <is>
          <t>끼어들다, 개입하다</t>
        </is>
      </c>
      <c r="F1753" s="12" t="inlineStr">
        <is>
          <t>If you have any questions, please feel free to jump in anytime.</t>
        </is>
      </c>
      <c r="G1753" s="12" t="inlineStr">
        <is>
          <t>질문 있으시면 언제든 편하게 말씀해주세요.</t>
        </is>
      </c>
      <c r="H1753" s="9">
        <f>HYPERLINK("https://www.youtube.com/watch?v=W8lGwgfRFsQ", "영상 보기 ▶")</f>
        <v/>
      </c>
    </row>
    <row r="1754" ht="26" customHeight="1">
      <c r="A1754" s="2" t="n">
        <v>1753</v>
      </c>
      <c r="B1754" s="3" t="inlineStr">
        <is>
          <t>총정리 36탄</t>
        </is>
      </c>
      <c r="C1754" s="3" t="inlineStr">
        <is>
          <t>공감/감정</t>
        </is>
      </c>
      <c r="D1754" s="4" t="inlineStr">
        <is>
          <t>jump on a call</t>
        </is>
      </c>
      <c r="E1754" s="11" t="inlineStr">
        <is>
          <t>전화 통화/미팅을 하다</t>
        </is>
      </c>
      <c r="F1754" s="11" t="inlineStr">
        <is>
          <t>Sorry to cut this short, but I have to jump on another call.</t>
        </is>
      </c>
      <c r="G1754" s="11" t="inlineStr">
        <is>
          <t>짧게 끝내서 미안한데 다른 전화 미팅이 있어서.</t>
        </is>
      </c>
      <c r="H1754" s="5">
        <f>HYPERLINK("https://www.youtube.com/watch?v=W8lGwgfRFsQ", "영상 보기 ▶")</f>
        <v/>
      </c>
    </row>
    <row r="1755" ht="26" customHeight="1">
      <c r="A1755" s="6" t="n">
        <v>1754</v>
      </c>
      <c r="B1755" s="7" t="inlineStr">
        <is>
          <t>총정리 36탄</t>
        </is>
      </c>
      <c r="C1755" s="7" t="inlineStr">
        <is>
          <t>실전회화/표현</t>
        </is>
      </c>
      <c r="D1755" s="8" t="inlineStr">
        <is>
          <t>hop on</t>
        </is>
      </c>
      <c r="E1755" s="12" t="inlineStr">
        <is>
          <t>뛰어들다</t>
        </is>
      </c>
      <c r="F1755" s="12" t="inlineStr">
        <is>
          <t>If you want, I'd happy to hop on a call and walk you through the process.</t>
        </is>
      </c>
      <c r="G1755" s="12" t="inlineStr">
        <is>
          <t>원하신다면 잠깐 전화통화로 절차를 설명해드릴 수 있어요.</t>
        </is>
      </c>
      <c r="H1755" s="9">
        <f>HYPERLINK("https://www.youtube.com/watch?v=W8lGwgfRFsQ", "영상 보기 ▶")</f>
        <v/>
      </c>
    </row>
    <row r="1756" ht="26" customHeight="1">
      <c r="A1756" s="2" t="n">
        <v>1755</v>
      </c>
      <c r="B1756" s="3" t="inlineStr">
        <is>
          <t>총정리 36탄</t>
        </is>
      </c>
      <c r="C1756" s="3" t="inlineStr">
        <is>
          <t>공감/감정</t>
        </is>
      </c>
      <c r="D1756" s="4" t="inlineStr">
        <is>
          <t>catch on (to something)</t>
        </is>
      </c>
      <c r="E1756" s="11" t="inlineStr">
        <is>
          <t>이해하다, 파악하다</t>
        </is>
      </c>
      <c r="F1756" s="11" t="inlineStr">
        <is>
          <t>You're a fast learner. You'll catch on.</t>
        </is>
      </c>
      <c r="G1756" s="11" t="inlineStr">
        <is>
          <t>넌 빨리 배우니까 금방 습득할거야.</t>
        </is>
      </c>
      <c r="H1756" s="5">
        <f>HYPERLINK("https://www.youtube.com/watch?v=W8lGwgfRFsQ", "영상 보기 ▶")</f>
        <v/>
      </c>
    </row>
    <row r="1757" ht="26" customHeight="1">
      <c r="A1757" s="6" t="n">
        <v>1756</v>
      </c>
      <c r="B1757" s="7" t="inlineStr">
        <is>
          <t>총정리 36탄</t>
        </is>
      </c>
      <c r="C1757" s="7" t="inlineStr">
        <is>
          <t>실전회화/표현</t>
        </is>
      </c>
      <c r="D1757" s="8" t="inlineStr">
        <is>
          <t>catch on</t>
        </is>
      </c>
      <c r="E1757" s="12" t="inlineStr">
        <is>
          <t>유행하다, 인기를 얻다</t>
        </is>
      </c>
      <c r="F1757" s="12" t="inlineStr">
        <is>
          <t>It's catching on in Korea.</t>
        </is>
      </c>
      <c r="G1757" s="12" t="inlineStr">
        <is>
          <t>한국에서 인기를 얻고 있어.</t>
        </is>
      </c>
      <c r="H1757" s="9">
        <f>HYPERLINK("https://www.youtube.com/watch?v=W8lGwgfRFsQ", "영상 보기 ▶")</f>
        <v/>
      </c>
    </row>
    <row r="1758" ht="26" customHeight="1">
      <c r="A1758" s="2" t="n">
        <v>1757</v>
      </c>
      <c r="B1758" s="3" t="inlineStr">
        <is>
          <t>총정리 36탄</t>
        </is>
      </c>
      <c r="C1758" s="3" t="inlineStr">
        <is>
          <t>실전회화/표현</t>
        </is>
      </c>
      <c r="D1758" s="4" t="inlineStr">
        <is>
          <t>ease into</t>
        </is>
      </c>
      <c r="E1758" s="11" t="inlineStr">
        <is>
          <t>서서히 적응하다, 점차 친숙해지도록 돕다</t>
        </is>
      </c>
      <c r="F1758" s="11" t="inlineStr">
        <is>
          <t>I'll ease him into the idea.</t>
        </is>
      </c>
      <c r="G1758" s="11" t="inlineStr">
        <is>
          <t>천천히 설득해볼게.</t>
        </is>
      </c>
      <c r="H1758" s="5">
        <f>HYPERLINK("https://www.youtube.com/watch?v=W8lGwgfRFsQ", "영상 보기 ▶")</f>
        <v/>
      </c>
    </row>
    <row r="1759" ht="26" customHeight="1">
      <c r="A1759" s="6" t="n">
        <v>1758</v>
      </c>
      <c r="B1759" s="7" t="inlineStr">
        <is>
          <t>총정리 36탄</t>
        </is>
      </c>
      <c r="C1759" s="7" t="inlineStr">
        <is>
          <t>의견/의사결정</t>
        </is>
      </c>
      <c r="D1759" s="8" t="inlineStr">
        <is>
          <t>in sync</t>
        </is>
      </c>
      <c r="E1759" s="12" t="inlineStr">
        <is>
          <t>일치하는, 의견이 잘 맞는</t>
        </is>
      </c>
      <c r="F1759" s="12" t="inlineStr">
        <is>
          <t>She gets me. We're in sync.</t>
        </is>
      </c>
      <c r="G1759" s="12" t="inlineStr">
        <is>
          <t>그녀는 날 잘 이해해. 우린 생각이 잘 맞아.</t>
        </is>
      </c>
      <c r="H1759" s="9">
        <f>HYPERLINK("https://www.youtube.com/watch?v=W8lGwgfRFsQ", "영상 보기 ▶")</f>
        <v/>
      </c>
    </row>
    <row r="1760" ht="26" customHeight="1">
      <c r="A1760" s="2" t="n">
        <v>1759</v>
      </c>
      <c r="B1760" s="3" t="inlineStr">
        <is>
          <t>총정리 36탄</t>
        </is>
      </c>
      <c r="C1760" s="3" t="inlineStr">
        <is>
          <t>의견/의사결정</t>
        </is>
      </c>
      <c r="D1760" s="4" t="inlineStr">
        <is>
          <t>out of sync</t>
        </is>
      </c>
      <c r="E1760" s="11" t="inlineStr">
        <is>
          <t>의견이 맞지 않는, 잘 안 맞는</t>
        </is>
      </c>
      <c r="F1760" s="11" t="inlineStr">
        <is>
          <t>We're in sync on most parts, but we're out of sync on that.</t>
        </is>
      </c>
      <c r="G1760" s="11" t="inlineStr">
        <is>
          <t>대부분은 잘 맞는데, 그 부분이 잘 안 맞아.</t>
        </is>
      </c>
      <c r="H1760" s="5">
        <f>HYPERLINK("https://www.youtube.com/watch?v=W8lGwgfRFsQ", "영상 보기 ▶")</f>
        <v/>
      </c>
    </row>
    <row r="1761" ht="26" customHeight="1">
      <c r="A1761" s="6" t="n">
        <v>1760</v>
      </c>
      <c r="B1761" s="7" t="inlineStr">
        <is>
          <t>총정리 36탄</t>
        </is>
      </c>
      <c r="C1761" s="7" t="inlineStr">
        <is>
          <t>실전회화/표현</t>
        </is>
      </c>
      <c r="D1761" s="8" t="inlineStr">
        <is>
          <t>unveil</t>
        </is>
      </c>
      <c r="E1761" s="12" t="inlineStr">
        <is>
          <t>발표하다, 공개하다</t>
        </is>
      </c>
      <c r="F1761" s="12" t="inlineStr">
        <is>
          <t>We're excited to unveil a new marketing campaign.</t>
        </is>
      </c>
      <c r="G1761" s="12" t="inlineStr">
        <is>
          <t>새로운 마케팅 캠페인을 설레는 마음으로 공개하려 합니다.</t>
        </is>
      </c>
      <c r="H1761" s="9">
        <f>HYPERLINK("https://www.youtube.com/watch?v=W8lGwgfRFsQ", "영상 보기 ▶")</f>
        <v/>
      </c>
    </row>
    <row r="1762" ht="26" customHeight="1">
      <c r="A1762" s="2" t="n">
        <v>1761</v>
      </c>
      <c r="B1762" s="3" t="inlineStr">
        <is>
          <t>총정리 36탄</t>
        </is>
      </c>
      <c r="C1762" s="3" t="inlineStr">
        <is>
          <t>실전회화/표현</t>
        </is>
      </c>
      <c r="D1762" s="4" t="inlineStr">
        <is>
          <t>catch one’s eye</t>
        </is>
      </c>
      <c r="E1762" s="11" t="inlineStr">
        <is>
          <t>눈에 띄다, 시선을 사로잡다</t>
        </is>
      </c>
      <c r="F1762" s="11" t="inlineStr">
        <is>
          <t>That picture is really eye-catching.</t>
        </is>
      </c>
      <c r="G1762" s="11" t="inlineStr">
        <is>
          <t>그 사진이 눈에 확 띄네요.</t>
        </is>
      </c>
      <c r="H1762" s="5">
        <f>HYPERLINK("https://www.youtube.com/watch?v=W8lGwgfRFsQ", "영상 보기 ▶")</f>
        <v/>
      </c>
    </row>
    <row r="1763" ht="26" customHeight="1">
      <c r="A1763" s="6" t="n">
        <v>1762</v>
      </c>
      <c r="B1763" s="7" t="inlineStr">
        <is>
          <t>총정리 36탄</t>
        </is>
      </c>
      <c r="C1763" s="7" t="inlineStr">
        <is>
          <t>실전회화/표현</t>
        </is>
      </c>
      <c r="D1763" s="8" t="inlineStr">
        <is>
          <t>ulterior motive</t>
        </is>
      </c>
      <c r="E1763" s="12" t="inlineStr">
        <is>
          <t>속셈, 숨은 동기</t>
        </is>
      </c>
      <c r="F1763" s="12" t="inlineStr">
        <is>
          <t>I actually have an ulterior motive.</t>
        </is>
      </c>
      <c r="G1763" s="12" t="inlineStr">
        <is>
          <t>실은 다른 목적이 있어서 만나자고 했어.</t>
        </is>
      </c>
      <c r="H1763" s="9">
        <f>HYPERLINK("https://www.youtube.com/watch?v=W8lGwgfRFsQ", "영상 보기 ▶")</f>
        <v/>
      </c>
    </row>
    <row r="1764" ht="26" customHeight="1">
      <c r="A1764" s="2" t="n">
        <v>1763</v>
      </c>
      <c r="B1764" s="3" t="inlineStr">
        <is>
          <t>총정리 36탄</t>
        </is>
      </c>
      <c r="C1764" s="3" t="inlineStr">
        <is>
          <t>공감/감정</t>
        </is>
      </c>
      <c r="D1764" s="4" t="inlineStr">
        <is>
          <t>put mind at ease</t>
        </is>
      </c>
      <c r="E1764" s="11" t="inlineStr">
        <is>
          <t>마음을 놓을 수 있게 하다, 안심시키다</t>
        </is>
      </c>
      <c r="F1764" s="11" t="inlineStr">
        <is>
          <t>Don’t worry. I’ll call him and put his mind at ease.</t>
        </is>
      </c>
      <c r="G1764" s="11" t="inlineStr">
        <is>
          <t>내가 그에게 전화해서 안심시킬테니 걱정 마.</t>
        </is>
      </c>
      <c r="H1764" s="5">
        <f>HYPERLINK("https://www.youtube.com/watch?v=W8lGwgfRFsQ", "영상 보기 ▶")</f>
        <v/>
      </c>
    </row>
    <row r="1765" ht="26" customHeight="1">
      <c r="A1765" s="6" t="n">
        <v>1764</v>
      </c>
      <c r="B1765" s="7" t="inlineStr">
        <is>
          <t>총정리 36탄</t>
        </is>
      </c>
      <c r="C1765" s="7" t="inlineStr">
        <is>
          <t>실전회화/표현</t>
        </is>
      </c>
      <c r="D1765" s="8" t="inlineStr">
        <is>
          <t>ease</t>
        </is>
      </c>
      <c r="E1765" s="12" t="inlineStr">
        <is>
          <t>편하게 해주다, 덜어주다</t>
        </is>
      </c>
      <c r="F1765" s="12" t="inlineStr">
        <is>
          <t>Thanks for easing my mind.</t>
        </is>
      </c>
      <c r="G1765" s="12" t="inlineStr">
        <is>
          <t>걱정을 덜어줘서 고마워.</t>
        </is>
      </c>
      <c r="H1765" s="9">
        <f>HYPERLINK("https://www.youtube.com/watch?v=W8lGwgfRFsQ", "영상 보기 ▶")</f>
        <v/>
      </c>
    </row>
    <row r="1766" ht="26" customHeight="1">
      <c r="A1766" s="2" t="n">
        <v>1765</v>
      </c>
      <c r="B1766" s="3" t="inlineStr">
        <is>
          <t>총정리 36탄</t>
        </is>
      </c>
      <c r="C1766" s="3" t="inlineStr">
        <is>
          <t>실전회화/표현</t>
        </is>
      </c>
      <c r="D1766" s="4" t="inlineStr">
        <is>
          <t>elsewhere</t>
        </is>
      </c>
      <c r="E1766" s="11" t="inlineStr">
        <is>
          <t>어딘가 다른 곳에</t>
        </is>
      </c>
      <c r="F1766" s="11" t="inlineStr">
        <is>
          <t>I can tell your mind is elsewhere.</t>
        </is>
      </c>
      <c r="G1766" s="11" t="inlineStr">
        <is>
          <t>딱보니 정신이 딴데 팔려 있구만.</t>
        </is>
      </c>
      <c r="H1766" s="5">
        <f>HYPERLINK("https://www.youtube.com/watch?v=W8lGwgfRFsQ", "영상 보기 ▶")</f>
        <v/>
      </c>
    </row>
    <row r="1767" ht="26" customHeight="1">
      <c r="A1767" s="6" t="n">
        <v>1766</v>
      </c>
      <c r="B1767" s="7" t="inlineStr">
        <is>
          <t>총정리 36탄</t>
        </is>
      </c>
      <c r="C1767" s="7" t="inlineStr">
        <is>
          <t>실전회화/표현</t>
        </is>
      </c>
      <c r="D1767" s="8" t="inlineStr">
        <is>
          <t>catch</t>
        </is>
      </c>
      <c r="E1767" s="12" t="inlineStr">
        <is>
          <t>알아채다, 발견하다</t>
        </is>
      </c>
      <c r="F1767" s="12" t="inlineStr">
        <is>
          <t>I didn’t catch any problem.</t>
        </is>
      </c>
      <c r="G1767" s="12" t="inlineStr">
        <is>
          <t>난 아무 문제도 발견하지 않았어.</t>
        </is>
      </c>
      <c r="H1767" s="9">
        <f>HYPERLINK("https://www.youtube.com/watch?v=W8lGwgfRFsQ", "영상 보기 ▶")</f>
        <v/>
      </c>
    </row>
    <row r="1768" ht="26" customHeight="1">
      <c r="A1768" s="2" t="n">
        <v>1767</v>
      </c>
      <c r="B1768" s="3" t="inlineStr">
        <is>
          <t>총정리 36탄</t>
        </is>
      </c>
      <c r="C1768" s="3" t="inlineStr">
        <is>
          <t>공감/감정</t>
        </is>
      </c>
      <c r="D1768" s="4" t="inlineStr">
        <is>
          <t>catch</t>
        </is>
      </c>
      <c r="E1768" s="11" t="inlineStr">
        <is>
          <t>알아듣다, 이해하다</t>
        </is>
      </c>
      <c r="F1768" s="11" t="inlineStr">
        <is>
          <t>Sorry, I didn’t catch the last part of your question.</t>
        </is>
      </c>
      <c r="G1768" s="11" t="inlineStr">
        <is>
          <t>죄송한데 질문 마지막 부분을 제대로 못 들었네요.</t>
        </is>
      </c>
      <c r="H1768" s="5">
        <f>HYPERLINK("https://www.youtube.com/watch?v=W8lGwgfRFsQ", "영상 보기 ▶")</f>
        <v/>
      </c>
    </row>
    <row r="1769" ht="26" customHeight="1">
      <c r="A1769" s="6" t="n">
        <v>1768</v>
      </c>
      <c r="B1769" s="7" t="inlineStr">
        <is>
          <t>총정리 36탄</t>
        </is>
      </c>
      <c r="C1769" s="7" t="inlineStr">
        <is>
          <t>실전회화/표현</t>
        </is>
      </c>
      <c r="D1769" s="8" t="inlineStr">
        <is>
          <t>catch</t>
        </is>
      </c>
      <c r="E1769" s="12" t="inlineStr">
        <is>
          <t>타다</t>
        </is>
      </c>
      <c r="F1769" s="12" t="inlineStr">
        <is>
          <t>If we leave now, we might be able to catch the 2:30 bus.</t>
        </is>
      </c>
      <c r="G1769" s="12" t="inlineStr">
        <is>
          <t>지금 출발하면 2시반 버스를 탈 수 있을 지도 몰라.</t>
        </is>
      </c>
      <c r="H1769" s="9">
        <f>HYPERLINK("https://www.youtube.com/watch?v=W8lGwgfRFsQ", "영상 보기 ▶")</f>
        <v/>
      </c>
    </row>
    <row r="1770" ht="26" customHeight="1">
      <c r="A1770" s="2" t="n">
        <v>1769</v>
      </c>
      <c r="B1770" s="3" t="inlineStr">
        <is>
          <t>총정리 36탄</t>
        </is>
      </c>
      <c r="C1770" s="3" t="inlineStr">
        <is>
          <t>실전회화/표현</t>
        </is>
      </c>
      <c r="D1770" s="4" t="inlineStr">
        <is>
          <t>catch</t>
        </is>
      </c>
      <c r="E1770" s="11" t="inlineStr">
        <is>
          <t>때마침 만나다</t>
        </is>
      </c>
      <c r="F1770" s="11" t="inlineStr">
        <is>
          <t>I’m glad I caught you.</t>
        </is>
      </c>
      <c r="G1770" s="11" t="inlineStr">
        <is>
          <t>연락이 닿아서 다행이야.</t>
        </is>
      </c>
      <c r="H1770" s="5">
        <f>HYPERLINK("https://www.youtube.com/watch?v=W8lGwgfRFsQ", "영상 보기 ▶")</f>
        <v/>
      </c>
    </row>
    <row r="1771" ht="26" customHeight="1">
      <c r="A1771" s="6" t="n">
        <v>1770</v>
      </c>
      <c r="B1771" s="7" t="inlineStr">
        <is>
          <t>총정리 36탄</t>
        </is>
      </c>
      <c r="C1771" s="7" t="inlineStr">
        <is>
          <t>실전회화/표현</t>
        </is>
      </c>
      <c r="D1771" s="8" t="inlineStr">
        <is>
          <t>for your convenience</t>
        </is>
      </c>
      <c r="E1771" s="12" t="inlineStr">
        <is>
          <t>편하시도록</t>
        </is>
      </c>
      <c r="F1771" s="12" t="inlineStr">
        <is>
          <t>I’ve highlighted the key parts for your convenience.</t>
        </is>
      </c>
      <c r="G1771" s="12" t="inlineStr">
        <is>
          <t>보시기 편핟오록 중요한 부분에 표시를 했어요.</t>
        </is>
      </c>
      <c r="H1771" s="9">
        <f>HYPERLINK("https://www.youtube.com/watch?v=W8lGwgfRFsQ", "영상 보기 ▶")</f>
        <v/>
      </c>
    </row>
    <row r="1772" ht="26" customHeight="1">
      <c r="A1772" s="2" t="n">
        <v>1771</v>
      </c>
      <c r="B1772" s="3" t="inlineStr">
        <is>
          <t>총정리 36탄</t>
        </is>
      </c>
      <c r="C1772" s="3" t="inlineStr">
        <is>
          <t>실전회화/표현</t>
        </is>
      </c>
      <c r="D1772" s="4" t="inlineStr">
        <is>
          <t>at your convenience</t>
        </is>
      </c>
      <c r="E1772" s="11" t="inlineStr">
        <is>
          <t>편하신 때에</t>
        </is>
      </c>
      <c r="F1772" s="11" t="inlineStr">
        <is>
          <t>No rush. You can come by at your convenience.</t>
        </is>
      </c>
      <c r="G1772" s="11" t="inlineStr">
        <is>
          <t>편할 때 와도 돼.</t>
        </is>
      </c>
      <c r="H1772" s="5">
        <f>HYPERLINK("https://www.youtube.com/watch?v=W8lGwgfRFsQ", "영상 보기 ▶")</f>
        <v/>
      </c>
    </row>
    <row r="1773" ht="26" customHeight="1">
      <c r="A1773" s="6" t="n">
        <v>1772</v>
      </c>
      <c r="B1773" s="7" t="inlineStr">
        <is>
          <t>총정리 36탄</t>
        </is>
      </c>
      <c r="C1773" s="7" t="inlineStr">
        <is>
          <t>실전회화/표현</t>
        </is>
      </c>
      <c r="D1773" s="8" t="inlineStr">
        <is>
          <t>break down</t>
        </is>
      </c>
      <c r="E1773" s="12" t="inlineStr">
        <is>
          <t>단계별로 설명하다</t>
        </is>
      </c>
      <c r="F1773" s="12" t="inlineStr">
        <is>
          <t>Can you break it down for me?</t>
        </is>
      </c>
      <c r="G1773" s="12" t="inlineStr">
        <is>
          <t>자세히 설명해줄 수 있어?</t>
        </is>
      </c>
      <c r="H1773" s="9">
        <f>HYPERLINK("https://www.youtube.com/watch?v=W8lGwgfRFsQ", "영상 보기 ▶")</f>
        <v/>
      </c>
    </row>
    <row r="1774" ht="26" customHeight="1">
      <c r="A1774" s="2" t="n">
        <v>1773</v>
      </c>
      <c r="B1774" s="3" t="inlineStr">
        <is>
          <t>총정리 36탄</t>
        </is>
      </c>
      <c r="C1774" s="3" t="inlineStr">
        <is>
          <t>실전회화/표현</t>
        </is>
      </c>
      <c r="D1774" s="4" t="inlineStr">
        <is>
          <t>catchy</t>
        </is>
      </c>
      <c r="E1774" s="11" t="inlineStr">
        <is>
          <t>시선을 끄는, 기억하기 쉬운</t>
        </is>
      </c>
      <c r="F1774" s="11" t="inlineStr">
        <is>
          <t>It’s  a catchy logo.</t>
        </is>
      </c>
      <c r="G1774" s="11" t="inlineStr">
        <is>
          <t>시선을 끄는 로고인걸.</t>
        </is>
      </c>
      <c r="H1774" s="5">
        <f>HYPERLINK("https://www.youtube.com/watch?v=W8lGwgfRFsQ", "영상 보기 ▶")</f>
        <v/>
      </c>
    </row>
    <row r="1775" ht="26" customHeight="1">
      <c r="A1775" s="6" t="n">
        <v>1774</v>
      </c>
      <c r="B1775" s="7" t="inlineStr">
        <is>
          <t>총정리 36탄</t>
        </is>
      </c>
      <c r="C1775" s="7" t="inlineStr">
        <is>
          <t>실전회화/표현</t>
        </is>
      </c>
      <c r="D1775" s="8" t="inlineStr">
        <is>
          <t>outdo</t>
        </is>
      </c>
      <c r="E1775" s="12" t="inlineStr">
        <is>
          <t>능가하다, 뛰어넘다</t>
        </is>
      </c>
      <c r="F1775" s="12" t="inlineStr">
        <is>
          <t>They outdid us this time.</t>
        </is>
      </c>
      <c r="G1775" s="12" t="inlineStr">
        <is>
          <t>이번엔 걔들이 우릴 뛰어넘었어.</t>
        </is>
      </c>
      <c r="H1775" s="9">
        <f>HYPERLINK("https://www.youtube.com/watch?v=W8lGwgfRFsQ", "영상 보기 ▶")</f>
        <v/>
      </c>
    </row>
    <row r="1776" ht="26" customHeight="1">
      <c r="A1776" s="2" t="n">
        <v>1775</v>
      </c>
      <c r="B1776" s="3" t="inlineStr">
        <is>
          <t>총정리 36탄</t>
        </is>
      </c>
      <c r="C1776" s="3" t="inlineStr">
        <is>
          <t>실전회화/표현</t>
        </is>
      </c>
      <c r="D1776" s="4" t="inlineStr">
        <is>
          <t>overdo ~</t>
        </is>
      </c>
      <c r="E1776" s="11" t="inlineStr">
        <is>
          <t>를 지나치게 하다</t>
        </is>
      </c>
      <c r="F1776" s="11" t="inlineStr">
        <is>
          <t>Don’t overdo it.</t>
        </is>
      </c>
      <c r="G1776" s="11" t="inlineStr">
        <is>
          <t>너무 과하게 하지 마.</t>
        </is>
      </c>
      <c r="H1776" s="5">
        <f>HYPERLINK("https://www.youtube.com/watch?v=W8lGwgfRFsQ", "영상 보기 ▶")</f>
        <v/>
      </c>
    </row>
    <row r="1777" ht="26" customHeight="1">
      <c r="A1777" s="6" t="n">
        <v>1776</v>
      </c>
      <c r="B1777" s="7" t="inlineStr">
        <is>
          <t>총정리 36탄</t>
        </is>
      </c>
      <c r="C1777" s="7" t="inlineStr">
        <is>
          <t>실전회화/표현</t>
        </is>
      </c>
      <c r="D1777" s="8" t="inlineStr">
        <is>
          <t>outperform ~</t>
        </is>
      </c>
      <c r="E1777" s="12" t="inlineStr">
        <is>
          <t>보다 나은 결과를 내다, 성능이 더 뛰어나다</t>
        </is>
      </c>
      <c r="F1777" s="12" t="inlineStr">
        <is>
          <t>It’s outperforming the others.</t>
        </is>
      </c>
      <c r="G1777" s="12" t="inlineStr">
        <is>
          <t>그건 다른 것 보다 더 성능이 뛰어나.</t>
        </is>
      </c>
      <c r="H1777" s="9">
        <f>HYPERLINK("https://www.youtube.com/watch?v=W8lGwgfRFsQ", "영상 보기 ▶")</f>
        <v/>
      </c>
    </row>
    <row r="1778" ht="26" customHeight="1">
      <c r="A1778" s="2" t="n">
        <v>1777</v>
      </c>
      <c r="B1778" s="3" t="inlineStr">
        <is>
          <t>총정리 36탄</t>
        </is>
      </c>
      <c r="C1778" s="3" t="inlineStr">
        <is>
          <t>실전회화/표현</t>
        </is>
      </c>
      <c r="D1778" s="4" t="inlineStr">
        <is>
          <t>outweigh ~</t>
        </is>
      </c>
      <c r="E1778" s="11" t="inlineStr">
        <is>
          <t>보다 더 무겁다, 크다</t>
        </is>
      </c>
      <c r="F1778" s="11" t="inlineStr">
        <is>
          <t>The pros outweight the cons.</t>
        </is>
      </c>
      <c r="G1778" s="11" t="inlineStr">
        <is>
          <t>장점이 단점보다 더 많아.</t>
        </is>
      </c>
      <c r="H1778" s="5">
        <f>HYPERLINK("https://www.youtube.com/watch?v=W8lGwgfRFsQ", "영상 보기 ▶")</f>
        <v/>
      </c>
    </row>
    <row r="1779" ht="26" customHeight="1">
      <c r="A1779" s="6" t="n">
        <v>1778</v>
      </c>
      <c r="B1779" s="7" t="inlineStr">
        <is>
          <t>총정리 36탄</t>
        </is>
      </c>
      <c r="C1779" s="7" t="inlineStr">
        <is>
          <t>실전회화/표현</t>
        </is>
      </c>
      <c r="D1779" s="8" t="inlineStr">
        <is>
          <t>overpowering</t>
        </is>
      </c>
      <c r="E1779" s="12" t="inlineStr">
        <is>
          <t>아주 강한, 심한, 강력한</t>
        </is>
      </c>
      <c r="F1779" s="12" t="inlineStr">
        <is>
          <t>The sauce is overpowering.</t>
        </is>
      </c>
      <c r="G1779" s="12" t="inlineStr">
        <is>
          <t>소스 맛이 너무 강하게 느껴지는데.</t>
        </is>
      </c>
      <c r="H1779" s="9">
        <f>HYPERLINK("https://www.youtube.com/watch?v=W8lGwgfRFsQ", "영상 보기 ▶")</f>
        <v/>
      </c>
    </row>
    <row r="1780" ht="26" customHeight="1">
      <c r="A1780" s="2" t="n">
        <v>1779</v>
      </c>
      <c r="B1780" s="3" t="inlineStr">
        <is>
          <t>총정리 36탄</t>
        </is>
      </c>
      <c r="C1780" s="3" t="inlineStr">
        <is>
          <t>의견/의사결정</t>
        </is>
      </c>
      <c r="D1780" s="4" t="inlineStr">
        <is>
          <t>overthink</t>
        </is>
      </c>
      <c r="E1780" s="11" t="inlineStr">
        <is>
          <t>너무 많이, 깊게 생각하다</t>
        </is>
      </c>
      <c r="F1780" s="11" t="inlineStr">
        <is>
          <t>Don’t overthink it.</t>
        </is>
      </c>
      <c r="G1780" s="11" t="inlineStr">
        <is>
          <t>너무 어렵게 생각하지마.</t>
        </is>
      </c>
      <c r="H1780" s="5">
        <f>HYPERLINK("https://www.youtube.com/watch?v=W8lGwgfRFsQ", "영상 보기 ▶")</f>
        <v/>
      </c>
    </row>
    <row r="1781" ht="26" customHeight="1">
      <c r="A1781" s="6" t="n">
        <v>1780</v>
      </c>
      <c r="B1781" s="7" t="inlineStr">
        <is>
          <t>총정리 36탄</t>
        </is>
      </c>
      <c r="C1781" s="7" t="inlineStr">
        <is>
          <t>실전회화/표현</t>
        </is>
      </c>
      <c r="D1781" s="8" t="inlineStr">
        <is>
          <t>catch</t>
        </is>
      </c>
      <c r="E1781" s="12" t="inlineStr">
        <is>
          <t>함정, 책략</t>
        </is>
      </c>
      <c r="F1781" s="12" t="inlineStr">
        <is>
          <t>What’s the catch?</t>
        </is>
      </c>
      <c r="G1781" s="12" t="inlineStr">
        <is>
          <t>꿍꿍이가 뭐야?</t>
        </is>
      </c>
      <c r="H1781" s="9">
        <f>HYPERLINK("https://www.youtube.com/watch?v=W8lGwgfRFsQ", "영상 보기 ▶")</f>
        <v/>
      </c>
    </row>
    <row r="1782" ht="26" customHeight="1">
      <c r="A1782" s="2" t="n">
        <v>1781</v>
      </c>
      <c r="B1782" s="3" t="inlineStr">
        <is>
          <t>총정리 36탄</t>
        </is>
      </c>
      <c r="C1782" s="3" t="inlineStr">
        <is>
          <t>실전회화/표현</t>
        </is>
      </c>
      <c r="D1782" s="4" t="inlineStr">
        <is>
          <t>catch</t>
        </is>
      </c>
      <c r="E1782" s="11" t="inlineStr">
        <is>
          <t>좋은 결혼 상대</t>
        </is>
      </c>
      <c r="F1782" s="11" t="inlineStr">
        <is>
          <t>I don’t get why he’s single. He’s a catch.</t>
        </is>
      </c>
      <c r="G1782" s="11" t="inlineStr">
        <is>
          <t>왜 그가 싱글인지 이해가 안돼. 정말 좋은 사람인데.</t>
        </is>
      </c>
      <c r="H1782" s="5">
        <f>HYPERLINK("https://www.youtube.com/watch?v=W8lGwgfRFsQ", "영상 보기 ▶")</f>
        <v/>
      </c>
    </row>
    <row r="1783" ht="26" customHeight="1">
      <c r="A1783" s="6" t="n">
        <v>1782</v>
      </c>
      <c r="B1783" s="7" t="inlineStr">
        <is>
          <t>총정리 36탄</t>
        </is>
      </c>
      <c r="C1783" s="7" t="inlineStr">
        <is>
          <t>실전회화/표현</t>
        </is>
      </c>
      <c r="D1783" s="8" t="inlineStr">
        <is>
          <t>do</t>
        </is>
      </c>
      <c r="E1783" s="12" t="inlineStr">
        <is>
          <t>적절하다, 충분하다</t>
        </is>
      </c>
      <c r="F1783" s="12" t="inlineStr">
        <is>
          <t>That’ll do.</t>
        </is>
      </c>
      <c r="G1783" s="12" t="inlineStr">
        <is>
          <t>그정도면 충분해.</t>
        </is>
      </c>
      <c r="H1783" s="9">
        <f>HYPERLINK("https://www.youtube.com/watch?v=W8lGwgfRFsQ", "영상 보기 ▶")</f>
        <v/>
      </c>
    </row>
    <row r="1784" ht="26" customHeight="1">
      <c r="A1784" s="2" t="n">
        <v>1783</v>
      </c>
      <c r="B1784" s="3" t="inlineStr">
        <is>
          <t>총정리 36탄</t>
        </is>
      </c>
      <c r="C1784" s="3" t="inlineStr">
        <is>
          <t>실전회화/표현</t>
        </is>
      </c>
      <c r="D1784" s="4" t="inlineStr">
        <is>
          <t>catch someone off guard</t>
        </is>
      </c>
      <c r="E1784" s="11" t="inlineStr">
        <is>
          <t>당황시키다, 허를 찌르게 하다</t>
        </is>
      </c>
      <c r="F1784" s="11" t="inlineStr">
        <is>
          <t>It caught me off guard.</t>
        </is>
      </c>
      <c r="G1784" s="11" t="inlineStr">
        <is>
          <t>생각도 못했어.</t>
        </is>
      </c>
      <c r="H1784" s="5">
        <f>HYPERLINK("https://www.youtube.com/watch?v=W8lGwgfRFsQ", "영상 보기 ▶")</f>
        <v/>
      </c>
    </row>
    <row r="1785" ht="26" customHeight="1">
      <c r="A1785" s="6" t="n">
        <v>1784</v>
      </c>
      <c r="B1785" s="7" t="inlineStr">
        <is>
          <t>총정리 36탄</t>
        </is>
      </c>
      <c r="C1785" s="7" t="inlineStr">
        <is>
          <t>실전회화/표현</t>
        </is>
      </c>
      <c r="D1785" s="8" t="inlineStr">
        <is>
          <t>I’ll catch you later.</t>
        </is>
      </c>
      <c r="E1785" s="12" t="inlineStr">
        <is>
          <t>나중에 보자.</t>
        </is>
      </c>
      <c r="F1785" s="12" t="inlineStr">
        <is>
          <t>I’ll catch you later. You go have a great time.</t>
        </is>
      </c>
      <c r="G1785" s="12" t="inlineStr">
        <is>
          <t>나중에 보자. 가서 재미있게 놀아.</t>
        </is>
      </c>
      <c r="H1785" s="9">
        <f>HYPERLINK("https://www.youtube.com/watch?v=W8lGwgfRFsQ", "영상 보기 ▶")</f>
        <v/>
      </c>
    </row>
    <row r="1786" ht="26" customHeight="1">
      <c r="A1786" s="2" t="n">
        <v>1785</v>
      </c>
      <c r="B1786" s="3" t="inlineStr">
        <is>
          <t>총정리 36탄</t>
        </is>
      </c>
      <c r="C1786" s="3" t="inlineStr">
        <is>
          <t>실전회화/표현</t>
        </is>
      </c>
      <c r="D1786" s="4" t="inlineStr">
        <is>
          <t>roll up one’s sleeves</t>
        </is>
      </c>
      <c r="E1786" s="11" t="inlineStr">
        <is>
          <t>적극적으로 일에 착수하다, 나서다</t>
        </is>
      </c>
      <c r="F1786" s="11" t="inlineStr">
        <is>
          <t>This is a pivotal moment for us. We need to roll up our sleeves.</t>
        </is>
      </c>
      <c r="G1786" s="11" t="inlineStr">
        <is>
          <t>우리에게 있어 정말 중요한 순간이야. 적극적으로 임해야 해.</t>
        </is>
      </c>
      <c r="H1786" s="5">
        <f>HYPERLINK("https://www.youtube.com/watch?v=W8lGwgfRFsQ", "영상 보기 ▶")</f>
        <v/>
      </c>
    </row>
    <row r="1787" ht="26" customHeight="1">
      <c r="A1787" s="6" t="n">
        <v>1786</v>
      </c>
      <c r="B1787" s="7" t="inlineStr">
        <is>
          <t>총정리 36탄</t>
        </is>
      </c>
      <c r="C1787" s="7" t="inlineStr">
        <is>
          <t>실전회화/표현</t>
        </is>
      </c>
      <c r="D1787" s="8" t="inlineStr">
        <is>
          <t>work in progress</t>
        </is>
      </c>
      <c r="E1787" s="12" t="inlineStr">
        <is>
          <t>진행 중, 작업 중</t>
        </is>
      </c>
      <c r="F1787" s="12" t="inlineStr">
        <is>
          <t>It’s still a work in progress.</t>
        </is>
      </c>
      <c r="G1787" s="12" t="inlineStr">
        <is>
          <t>아직 작업 중이야.</t>
        </is>
      </c>
      <c r="H1787" s="9">
        <f>HYPERLINK("https://www.youtube.com/watch?v=W8lGwgfRFsQ", "영상 보기 ▶")</f>
        <v/>
      </c>
    </row>
    <row r="1788" ht="26" customHeight="1">
      <c r="A1788" s="2" t="n">
        <v>1787</v>
      </c>
      <c r="B1788" s="3" t="inlineStr">
        <is>
          <t>총정리 36탄</t>
        </is>
      </c>
      <c r="C1788" s="3" t="inlineStr">
        <is>
          <t>공감/감정</t>
        </is>
      </c>
      <c r="D1788" s="4" t="inlineStr">
        <is>
          <t>Did I catch you at a bad time?</t>
        </is>
      </c>
      <c r="E1788" s="11" t="inlineStr">
        <is>
          <t>지금 대화하기 어려워?</t>
        </is>
      </c>
      <c r="F1788" s="11" t="inlineStr">
        <is>
          <t>Actuallly, you’ve caught me at a bad time. Can you call me back tomorrow?</t>
        </is>
      </c>
      <c r="G1788" s="11" t="inlineStr">
        <is>
          <t>실은 지금 통화하기 어려워서, 내일 다시 전화줄 수 있어?</t>
        </is>
      </c>
      <c r="H1788" s="5">
        <f>HYPERLINK("https://www.youtube.com/watch?v=W8lGwgfRFsQ", "영상 보기 ▶")</f>
        <v/>
      </c>
    </row>
    <row r="1789" ht="26" customHeight="1">
      <c r="A1789" s="6" t="n">
        <v>1788</v>
      </c>
      <c r="B1789" s="7" t="inlineStr">
        <is>
          <t>총정리 36탄</t>
        </is>
      </c>
      <c r="C1789" s="7" t="inlineStr">
        <is>
          <t>실전회화/표현</t>
        </is>
      </c>
      <c r="D1789" s="8" t="inlineStr">
        <is>
          <t>Easy does it.</t>
        </is>
      </c>
      <c r="E1789" s="12" t="inlineStr">
        <is>
          <t>천천히/살살 해.</t>
        </is>
      </c>
      <c r="F1789" s="12" t="inlineStr">
        <is>
          <t>It’s fragile. Easy does it.</t>
        </is>
      </c>
      <c r="G1789" s="12" t="inlineStr">
        <is>
          <t>깨지거나 부서지기 쉬우니 조심스럽게 다뤄.</t>
        </is>
      </c>
      <c r="H1789" s="9">
        <f>HYPERLINK("https://www.youtube.com/watch?v=W8lGwgfRFsQ", "영상 보기 ▶")</f>
        <v/>
      </c>
    </row>
    <row r="1790" ht="26" customHeight="1">
      <c r="A1790" s="2" t="n">
        <v>1789</v>
      </c>
      <c r="B1790" s="3" t="inlineStr">
        <is>
          <t>총정리 36탄</t>
        </is>
      </c>
      <c r="C1790" s="3" t="inlineStr">
        <is>
          <t>실전회화/표현</t>
        </is>
      </c>
      <c r="D1790" s="4" t="inlineStr">
        <is>
          <t>Enough about ~</t>
        </is>
      </c>
      <c r="E1790" s="11" t="inlineStr">
        <is>
          <t>는 이쯤에서 그만하고</t>
        </is>
      </c>
      <c r="F1790" s="11" t="inlineStr">
        <is>
          <t>Enough about work, how’s life?</t>
        </is>
      </c>
      <c r="G1790" s="11" t="inlineStr">
        <is>
          <t>일 얘기는 그만하고, 잘 살고 있지?</t>
        </is>
      </c>
      <c r="H1790" s="5">
        <f>HYPERLINK("https://www.youtube.com/watch?v=W8lGwgfRFsQ", "영상 보기 ▶")</f>
        <v/>
      </c>
    </row>
    <row r="1791" ht="26" customHeight="1">
      <c r="A1791" s="6" t="n">
        <v>1790</v>
      </c>
      <c r="B1791" s="7" t="inlineStr">
        <is>
          <t>총정리 36탄</t>
        </is>
      </c>
      <c r="C1791" s="7" t="inlineStr">
        <is>
          <t>의견/의사결정</t>
        </is>
      </c>
      <c r="D1791" s="8" t="inlineStr">
        <is>
          <t>​I was under the impression ~</t>
        </is>
      </c>
      <c r="E1791" s="12" t="inlineStr">
        <is>
          <t>라는 인상을 받았어/ ~라고 생각했어</t>
        </is>
      </c>
      <c r="F1791" s="12" t="inlineStr">
        <is>
          <t>I was under the impression that things would be a lot easier.</t>
        </is>
      </c>
      <c r="G1791" s="12" t="inlineStr">
        <is>
          <t>난 상황이 훨씬 더 수월할거라고 생각했어.</t>
        </is>
      </c>
      <c r="H1791" s="9">
        <f>HYPERLINK("https://www.youtube.com/watch?v=W8lGwgfRFsQ", "영상 보기 ▶")</f>
        <v/>
      </c>
    </row>
    <row r="1792" ht="26" customHeight="1">
      <c r="A1792" s="2" t="n">
        <v>1791</v>
      </c>
      <c r="B1792" s="3" t="inlineStr">
        <is>
          <t>총정리 36탄</t>
        </is>
      </c>
      <c r="C1792" s="3" t="inlineStr">
        <is>
          <t>공감/감정</t>
        </is>
      </c>
      <c r="D1792" s="4" t="inlineStr">
        <is>
          <t>Don’t be so hard on yourself.</t>
        </is>
      </c>
      <c r="E1792" s="11" t="inlineStr">
        <is>
          <t>너무 자책하지 마.</t>
        </is>
      </c>
      <c r="F1792" s="11" t="inlineStr">
        <is>
          <t>A: I hurt Leonard, I hurt Raj. I mean, what is wrong with me?</t>
        </is>
      </c>
      <c r="G1792" s="11" t="inlineStr">
        <is>
          <t>내가 걔들을 상처줬어. 난 대체 왜이럴까?</t>
        </is>
      </c>
      <c r="H1792" s="5">
        <f>HYPERLINK("https://www.youtube.com/watch?v=W8lGwgfRFsQ", "영상 보기 ▶")</f>
        <v/>
      </c>
    </row>
    <row r="1793" ht="26" customHeight="1">
      <c r="A1793" s="6" t="n">
        <v>1792</v>
      </c>
      <c r="B1793" s="7" t="inlineStr">
        <is>
          <t>총정리 36탄</t>
        </is>
      </c>
      <c r="C1793" s="7" t="inlineStr">
        <is>
          <t>의견/의사결정</t>
        </is>
      </c>
      <c r="D1793" s="8" t="inlineStr">
        <is>
          <t>pick one’s brain ~</t>
        </is>
      </c>
      <c r="E1793" s="12" t="inlineStr">
        <is>
          <t>에게 조언/의견을 구하다</t>
        </is>
      </c>
      <c r="F1793" s="12" t="inlineStr">
        <is>
          <t>Can I pick your brain about something?</t>
        </is>
      </c>
      <c r="G1793" s="12" t="inlineStr">
        <is>
          <t>뭐 좀 물어봐도 될까?</t>
        </is>
      </c>
      <c r="H1793" s="9">
        <f>HYPERLINK("https://www.youtube.com/watch?v=W8lGwgfRFsQ", "영상 보기 ▶")</f>
        <v/>
      </c>
    </row>
    <row r="1794" ht="26" customHeight="1">
      <c r="A1794" s="2" t="n">
        <v>1793</v>
      </c>
      <c r="B1794" s="3" t="inlineStr">
        <is>
          <t>총정리 36탄</t>
        </is>
      </c>
      <c r="C1794" s="3" t="inlineStr">
        <is>
          <t>실전회화/표현</t>
        </is>
      </c>
      <c r="D1794" s="4" t="inlineStr">
        <is>
          <t>catch up</t>
        </is>
      </c>
      <c r="E1794" s="11" t="inlineStr">
        <is>
          <t>따라잡다</t>
        </is>
      </c>
      <c r="F1794" s="11" t="inlineStr">
        <is>
          <t>It was nice catching up with you.</t>
        </is>
      </c>
      <c r="G1794" s="11" t="inlineStr">
        <is>
          <t>오랜만에 만나 수다떨어서 즐거웠어.</t>
        </is>
      </c>
      <c r="H1794" s="5">
        <f>HYPERLINK("https://www.youtube.com/watch?v=W8lGwgfRFsQ", "영상 보기 ▶")</f>
        <v/>
      </c>
    </row>
    <row r="1795" ht="26" customHeight="1">
      <c r="A1795" s="6" t="n">
        <v>1794</v>
      </c>
      <c r="B1795" s="7" t="inlineStr">
        <is>
          <t>총정리 36탄</t>
        </is>
      </c>
      <c r="C1795" s="7" t="inlineStr">
        <is>
          <t>실전회화/표현</t>
        </is>
      </c>
      <c r="D1795" s="8" t="inlineStr">
        <is>
          <t>Catch someone up</t>
        </is>
      </c>
      <c r="E1795" s="12" t="inlineStr">
        <is>
          <t>상황을 알려주다</t>
        </is>
      </c>
      <c r="F1795" s="12" t="inlineStr">
        <is>
          <t>Bring me up to speed.</t>
        </is>
      </c>
      <c r="G1795" s="12" t="inlineStr">
        <is>
          <t>어떤 상황인지 알려줘.</t>
        </is>
      </c>
      <c r="H1795" s="9">
        <f>HYPERLINK("https://www.youtube.com/watch?v=W8lGwgfRFsQ", "영상 보기 ▶")</f>
        <v/>
      </c>
    </row>
    <row r="1796" ht="26" customHeight="1">
      <c r="A1796" s="2" t="n">
        <v>1795</v>
      </c>
      <c r="B1796" s="3" t="inlineStr">
        <is>
          <t>총정리 36탄</t>
        </is>
      </c>
      <c r="C1796" s="3" t="inlineStr">
        <is>
          <t>비즈니스/업무</t>
        </is>
      </c>
      <c r="D1796" s="4" t="inlineStr">
        <is>
          <t>timeline</t>
        </is>
      </c>
      <c r="E1796" s="11" t="inlineStr">
        <is>
          <t>구체적인 일정</t>
        </is>
      </c>
      <c r="F1796" s="11" t="inlineStr">
        <is>
          <t>What’s our timeline?</t>
        </is>
      </c>
      <c r="G1796" s="11" t="inlineStr">
        <is>
          <t>구체적인 일정이 어떻게 되나요?</t>
        </is>
      </c>
      <c r="H1796" s="5">
        <f>HYPERLINK("https://www.youtube.com/watch?v=W8lGwgfRFsQ", "영상 보기 ▶")</f>
        <v/>
      </c>
    </row>
    <row r="1797" ht="26" customHeight="1">
      <c r="A1797" s="6" t="n">
        <v>1796</v>
      </c>
      <c r="B1797" s="7" t="inlineStr">
        <is>
          <t>총정리 36탄</t>
        </is>
      </c>
      <c r="C1797" s="7" t="inlineStr">
        <is>
          <t>실전회화/표현</t>
        </is>
      </c>
      <c r="D1797" s="8" t="inlineStr">
        <is>
          <t>have something up one’s sleeve</t>
        </is>
      </c>
      <c r="E1797" s="12" t="inlineStr">
        <is>
          <t>비장의 무기를 지니다, 꿍꿍이를 가지다</t>
        </is>
      </c>
      <c r="F1797" s="12" t="inlineStr">
        <is>
          <t>I wonder what he has up his sleeve.</t>
        </is>
      </c>
      <c r="G1797" s="12" t="inlineStr">
        <is>
          <t>걔가 뭘 준비하고 있을지 궁금해.</t>
        </is>
      </c>
      <c r="H1797" s="9">
        <f>HYPERLINK("https://www.youtube.com/watch?v=W8lGwgfRFsQ", "영상 보기 ▶")</f>
        <v/>
      </c>
    </row>
    <row r="1798" ht="26" customHeight="1">
      <c r="A1798" s="2" t="n">
        <v>1797</v>
      </c>
      <c r="B1798" s="3" t="inlineStr">
        <is>
          <t>총정리 36탄</t>
        </is>
      </c>
      <c r="C1798" s="3" t="inlineStr">
        <is>
          <t>실전회화/표현</t>
        </is>
      </c>
      <c r="D1798" s="4" t="inlineStr">
        <is>
          <t>make a good first impression</t>
        </is>
      </c>
      <c r="E1798" s="11" t="inlineStr">
        <is>
          <t>좋은 첫인상을 주다</t>
        </is>
      </c>
      <c r="F1798" s="11" t="inlineStr">
        <is>
          <t>I wanna make a good first impression.</t>
        </is>
      </c>
      <c r="G1798" s="11" t="inlineStr">
        <is>
          <t>좋은 첫인상을 주고 싶어.</t>
        </is>
      </c>
      <c r="H1798" s="5">
        <f>HYPERLINK("https://www.youtube.com/watch?v=W8lGwgfRFsQ", "영상 보기 ▶")</f>
        <v/>
      </c>
    </row>
    <row r="1799" ht="26" customHeight="1">
      <c r="A1799" s="6" t="n">
        <v>1798</v>
      </c>
      <c r="B1799" s="7" t="inlineStr">
        <is>
          <t>총정리 36탄</t>
        </is>
      </c>
      <c r="C1799" s="7" t="inlineStr">
        <is>
          <t>실전회화/표현</t>
        </is>
      </c>
      <c r="D1799" s="8" t="inlineStr">
        <is>
          <t>catch a break</t>
        </is>
      </c>
      <c r="E1799" s="12" t="inlineStr">
        <is>
          <t>운이 따르다, 좋은 기회를 얻다</t>
        </is>
      </c>
      <c r="F1799" s="12" t="inlineStr">
        <is>
          <t>I’m hoping to catch a break with this deal.</t>
        </is>
      </c>
      <c r="G1799" s="12" t="inlineStr">
        <is>
          <t>운이 따라서 거래가 잘 되면 좋겠다.</t>
        </is>
      </c>
      <c r="H1799" s="9">
        <f>HYPERLINK("https://www.youtube.com/watch?v=W8lGwgfRFsQ", "영상 보기 ▶")</f>
        <v/>
      </c>
    </row>
    <row r="1800" ht="26" customHeight="1">
      <c r="A1800" s="2" t="n">
        <v>1799</v>
      </c>
      <c r="B1800" s="3" t="inlineStr">
        <is>
          <t>총정리 36탄</t>
        </is>
      </c>
      <c r="C1800" s="3" t="inlineStr">
        <is>
          <t>실전회화/표현</t>
        </is>
      </c>
      <c r="D1800" s="4" t="inlineStr">
        <is>
          <t>apparently</t>
        </is>
      </c>
      <c r="E1800" s="11" t="inlineStr">
        <is>
          <t>듣자하니, 보아하니</t>
        </is>
      </c>
      <c r="F1800" s="11" t="inlineStr">
        <is>
          <t>Apparently, that’s not what they wanted to hear.</t>
        </is>
      </c>
      <c r="G1800" s="11" t="inlineStr">
        <is>
          <t>보아하니 걔네들이 듣고 싶어한 말은 아닌가봐.</t>
        </is>
      </c>
      <c r="H1800" s="5">
        <f>HYPERLINK("https://www.youtube.com/watch?v=W8lGwgfRFsQ", "영상 보기 ▶")</f>
        <v/>
      </c>
    </row>
    <row r="1801" ht="26" customHeight="1">
      <c r="A1801" s="6" t="n">
        <v>1800</v>
      </c>
      <c r="B1801" s="7" t="inlineStr">
        <is>
          <t>총정리 36탄</t>
        </is>
      </c>
      <c r="C1801" s="7" t="inlineStr">
        <is>
          <t>실전회화/표현</t>
        </is>
      </c>
      <c r="D1801" s="8" t="inlineStr">
        <is>
          <t>done deal</t>
        </is>
      </c>
      <c r="E1801" s="12" t="inlineStr">
        <is>
          <t>기정사실, 다 끝난 일</t>
        </is>
      </c>
      <c r="F1801" s="12" t="inlineStr">
        <is>
          <t>I was under the impression that it was a done deal.</t>
        </is>
      </c>
      <c r="G1801" s="12" t="inlineStr">
        <is>
          <t>다 된거나 다름없다고 생각했는데 그게 아니었나봐.</t>
        </is>
      </c>
      <c r="H1801" s="9">
        <f>HYPERLINK("https://www.youtube.com/watch?v=W8lGwgfRFsQ", "영상 보기 ▶")</f>
        <v/>
      </c>
    </row>
    <row r="1802" ht="26" customHeight="1">
      <c r="A1802" s="2" t="n">
        <v>1801</v>
      </c>
      <c r="B1802" s="3" t="inlineStr">
        <is>
          <t>총정리 37탄</t>
        </is>
      </c>
      <c r="C1802" s="3" t="inlineStr">
        <is>
          <t>실전회화/표현</t>
        </is>
      </c>
      <c r="D1802" s="4" t="inlineStr">
        <is>
          <t>capitalize on ~</t>
        </is>
      </c>
      <c r="E1802" s="11" t="inlineStr">
        <is>
          <t>을 이용, 활용하다</t>
        </is>
      </c>
      <c r="F1802" s="11" t="inlineStr">
        <is>
          <t>Let’s capitalize on this opportunity.</t>
        </is>
      </c>
      <c r="G1802" s="11" t="inlineStr">
        <is>
          <t>이 기회를 잘 활용해보자.</t>
        </is>
      </c>
      <c r="H1802" s="5">
        <f>HYPERLINK("https://www.youtube.com/watch?v=ExysckpNP9I", "영상 보기 ▶")</f>
        <v/>
      </c>
    </row>
    <row r="1803" ht="26" customHeight="1">
      <c r="A1803" s="6" t="n">
        <v>1802</v>
      </c>
      <c r="B1803" s="7" t="inlineStr">
        <is>
          <t>총정리 37탄</t>
        </is>
      </c>
      <c r="C1803" s="7" t="inlineStr">
        <is>
          <t>실전회화/표현</t>
        </is>
      </c>
      <c r="D1803" s="8" t="inlineStr">
        <is>
          <t>unheard of</t>
        </is>
      </c>
      <c r="E1803" s="12" t="inlineStr">
        <is>
          <t>전례없는, 금시초문의</t>
        </is>
      </c>
      <c r="F1803" s="12" t="inlineStr">
        <is>
          <t>We should buy more. This price is unheard of.</t>
        </is>
      </c>
      <c r="G1803" s="12" t="inlineStr">
        <is>
          <t>더 사는게 좋겠다. 이렇게 싼적이 없는데.</t>
        </is>
      </c>
      <c r="H1803" s="9">
        <f>HYPERLINK("https://www.youtube.com/watch?v=ExysckpNP9I", "영상 보기 ▶")</f>
        <v/>
      </c>
    </row>
    <row r="1804" ht="26" customHeight="1">
      <c r="A1804" s="2" t="n">
        <v>1803</v>
      </c>
      <c r="B1804" s="3" t="inlineStr">
        <is>
          <t>총정리 37탄</t>
        </is>
      </c>
      <c r="C1804" s="3" t="inlineStr">
        <is>
          <t>실전회화/표현</t>
        </is>
      </c>
      <c r="D1804" s="4" t="inlineStr">
        <is>
          <t>as much as I used to</t>
        </is>
      </c>
      <c r="E1804" s="11" t="inlineStr">
        <is>
          <t>예전만큼 많이</t>
        </is>
      </c>
      <c r="F1804" s="11" t="inlineStr">
        <is>
          <t>I don’t drink as much as I used to.</t>
        </is>
      </c>
      <c r="G1804" s="11" t="inlineStr">
        <is>
          <t>예전만큼 술을 많이 마시진 않아.</t>
        </is>
      </c>
      <c r="H1804" s="5">
        <f>HYPERLINK("https://www.youtube.com/watch?v=ExysckpNP9I", "영상 보기 ▶")</f>
        <v/>
      </c>
    </row>
    <row r="1805" ht="26" customHeight="1">
      <c r="A1805" s="6" t="n">
        <v>1804</v>
      </c>
      <c r="B1805" s="7" t="inlineStr">
        <is>
          <t>총정리 37탄</t>
        </is>
      </c>
      <c r="C1805" s="7" t="inlineStr">
        <is>
          <t>실전회화/표현</t>
        </is>
      </c>
      <c r="D1805" s="8" t="inlineStr">
        <is>
          <t>as much as ~</t>
        </is>
      </c>
      <c r="E1805" s="12" t="inlineStr">
        <is>
          <t>이지만</t>
        </is>
      </c>
      <c r="F1805" s="12" t="inlineStr">
        <is>
          <t>As much as I wanna help you, it’s not my area of expertise.</t>
        </is>
      </c>
      <c r="G1805" s="12" t="inlineStr">
        <is>
          <t>도와드리고 싶지만 제 전문분야가 아니라서요.</t>
        </is>
      </c>
      <c r="H1805" s="9">
        <f>HYPERLINK("https://www.youtube.com/watch?v=ExysckpNP9I", "영상 보기 ▶")</f>
        <v/>
      </c>
    </row>
    <row r="1806" ht="26" customHeight="1">
      <c r="A1806" s="2" t="n">
        <v>1805</v>
      </c>
      <c r="B1806" s="3" t="inlineStr">
        <is>
          <t>총정리 37탄</t>
        </is>
      </c>
      <c r="C1806" s="3" t="inlineStr">
        <is>
          <t>실전회화/표현</t>
        </is>
      </c>
      <c r="D1806" s="4" t="inlineStr">
        <is>
          <t>of the essence</t>
        </is>
      </c>
      <c r="E1806" s="11" t="inlineStr">
        <is>
          <t>절대적으로 중요한</t>
        </is>
      </c>
      <c r="F1806" s="11" t="inlineStr">
        <is>
          <t>We need to get this done ASAP. Time is of the essence.</t>
        </is>
      </c>
      <c r="G1806" s="11" t="inlineStr">
        <is>
          <t>이걸 최대한 빨리 처리해야 해. 시간이 생명이야.</t>
        </is>
      </c>
      <c r="H1806" s="5">
        <f>HYPERLINK("https://www.youtube.com/watch?v=ExysckpNP9I", "영상 보기 ▶")</f>
        <v/>
      </c>
    </row>
    <row r="1807" ht="26" customHeight="1">
      <c r="A1807" s="6" t="n">
        <v>1806</v>
      </c>
      <c r="B1807" s="7" t="inlineStr">
        <is>
          <t>총정리 37탄</t>
        </is>
      </c>
      <c r="C1807" s="7" t="inlineStr">
        <is>
          <t>실전회화/표현</t>
        </is>
      </c>
      <c r="D1807" s="8" t="inlineStr">
        <is>
          <t>get away with ~</t>
        </is>
      </c>
      <c r="E1807" s="12" t="inlineStr">
        <is>
          <t>를 모면하다, 넘어가다</t>
        </is>
      </c>
      <c r="F1807" s="12" t="inlineStr">
        <is>
          <t>A: I’m out of honey. Can I use sugar instead?</t>
        </is>
      </c>
      <c r="G1807" s="12" t="inlineStr">
        <is>
          <t>꿀이 다 떨어졌는데 설탕을 대신 써도 될까?</t>
        </is>
      </c>
      <c r="H1807" s="9">
        <f>HYPERLINK("https://www.youtube.com/watch?v=ExysckpNP9I", "영상 보기 ▶")</f>
        <v/>
      </c>
    </row>
    <row r="1808" ht="26" customHeight="1">
      <c r="A1808" s="2" t="n">
        <v>1807</v>
      </c>
      <c r="B1808" s="3" t="inlineStr">
        <is>
          <t>총정리 37탄</t>
        </is>
      </c>
      <c r="C1808" s="3" t="inlineStr">
        <is>
          <t>실전회화/표현</t>
        </is>
      </c>
      <c r="D1808" s="4" t="inlineStr">
        <is>
          <t>Thank you for bringing it to my attention.</t>
        </is>
      </c>
      <c r="E1808" s="11" t="inlineStr">
        <is>
          <t>알려줘서 고마워.</t>
        </is>
      </c>
      <c r="F1808" s="11" t="inlineStr">
        <is>
          <t>Thank you for bringing it to my attention.</t>
        </is>
      </c>
      <c r="G1808" s="11" t="inlineStr">
        <is>
          <t>알려줘서 고마워.</t>
        </is>
      </c>
      <c r="H1808" s="5">
        <f>HYPERLINK("https://www.youtube.com/watch?v=ExysckpNP9I", "영상 보기 ▶")</f>
        <v/>
      </c>
    </row>
    <row r="1809" ht="26" customHeight="1">
      <c r="A1809" s="6" t="n">
        <v>1808</v>
      </c>
      <c r="B1809" s="7" t="inlineStr">
        <is>
          <t>총정리 37탄</t>
        </is>
      </c>
      <c r="C1809" s="7" t="inlineStr">
        <is>
          <t>실전회화/표현</t>
        </is>
      </c>
      <c r="D1809" s="8" t="inlineStr">
        <is>
          <t>It’s been brought to my attention that ~. ~</t>
        </is>
      </c>
      <c r="E1809" s="12" t="inlineStr">
        <is>
          <t>라는 걸 알게 됐어요.</t>
        </is>
      </c>
      <c r="F1809" s="12" t="inlineStr">
        <is>
          <t>It’s been brought to my attention that some of you are not following the protocol.</t>
        </is>
      </c>
      <c r="G1809" s="12" t="inlineStr">
        <is>
          <t>몇몇 사람들이 규정을 따르지 않는다는 사실을 알게 됐어요.</t>
        </is>
      </c>
      <c r="H1809" s="9">
        <f>HYPERLINK("https://www.youtube.com/watch?v=ExysckpNP9I", "영상 보기 ▶")</f>
        <v/>
      </c>
    </row>
    <row r="1810" ht="26" customHeight="1">
      <c r="A1810" s="2" t="n">
        <v>1809</v>
      </c>
      <c r="B1810" s="3" t="inlineStr">
        <is>
          <t>총정리 37탄</t>
        </is>
      </c>
      <c r="C1810" s="3" t="inlineStr">
        <is>
          <t>실전회화/표현</t>
        </is>
      </c>
      <c r="D1810" s="4" t="inlineStr">
        <is>
          <t>ups and downs</t>
        </is>
      </c>
      <c r="E1810" s="11" t="inlineStr">
        <is>
          <t>오르내림, 기복, 우여곡절</t>
        </is>
      </c>
      <c r="F1810" s="11" t="inlineStr">
        <is>
          <t>Every business has its ups and downs.</t>
        </is>
      </c>
      <c r="G1810" s="11" t="inlineStr">
        <is>
          <t>사업이 잘 될 때도 있고 안 될 때도 있고 그런거지.</t>
        </is>
      </c>
      <c r="H1810" s="5">
        <f>HYPERLINK("https://www.youtube.com/watch?v=ExysckpNP9I", "영상 보기 ▶")</f>
        <v/>
      </c>
    </row>
    <row r="1811" ht="26" customHeight="1">
      <c r="A1811" s="6" t="n">
        <v>1810</v>
      </c>
      <c r="B1811" s="7" t="inlineStr">
        <is>
          <t>총정리 37탄</t>
        </is>
      </c>
      <c r="C1811" s="7" t="inlineStr">
        <is>
          <t>실전회화/표현</t>
        </is>
      </c>
      <c r="D1811" s="8" t="inlineStr">
        <is>
          <t>roller coaster</t>
        </is>
      </c>
      <c r="E1811" s="12" t="inlineStr">
        <is>
          <t>급변하는, 기복이 심한 상황</t>
        </is>
      </c>
      <c r="F1811" s="12" t="inlineStr">
        <is>
          <t>This year has been a roller coaster for us.</t>
        </is>
      </c>
      <c r="G1811" s="12" t="inlineStr">
        <is>
          <t>올해는 정말 다사다난했어.</t>
        </is>
      </c>
      <c r="H1811" s="9">
        <f>HYPERLINK("https://www.youtube.com/watch?v=ExysckpNP9I", "영상 보기 ▶")</f>
        <v/>
      </c>
    </row>
    <row r="1812" ht="26" customHeight="1">
      <c r="A1812" s="2" t="n">
        <v>1811</v>
      </c>
      <c r="B1812" s="3" t="inlineStr">
        <is>
          <t>총정리 37탄</t>
        </is>
      </c>
      <c r="C1812" s="3" t="inlineStr">
        <is>
          <t>실전회화/표현</t>
        </is>
      </c>
      <c r="D1812" s="4" t="inlineStr">
        <is>
          <t>bring one’s A-game</t>
        </is>
      </c>
      <c r="E1812" s="11" t="inlineStr">
        <is>
          <t>최선을 다하다</t>
        </is>
      </c>
      <c r="F1812" s="11" t="inlineStr">
        <is>
          <t>We have to bring our A-game tomorrow.</t>
        </is>
      </c>
      <c r="G1812" s="11" t="inlineStr">
        <is>
          <t>우리 내일 정말 최선을 다해야 해.</t>
        </is>
      </c>
      <c r="H1812" s="5">
        <f>HYPERLINK("https://www.youtube.com/watch?v=ExysckpNP9I", "영상 보기 ▶")</f>
        <v/>
      </c>
    </row>
    <row r="1813" ht="26" customHeight="1">
      <c r="A1813" s="6" t="n">
        <v>1812</v>
      </c>
      <c r="B1813" s="7" t="inlineStr">
        <is>
          <t>총정리 37탄</t>
        </is>
      </c>
      <c r="C1813" s="7" t="inlineStr">
        <is>
          <t>실전회화/표현</t>
        </is>
      </c>
      <c r="D1813" s="8" t="inlineStr">
        <is>
          <t>check in with someone ~</t>
        </is>
      </c>
      <c r="E1813" s="12" t="inlineStr">
        <is>
          <t>와 연락/얘기하다</t>
        </is>
      </c>
      <c r="F1813" s="12" t="inlineStr">
        <is>
          <t>I just wanted to check in with you and see how things are going.</t>
        </is>
      </c>
      <c r="G1813" s="12" t="inlineStr">
        <is>
          <t>어떻게 잘 진행되고 있는지 확인차 연락해봐.</t>
        </is>
      </c>
      <c r="H1813" s="9">
        <f>HYPERLINK("https://www.youtube.com/watch?v=ExysckpNP9I", "영상 보기 ▶")</f>
        <v/>
      </c>
    </row>
    <row r="1814" ht="26" customHeight="1">
      <c r="A1814" s="2" t="n">
        <v>1813</v>
      </c>
      <c r="B1814" s="3" t="inlineStr">
        <is>
          <t>총정리 37탄</t>
        </is>
      </c>
      <c r="C1814" s="3" t="inlineStr">
        <is>
          <t>실전회화/표현</t>
        </is>
      </c>
      <c r="D1814" s="4" t="inlineStr">
        <is>
          <t>check in on someone ~</t>
        </is>
      </c>
      <c r="E1814" s="11" t="inlineStr">
        <is>
          <t>의 안부를 묻다, 괜찮은지 확인차 연락/얘기하다</t>
        </is>
      </c>
      <c r="F1814" s="11" t="inlineStr">
        <is>
          <t>I just wanted to check in on you and see how you’re doing.</t>
        </is>
      </c>
      <c r="G1814" s="11" t="inlineStr">
        <is>
          <t>잘 지내는지 확인차 연락해봐.</t>
        </is>
      </c>
      <c r="H1814" s="5">
        <f>HYPERLINK("https://www.youtube.com/watch?v=ExysckpNP9I", "영상 보기 ▶")</f>
        <v/>
      </c>
    </row>
    <row r="1815" ht="26" customHeight="1">
      <c r="A1815" s="6" t="n">
        <v>1814</v>
      </c>
      <c r="B1815" s="7" t="inlineStr">
        <is>
          <t>총정리 37탄</t>
        </is>
      </c>
      <c r="C1815" s="7" t="inlineStr">
        <is>
          <t>실전회화/표현</t>
        </is>
      </c>
      <c r="D1815" s="8" t="inlineStr">
        <is>
          <t>​bring someone to one’s senses</t>
        </is>
      </c>
      <c r="E1815" s="12" t="inlineStr">
        <is>
          <t>정신차리게 하다</t>
        </is>
      </c>
      <c r="F1815" s="12" t="inlineStr">
        <is>
          <t>It’s shocking information, but it’llbring them to their senses.</t>
        </is>
      </c>
      <c r="G1815" s="12" t="inlineStr">
        <is>
          <t>충격적인 정보긴 하지만 그들을 정신차리게 해줄거야.</t>
        </is>
      </c>
      <c r="H1815" s="9">
        <f>HYPERLINK("https://www.youtube.com/watch?v=ExysckpNP9I", "영상 보기 ▶")</f>
        <v/>
      </c>
    </row>
    <row r="1816" ht="26" customHeight="1">
      <c r="A1816" s="2" t="n">
        <v>1815</v>
      </c>
      <c r="B1816" s="3" t="inlineStr">
        <is>
          <t>총정리 37탄</t>
        </is>
      </c>
      <c r="C1816" s="3" t="inlineStr">
        <is>
          <t>실전회화/표현</t>
        </is>
      </c>
      <c r="D1816" s="4" t="inlineStr">
        <is>
          <t>get/have one’s ducks in a row</t>
        </is>
      </c>
      <c r="E1816" s="11" t="inlineStr">
        <is>
          <t>철저히, 만반의 준비를 하다</t>
        </is>
      </c>
      <c r="F1816" s="11" t="inlineStr">
        <is>
          <t>Don’t worry. I’ve got all my ducks in a row.</t>
        </is>
      </c>
      <c r="G1816" s="11" t="inlineStr">
        <is>
          <t>만반의 준비를 다 갖췄으니 걱정 마.</t>
        </is>
      </c>
      <c r="H1816" s="5">
        <f>HYPERLINK("https://www.youtube.com/watch?v=ExysckpNP9I", "영상 보기 ▶")</f>
        <v/>
      </c>
    </row>
    <row r="1817" ht="26" customHeight="1">
      <c r="A1817" s="6" t="n">
        <v>1816</v>
      </c>
      <c r="B1817" s="7" t="inlineStr">
        <is>
          <t>총정리 37탄</t>
        </is>
      </c>
      <c r="C1817" s="7" t="inlineStr">
        <is>
          <t>공감/감정</t>
        </is>
      </c>
      <c r="D1817" s="8" t="inlineStr">
        <is>
          <t>take it out on someone ~</t>
        </is>
      </c>
      <c r="E1817" s="12" t="inlineStr">
        <is>
          <t>에게 화풀이하다</t>
        </is>
      </c>
      <c r="F1817" s="12" t="inlineStr">
        <is>
          <t>I’m sorry for taking it out on you.</t>
        </is>
      </c>
      <c r="G1817" s="12" t="inlineStr">
        <is>
          <t>너한테 화풀이해서 미안해.</t>
        </is>
      </c>
      <c r="H1817" s="9">
        <f>HYPERLINK("https://www.youtube.com/watch?v=ExysckpNP9I", "영상 보기 ▶")</f>
        <v/>
      </c>
    </row>
    <row r="1818" ht="26" customHeight="1">
      <c r="A1818" s="2" t="n">
        <v>1817</v>
      </c>
      <c r="B1818" s="3" t="inlineStr">
        <is>
          <t>총정리 37탄</t>
        </is>
      </c>
      <c r="C1818" s="3" t="inlineStr">
        <is>
          <t>실전회화/표현</t>
        </is>
      </c>
      <c r="D1818" s="4" t="inlineStr">
        <is>
          <t>check all the boxes</t>
        </is>
      </c>
      <c r="E1818" s="11" t="inlineStr">
        <is>
          <t>필요로 하는 조건을 다 만족시키다</t>
        </is>
      </c>
      <c r="F1818" s="11" t="inlineStr">
        <is>
          <t>This car is perfect for us. It checks all the boxes.</t>
        </is>
      </c>
      <c r="G1818" s="11" t="inlineStr">
        <is>
          <t>이 차가 우리에게 완벽해. 우리가 필요한 조건을 다 충족해.</t>
        </is>
      </c>
      <c r="H1818" s="5">
        <f>HYPERLINK("https://www.youtube.com/watch?v=ExysckpNP9I", "영상 보기 ▶")</f>
        <v/>
      </c>
    </row>
    <row r="1819" ht="26" customHeight="1">
      <c r="A1819" s="6" t="n">
        <v>1818</v>
      </c>
      <c r="B1819" s="7" t="inlineStr">
        <is>
          <t>총정리 37탄</t>
        </is>
      </c>
      <c r="C1819" s="7" t="inlineStr">
        <is>
          <t>실전회화/표현</t>
        </is>
      </c>
      <c r="D1819" s="8" t="inlineStr">
        <is>
          <t>bring</t>
        </is>
      </c>
      <c r="E1819" s="12" t="inlineStr">
        <is>
          <t>야기하다, 가져오다</t>
        </is>
      </c>
      <c r="F1819" s="12" t="inlineStr">
        <is>
          <t>That’ll bring many changes to the team.</t>
        </is>
      </c>
      <c r="G1819" s="12" t="inlineStr">
        <is>
          <t>그건 팀에 많은 변화를 가져올거야.</t>
        </is>
      </c>
      <c r="H1819" s="9">
        <f>HYPERLINK("https://www.youtube.com/watch?v=ExysckpNP9I", "영상 보기 ▶")</f>
        <v/>
      </c>
    </row>
    <row r="1820" ht="26" customHeight="1">
      <c r="A1820" s="2" t="n">
        <v>1819</v>
      </c>
      <c r="B1820" s="3" t="inlineStr">
        <is>
          <t>총정리 37탄</t>
        </is>
      </c>
      <c r="C1820" s="3" t="inlineStr">
        <is>
          <t>의견/의사결정</t>
        </is>
      </c>
      <c r="D1820" s="4" t="inlineStr">
        <is>
          <t>give someone pointers ~</t>
        </is>
      </c>
      <c r="E1820" s="11" t="inlineStr">
        <is>
          <t>에게 조언을 해주다, 요령을 알려주다</t>
        </is>
      </c>
      <c r="F1820" s="11" t="inlineStr">
        <is>
          <t>Could you give me some pointers on what to do?</t>
        </is>
      </c>
      <c r="G1820" s="11" t="inlineStr">
        <is>
          <t>어떻게 해야할지 조언 좀 해주실래요?</t>
        </is>
      </c>
      <c r="H1820" s="5">
        <f>HYPERLINK("https://www.youtube.com/watch?v=ExysckpNP9I", "영상 보기 ▶")</f>
        <v/>
      </c>
    </row>
    <row r="1821" ht="26" customHeight="1">
      <c r="A1821" s="6" t="n">
        <v>1820</v>
      </c>
      <c r="B1821" s="7" t="inlineStr">
        <is>
          <t>총정리 37탄</t>
        </is>
      </c>
      <c r="C1821" s="7" t="inlineStr">
        <is>
          <t>비즈니스/업무</t>
        </is>
      </c>
      <c r="D1821" s="8" t="inlineStr">
        <is>
          <t>May I ask what this is regarding?</t>
        </is>
      </c>
      <c r="E1821" s="12" t="inlineStr">
        <is>
          <t>실례지만 어떤 용건 때문인지 여쭤봐도 될까요? (비즈니스 전화/응대)</t>
        </is>
      </c>
      <c r="F1821" s="12" t="inlineStr">
        <is>
          <t>May I ask what this is regarding, please?</t>
        </is>
      </c>
      <c r="G1821" s="12" t="inlineStr">
        <is>
          <t>실례지만 어떤 용건으로 연락 주셨는지 여쭤봐도 될까요?</t>
        </is>
      </c>
      <c r="H1821" s="9">
        <f>HYPERLINK("https://www.youtube.com/watch?v=ExysckpNP9I", "영상 보기 ▶")</f>
        <v/>
      </c>
    </row>
    <row r="1822" ht="26" customHeight="1">
      <c r="A1822" s="2" t="n">
        <v>1821</v>
      </c>
      <c r="B1822" s="3" t="inlineStr">
        <is>
          <t>총정리 37탄</t>
        </is>
      </c>
      <c r="C1822" s="3" t="inlineStr">
        <is>
          <t>실전회화/표현</t>
        </is>
      </c>
      <c r="D1822" s="4" t="inlineStr">
        <is>
          <t>​go all out ~</t>
        </is>
      </c>
      <c r="E1822" s="11" t="inlineStr">
        <is>
          <t>에 전력을 다하다</t>
        </is>
      </c>
      <c r="F1822" s="11" t="inlineStr">
        <is>
          <t>You went all out.</t>
        </is>
      </c>
      <c r="G1822" s="11" t="inlineStr">
        <is>
          <t>제대로 준비했네.</t>
        </is>
      </c>
      <c r="H1822" s="5">
        <f>HYPERLINK("https://www.youtube.com/watch?v=ExysckpNP9I", "영상 보기 ▶")</f>
        <v/>
      </c>
    </row>
    <row r="1823" ht="26" customHeight="1">
      <c r="A1823" s="6" t="n">
        <v>1822</v>
      </c>
      <c r="B1823" s="7" t="inlineStr">
        <is>
          <t>총정리 37탄</t>
        </is>
      </c>
      <c r="C1823" s="7" t="inlineStr">
        <is>
          <t>실전회화/표현</t>
        </is>
      </c>
      <c r="D1823" s="8" t="inlineStr">
        <is>
          <t>not an option</t>
        </is>
      </c>
      <c r="E1823" s="12" t="inlineStr">
        <is>
          <t>불가능한, 절대 안되는</t>
        </is>
      </c>
      <c r="F1823" s="12" t="inlineStr">
        <is>
          <t>Failure is not an option.</t>
        </is>
      </c>
      <c r="G1823" s="12" t="inlineStr">
        <is>
          <t>절대 실패해선 안돼.</t>
        </is>
      </c>
      <c r="H1823" s="9">
        <f>HYPERLINK("https://www.youtube.com/watch?v=ExysckpNP9I", "영상 보기 ▶")</f>
        <v/>
      </c>
    </row>
    <row r="1824" ht="26" customHeight="1">
      <c r="A1824" s="2" t="n">
        <v>1823</v>
      </c>
      <c r="B1824" s="3" t="inlineStr">
        <is>
          <t>총정리 37탄</t>
        </is>
      </c>
      <c r="C1824" s="3" t="inlineStr">
        <is>
          <t>실전회화/표현</t>
        </is>
      </c>
      <c r="D1824" s="4" t="inlineStr">
        <is>
          <t>lose sleep over ~</t>
        </is>
      </c>
      <c r="E1824" s="11" t="inlineStr">
        <is>
          <t>를 걱정하느라 밤잠을 설치다</t>
        </is>
      </c>
      <c r="F1824" s="11" t="inlineStr">
        <is>
          <t>I wouldn’t lose any sleep over it.</t>
        </is>
      </c>
      <c r="G1824" s="11" t="inlineStr">
        <is>
          <t>나라면 너무 걱정하지 않을 것 같아.</t>
        </is>
      </c>
      <c r="H1824" s="5">
        <f>HYPERLINK("https://www.youtube.com/watch?v=ExysckpNP9I", "영상 보기 ▶")</f>
        <v/>
      </c>
    </row>
    <row r="1825" ht="26" customHeight="1">
      <c r="A1825" s="6" t="n">
        <v>1824</v>
      </c>
      <c r="B1825" s="7" t="inlineStr">
        <is>
          <t>총정리 37탄</t>
        </is>
      </c>
      <c r="C1825" s="7" t="inlineStr">
        <is>
          <t>실전회화/표현</t>
        </is>
      </c>
      <c r="D1825" s="8" t="inlineStr">
        <is>
          <t>pencil in</t>
        </is>
      </c>
      <c r="E1825" s="12" t="inlineStr">
        <is>
          <t>일단 예정해 놓다, 잡아놓다</t>
        </is>
      </c>
      <c r="F1825" s="12" t="inlineStr">
        <is>
          <t>Let’s pencil that in.</t>
        </is>
      </c>
      <c r="G1825" s="12" t="inlineStr">
        <is>
          <t>일단 그때로 예정해두자.</t>
        </is>
      </c>
      <c r="H1825" s="9">
        <f>HYPERLINK("https://www.youtube.com/watch?v=ExysckpNP9I", "영상 보기 ▶")</f>
        <v/>
      </c>
    </row>
    <row r="1826" ht="26" customHeight="1">
      <c r="A1826" s="2" t="n">
        <v>1825</v>
      </c>
      <c r="B1826" s="3" t="inlineStr">
        <is>
          <t>총정리 37탄</t>
        </is>
      </c>
      <c r="C1826" s="3" t="inlineStr">
        <is>
          <t>실전회화/표현</t>
        </is>
      </c>
      <c r="D1826" s="4" t="inlineStr">
        <is>
          <t>tentatively</t>
        </is>
      </c>
      <c r="E1826" s="11" t="inlineStr">
        <is>
          <t>잠정적으로, 임시적으로</t>
        </is>
      </c>
      <c r="F1826" s="11" t="inlineStr">
        <is>
          <t>Why don’t we tentatively schedule a meeting for this Friday at 11?</t>
        </is>
      </c>
      <c r="G1826" s="11" t="inlineStr">
        <is>
          <t>일단 금요일 11시로 일정을 잡아놓는게 어떨까요?</t>
        </is>
      </c>
      <c r="H1826" s="5">
        <f>HYPERLINK("https://www.youtube.com/watch?v=ExysckpNP9I", "영상 보기 ▶")</f>
        <v/>
      </c>
    </row>
    <row r="1827" ht="26" customHeight="1">
      <c r="A1827" s="6" t="n">
        <v>1826</v>
      </c>
      <c r="B1827" s="7" t="inlineStr">
        <is>
          <t>총정리 37탄</t>
        </is>
      </c>
      <c r="C1827" s="7" t="inlineStr">
        <is>
          <t>실전회화/표현</t>
        </is>
      </c>
      <c r="D1827" s="8" t="inlineStr">
        <is>
          <t>come bearing gifts</t>
        </is>
      </c>
      <c r="E1827" s="12" t="inlineStr">
        <is>
          <t>선물을 가져오다</t>
        </is>
      </c>
      <c r="F1827" s="12" t="inlineStr">
        <is>
          <t>I come bearing good news.</t>
        </is>
      </c>
      <c r="G1827" s="12" t="inlineStr">
        <is>
          <t>좋은 소식을 가져왔어.</t>
        </is>
      </c>
      <c r="H1827" s="9">
        <f>HYPERLINK("https://www.youtube.com/watch?v=ExysckpNP9I", "영상 보기 ▶")</f>
        <v/>
      </c>
    </row>
    <row r="1828" ht="26" customHeight="1">
      <c r="A1828" s="2" t="n">
        <v>1827</v>
      </c>
      <c r="B1828" s="3" t="inlineStr">
        <is>
          <t>총정리 37탄</t>
        </is>
      </c>
      <c r="C1828" s="3" t="inlineStr">
        <is>
          <t>실전회화/표현</t>
        </is>
      </c>
      <c r="D1828" s="4" t="inlineStr">
        <is>
          <t>​I hate to be the bearer of bad news, but</t>
        </is>
      </c>
      <c r="E1828" s="11" t="inlineStr">
        <is>
          <t>나쁜 소식을 전하기 싫지만</t>
        </is>
      </c>
      <c r="F1828" s="11" t="inlineStr">
        <is>
          <t>I hate to be the bearer of bad news, but the deadline has been moved up.</t>
        </is>
      </c>
      <c r="G1828" s="11" t="inlineStr">
        <is>
          <t>나쁜 소식을 전하기 싫지만 마감일이 앞당겨졌어.</t>
        </is>
      </c>
      <c r="H1828" s="5">
        <f>HYPERLINK("https://www.youtube.com/watch?v=ExysckpNP9I", "영상 보기 ▶")</f>
        <v/>
      </c>
    </row>
    <row r="1829" ht="26" customHeight="1">
      <c r="A1829" s="6" t="n">
        <v>1828</v>
      </c>
      <c r="B1829" s="7" t="inlineStr">
        <is>
          <t>총정리 37탄</t>
        </is>
      </c>
      <c r="C1829" s="7" t="inlineStr">
        <is>
          <t>공감/감정</t>
        </is>
      </c>
      <c r="D1829" s="8" t="inlineStr">
        <is>
          <t>bring something up (</t>
        </is>
      </c>
      <c r="E1829" s="12" t="inlineStr">
        <is>
          <t>화제를) 꺼내다</t>
        </is>
      </c>
      <c r="F1829" s="12" t="inlineStr">
        <is>
          <t>I’ll bring that up in the meeting.</t>
        </is>
      </c>
      <c r="G1829" s="12" t="inlineStr">
        <is>
          <t>회의중에 그 얘기를 꺼내볼게.</t>
        </is>
      </c>
      <c r="H1829" s="9">
        <f>HYPERLINK("https://www.youtube.com/watch?v=ExysckpNP9I", "영상 보기 ▶")</f>
        <v/>
      </c>
    </row>
    <row r="1830" ht="26" customHeight="1">
      <c r="A1830" s="2" t="n">
        <v>1829</v>
      </c>
      <c r="B1830" s="3" t="inlineStr">
        <is>
          <t>총정리 37탄</t>
        </is>
      </c>
      <c r="C1830" s="3" t="inlineStr">
        <is>
          <t>실전회화/표현</t>
        </is>
      </c>
      <c r="D1830" s="4" t="inlineStr">
        <is>
          <t>bring in</t>
        </is>
      </c>
      <c r="E1830" s="11" t="inlineStr">
        <is>
          <t>유치하다</t>
        </is>
      </c>
      <c r="F1830" s="11" t="inlineStr">
        <is>
          <t>We need to bring in more new customers.</t>
        </is>
      </c>
      <c r="G1830" s="11" t="inlineStr">
        <is>
          <t>더 많은 신규 고객을 확보해야 해.</t>
        </is>
      </c>
      <c r="H1830" s="5">
        <f>HYPERLINK("https://www.youtube.com/watch?v=ExysckpNP9I", "영상 보기 ▶")</f>
        <v/>
      </c>
    </row>
    <row r="1831" ht="26" customHeight="1">
      <c r="A1831" s="6" t="n">
        <v>1830</v>
      </c>
      <c r="B1831" s="7" t="inlineStr">
        <is>
          <t>총정리 37탄</t>
        </is>
      </c>
      <c r="C1831" s="7" t="inlineStr">
        <is>
          <t>실전회화/표현</t>
        </is>
      </c>
      <c r="D1831" s="8" t="inlineStr">
        <is>
          <t>bring back</t>
        </is>
      </c>
      <c r="E1831" s="12" t="inlineStr">
        <is>
          <t>기억나게 하다, 상기시키다</t>
        </is>
      </c>
      <c r="F1831" s="12" t="inlineStr">
        <is>
          <t>This song brings back memories.</t>
        </is>
      </c>
      <c r="G1831" s="12" t="inlineStr">
        <is>
          <t>이 노래를 들으니 옛날 생각이 난다.</t>
        </is>
      </c>
      <c r="H1831" s="9">
        <f>HYPERLINK("https://www.youtube.com/watch?v=ExysckpNP9I", "영상 보기 ▶")</f>
        <v/>
      </c>
    </row>
    <row r="1832" ht="26" customHeight="1">
      <c r="A1832" s="2" t="n">
        <v>1831</v>
      </c>
      <c r="B1832" s="3" t="inlineStr">
        <is>
          <t>총정리 37탄</t>
        </is>
      </c>
      <c r="C1832" s="3" t="inlineStr">
        <is>
          <t>실전회화/표현</t>
        </is>
      </c>
      <c r="D1832" s="4" t="inlineStr">
        <is>
          <t>make (</t>
        </is>
      </c>
      <c r="E1832" s="11" t="inlineStr">
        <is>
          <t>어떤 장소나 위치로 힘들게) 가다, 이르다</t>
        </is>
      </c>
      <c r="F1832" s="11" t="inlineStr">
        <is>
          <t>I made it.</t>
        </is>
      </c>
      <c r="G1832" s="11" t="inlineStr">
        <is>
          <t>내가 해냈어.</t>
        </is>
      </c>
      <c r="H1832" s="5">
        <f>HYPERLINK("https://www.youtube.com/watch?v=ExysckpNP9I", "영상 보기 ▶")</f>
        <v/>
      </c>
    </row>
    <row r="1833" ht="26" customHeight="1">
      <c r="A1833" s="6" t="n">
        <v>1832</v>
      </c>
      <c r="B1833" s="7" t="inlineStr">
        <is>
          <t>총정리 37탄</t>
        </is>
      </c>
      <c r="C1833" s="7" t="inlineStr">
        <is>
          <t>실전회화/표현</t>
        </is>
      </c>
      <c r="D1833" s="8" t="inlineStr">
        <is>
          <t>Thank you for making it.</t>
        </is>
      </c>
      <c r="E1833" s="12" t="inlineStr">
        <is>
          <t>와줘서 고마워.</t>
        </is>
      </c>
      <c r="F1833" s="12" t="inlineStr">
        <is>
          <t>Thank you for making it.</t>
        </is>
      </c>
      <c r="G1833" s="12" t="inlineStr">
        <is>
          <t>와줘서 고마워.</t>
        </is>
      </c>
      <c r="H1833" s="9">
        <f>HYPERLINK("https://www.youtube.com/watch?v=ExysckpNP9I", "영상 보기 ▶")</f>
        <v/>
      </c>
    </row>
    <row r="1834" ht="26" customHeight="1">
      <c r="A1834" s="2" t="n">
        <v>1833</v>
      </c>
      <c r="B1834" s="3" t="inlineStr">
        <is>
          <t>총정리 37탄</t>
        </is>
      </c>
      <c r="C1834" s="3" t="inlineStr">
        <is>
          <t>실전회화/표현</t>
        </is>
      </c>
      <c r="D1834" s="4" t="inlineStr">
        <is>
          <t>Thank you for having me.​</t>
        </is>
      </c>
      <c r="E1834" s="11" t="inlineStr">
        <is>
          <t>초대해줘서 고마워.</t>
        </is>
      </c>
      <c r="F1834" s="11" t="inlineStr">
        <is>
          <t>Thank you for having me.​</t>
        </is>
      </c>
      <c r="G1834" s="11" t="inlineStr">
        <is>
          <t>초대해줘서 고마워.</t>
        </is>
      </c>
      <c r="H1834" s="5">
        <f>HYPERLINK("https://www.youtube.com/watch?v=ExysckpNP9I", "영상 보기 ▶")</f>
        <v/>
      </c>
    </row>
    <row r="1835" ht="26" customHeight="1">
      <c r="A1835" s="6" t="n">
        <v>1834</v>
      </c>
      <c r="B1835" s="7" t="inlineStr">
        <is>
          <t>총정리 37탄</t>
        </is>
      </c>
      <c r="C1835" s="7" t="inlineStr">
        <is>
          <t>실전회화/표현</t>
        </is>
      </c>
      <c r="D1835" s="8" t="inlineStr">
        <is>
          <t>can’t bring oneself to</t>
        </is>
      </c>
      <c r="E1835" s="12" t="inlineStr">
        <is>
          <t>차마 ~할 엄두가 나지 않다</t>
        </is>
      </c>
      <c r="F1835" s="12" t="inlineStr">
        <is>
          <t>I can’t bring myself to do it.</t>
        </is>
      </c>
      <c r="G1835" s="12" t="inlineStr">
        <is>
          <t>차마 그럴 마음이 안들어.</t>
        </is>
      </c>
      <c r="H1835" s="9">
        <f>HYPERLINK("https://www.youtube.com/watch?v=ExysckpNP9I", "영상 보기 ▶")</f>
        <v/>
      </c>
    </row>
    <row r="1836" ht="26" customHeight="1">
      <c r="A1836" s="2" t="n">
        <v>1835</v>
      </c>
      <c r="B1836" s="3" t="inlineStr">
        <is>
          <t>총정리 37탄</t>
        </is>
      </c>
      <c r="C1836" s="3" t="inlineStr">
        <is>
          <t>의견/의사결정</t>
        </is>
      </c>
      <c r="D1836" s="4" t="inlineStr">
        <is>
          <t>be open to ~</t>
        </is>
      </c>
      <c r="E1836" s="11" t="inlineStr">
        <is>
          <t>를 고려할 생각이 있다</t>
        </is>
      </c>
      <c r="F1836" s="11" t="inlineStr">
        <is>
          <t>I’m open to the idea.</t>
        </is>
      </c>
      <c r="G1836" s="11" t="inlineStr">
        <is>
          <t>그 아이디어를 고려할 생각이 있어.</t>
        </is>
      </c>
      <c r="H1836" s="5">
        <f>HYPERLINK("https://www.youtube.com/watch?v=ExysckpNP9I", "영상 보기 ▶")</f>
        <v/>
      </c>
    </row>
    <row r="1837" ht="26" customHeight="1">
      <c r="A1837" s="6" t="n">
        <v>1836</v>
      </c>
      <c r="B1837" s="7" t="inlineStr">
        <is>
          <t>총정리 37탄</t>
        </is>
      </c>
      <c r="C1837" s="7" t="inlineStr">
        <is>
          <t>실전회화/표현</t>
        </is>
      </c>
      <c r="D1837" s="8" t="inlineStr">
        <is>
          <t>That brings us to the next point.</t>
        </is>
      </c>
      <c r="E1837" s="12" t="inlineStr">
        <is>
          <t>그게 다음 포인트로 이어집니다.</t>
        </is>
      </c>
      <c r="F1837" s="12" t="inlineStr">
        <is>
          <t>That brings us to the next point.</t>
        </is>
      </c>
      <c r="G1837" s="12" t="inlineStr">
        <is>
          <t>그게 다음 포인트로 이어집니다.</t>
        </is>
      </c>
      <c r="H1837" s="9">
        <f>HYPERLINK("https://www.youtube.com/watch?v=ExysckpNP9I", "영상 보기 ▶")</f>
        <v/>
      </c>
    </row>
    <row r="1838" ht="26" customHeight="1">
      <c r="A1838" s="2" t="n">
        <v>1837</v>
      </c>
      <c r="B1838" s="3" t="inlineStr">
        <is>
          <t>총정리 37탄</t>
        </is>
      </c>
      <c r="C1838" s="3" t="inlineStr">
        <is>
          <t>공감/감정</t>
        </is>
      </c>
      <c r="D1838" s="4" t="inlineStr">
        <is>
          <t>bring someone up to speed</t>
        </is>
      </c>
      <c r="E1838" s="11" t="inlineStr">
        <is>
          <t>현 상황을 알려주다, 이해시키다</t>
        </is>
      </c>
      <c r="F1838" s="11" t="inlineStr">
        <is>
          <t>Can you bring me up to speed?</t>
        </is>
      </c>
      <c r="G1838" s="11" t="inlineStr">
        <is>
          <t>어떻게 진행되고 있는지 알려줄 수 있어?</t>
        </is>
      </c>
      <c r="H1838" s="5">
        <f>HYPERLINK("https://www.youtube.com/watch?v=ExysckpNP9I", "영상 보기 ▶")</f>
        <v/>
      </c>
    </row>
    <row r="1839" ht="26" customHeight="1">
      <c r="A1839" s="6" t="n">
        <v>1838</v>
      </c>
      <c r="B1839" s="7" t="inlineStr">
        <is>
          <t>총정리 37탄</t>
        </is>
      </c>
      <c r="C1839" s="7" t="inlineStr">
        <is>
          <t>실전회화/표현</t>
        </is>
      </c>
      <c r="D1839" s="8" t="inlineStr">
        <is>
          <t>get into</t>
        </is>
      </c>
      <c r="E1839" s="12" t="inlineStr">
        <is>
          <t>자세히 얘기하다</t>
        </is>
      </c>
      <c r="F1839" s="12" t="inlineStr">
        <is>
          <t>Due to time constraints, I can’t get into the details.</t>
        </is>
      </c>
      <c r="G1839" s="12" t="inlineStr">
        <is>
          <t>시간상 세세한 것 까지 얘기할 수는 없어요.</t>
        </is>
      </c>
      <c r="H1839" s="9">
        <f>HYPERLINK("https://www.youtube.com/watch?v=ExysckpNP9I", "영상 보기 ▶")</f>
        <v/>
      </c>
    </row>
    <row r="1840" ht="26" customHeight="1">
      <c r="A1840" s="2" t="n">
        <v>1839</v>
      </c>
      <c r="B1840" s="3" t="inlineStr">
        <is>
          <t>총정리 37탄</t>
        </is>
      </c>
      <c r="C1840" s="3" t="inlineStr">
        <is>
          <t>실전회화/표현</t>
        </is>
      </c>
      <c r="D1840" s="4" t="inlineStr">
        <is>
          <t>water under the bridge</t>
        </is>
      </c>
      <c r="E1840" s="11" t="inlineStr">
        <is>
          <t>이미 지난 일</t>
        </is>
      </c>
      <c r="F1840" s="11" t="inlineStr">
        <is>
          <t>We had some ups and downs, but that’s all water under the bridge now.</t>
        </is>
      </c>
      <c r="G1840" s="11" t="inlineStr">
        <is>
          <t>우여곡절이 있긴 했지만 이미 다 지난 일이야.</t>
        </is>
      </c>
      <c r="H1840" s="5">
        <f>HYPERLINK("https://www.youtube.com/watch?v=ExysckpNP9I", "영상 보기 ▶")</f>
        <v/>
      </c>
    </row>
    <row r="1841" ht="26" customHeight="1">
      <c r="A1841" s="6" t="n">
        <v>1840</v>
      </c>
      <c r="B1841" s="7" t="inlineStr">
        <is>
          <t>총정리 37탄</t>
        </is>
      </c>
      <c r="C1841" s="7" t="inlineStr">
        <is>
          <t>의견/의사결정</t>
        </is>
      </c>
      <c r="D1841" s="8" t="inlineStr">
        <is>
          <t>Any ideas?</t>
        </is>
      </c>
      <c r="E1841" s="12" t="inlineStr">
        <is>
          <t>좋은 의견 있나요?</t>
        </is>
      </c>
      <c r="F1841" s="12" t="inlineStr">
        <is>
          <t>Any ideas?</t>
        </is>
      </c>
      <c r="G1841" s="12" t="inlineStr">
        <is>
          <t>좋은 의견 있나요?</t>
        </is>
      </c>
      <c r="H1841" s="9">
        <f>HYPERLINK("https://www.youtube.com/watch?v=ExysckpNP9I", "영상 보기 ▶")</f>
        <v/>
      </c>
    </row>
    <row r="1842" ht="26" customHeight="1">
      <c r="A1842" s="2" t="n">
        <v>1841</v>
      </c>
      <c r="B1842" s="3" t="inlineStr">
        <is>
          <t>총정리 37탄</t>
        </is>
      </c>
      <c r="C1842" s="3" t="inlineStr">
        <is>
          <t>실전회화/표현</t>
        </is>
      </c>
      <c r="D1842" s="4" t="inlineStr">
        <is>
          <t>Do you have any idea ~? ~</t>
        </is>
      </c>
      <c r="E1842" s="11" t="inlineStr">
        <is>
          <t>에 대해 아는 거 있어?</t>
        </is>
      </c>
      <c r="F1842" s="11" t="inlineStr">
        <is>
          <t>Do you have any idea when it’ll be done?</t>
        </is>
      </c>
      <c r="G1842" s="11" t="inlineStr">
        <is>
          <t>언제 끝날지 대략적으로 알고 계시나요?</t>
        </is>
      </c>
      <c r="H1842" s="5">
        <f>HYPERLINK("https://www.youtube.com/watch?v=ExysckpNP9I", "영상 보기 ▶")</f>
        <v/>
      </c>
    </row>
    <row r="1843" ht="26" customHeight="1">
      <c r="A1843" s="6" t="n">
        <v>1842</v>
      </c>
      <c r="B1843" s="7" t="inlineStr">
        <is>
          <t>총정리 37탄</t>
        </is>
      </c>
      <c r="C1843" s="7" t="inlineStr">
        <is>
          <t>실전회화/표현</t>
        </is>
      </c>
      <c r="D1843" s="8" t="inlineStr">
        <is>
          <t>Do you have any idea ~?</t>
        </is>
      </c>
      <c r="E1843" s="12" t="inlineStr">
        <is>
          <t>알기나 해?</t>
        </is>
      </c>
      <c r="F1843" s="12" t="inlineStr">
        <is>
          <t>Do you have any idea who I am?</t>
        </is>
      </c>
      <c r="G1843" s="12" t="inlineStr">
        <is>
          <t>내가 누군지 알기나 해?</t>
        </is>
      </c>
      <c r="H1843" s="9">
        <f>HYPERLINK("https://www.youtube.com/watch?v=ExysckpNP9I", "영상 보기 ▶")</f>
        <v/>
      </c>
    </row>
    <row r="1844" ht="26" customHeight="1">
      <c r="A1844" s="2" t="n">
        <v>1843</v>
      </c>
      <c r="B1844" s="3" t="inlineStr">
        <is>
          <t>총정리 37탄</t>
        </is>
      </c>
      <c r="C1844" s="3" t="inlineStr">
        <is>
          <t>실전회화/표현</t>
        </is>
      </c>
      <c r="D1844" s="4" t="inlineStr">
        <is>
          <t>on a lighter note</t>
        </is>
      </c>
      <c r="E1844" s="11" t="inlineStr">
        <is>
          <t>가벼운 얘기를 하자면</t>
        </is>
      </c>
      <c r="F1844" s="11" t="inlineStr">
        <is>
          <t>On a lighter note, what do you wanna have for lunch?</t>
        </is>
      </c>
      <c r="G1844" s="11" t="inlineStr">
        <is>
          <t>좀 더 가벼운 얘기로 점심에 뭐 먹을래?</t>
        </is>
      </c>
      <c r="H1844" s="5">
        <f>HYPERLINK("https://www.youtube.com/watch?v=ExysckpNP9I", "영상 보기 ▶")</f>
        <v/>
      </c>
    </row>
    <row r="1845" ht="26" customHeight="1">
      <c r="A1845" s="6" t="n">
        <v>1844</v>
      </c>
      <c r="B1845" s="7" t="inlineStr">
        <is>
          <t>총정리 37탄</t>
        </is>
      </c>
      <c r="C1845" s="7" t="inlineStr">
        <is>
          <t>실전회화/표현</t>
        </is>
      </c>
      <c r="D1845" s="8" t="inlineStr">
        <is>
          <t>silver lining</t>
        </is>
      </c>
      <c r="E1845" s="12" t="inlineStr">
        <is>
          <t>희망, 긍정적인 면</t>
        </is>
      </c>
      <c r="F1845" s="12" t="inlineStr">
        <is>
          <t>Every cloud has a silver lining.</t>
        </is>
      </c>
      <c r="G1845" s="12" t="inlineStr">
        <is>
          <t>힘든 일이 지나면 좋은 일이 있을 거야.</t>
        </is>
      </c>
      <c r="H1845" s="9">
        <f>HYPERLINK("https://www.youtube.com/watch?v=ExysckpNP9I", "영상 보기 ▶")</f>
        <v/>
      </c>
    </row>
    <row r="1846" ht="26" customHeight="1">
      <c r="A1846" s="2" t="n">
        <v>1845</v>
      </c>
      <c r="B1846" s="3" t="inlineStr">
        <is>
          <t>총정리 37탄</t>
        </is>
      </c>
      <c r="C1846" s="3" t="inlineStr">
        <is>
          <t>실전회화/표현</t>
        </is>
      </c>
      <c r="D1846" s="4" t="inlineStr">
        <is>
          <t>It is what it is.</t>
        </is>
      </c>
      <c r="E1846" s="11" t="inlineStr">
        <is>
          <t>어쩔 수 없지.</t>
        </is>
      </c>
      <c r="F1846" s="11" t="inlineStr">
        <is>
          <t>It is what it is.</t>
        </is>
      </c>
      <c r="G1846" s="11" t="inlineStr">
        <is>
          <t>어쩔 수 없지.</t>
        </is>
      </c>
      <c r="H1846" s="5">
        <f>HYPERLINK("https://www.youtube.com/watch?v=ExysckpNP9I", "영상 보기 ▶")</f>
        <v/>
      </c>
    </row>
    <row r="1847" ht="26" customHeight="1">
      <c r="A1847" s="6" t="n">
        <v>1846</v>
      </c>
      <c r="B1847" s="7" t="inlineStr">
        <is>
          <t>총정리 37탄</t>
        </is>
      </c>
      <c r="C1847" s="7" t="inlineStr">
        <is>
          <t>실전회화/표현</t>
        </is>
      </c>
      <c r="D1847" s="8" t="inlineStr">
        <is>
          <t>next level</t>
        </is>
      </c>
      <c r="E1847" s="12" t="inlineStr">
        <is>
          <t>확연히 멋진</t>
        </is>
      </c>
      <c r="F1847" s="12" t="inlineStr">
        <is>
          <t>Wow, this is next level.</t>
        </is>
      </c>
      <c r="G1847" s="12" t="inlineStr">
        <is>
          <t>이건 진짜 확연히 좋은데.</t>
        </is>
      </c>
      <c r="H1847" s="9">
        <f>HYPERLINK("https://www.youtube.com/watch?v=ExysckpNP9I", "영상 보기 ▶")</f>
        <v/>
      </c>
    </row>
    <row r="1848" ht="26" customHeight="1">
      <c r="A1848" s="2" t="n">
        <v>1847</v>
      </c>
      <c r="B1848" s="3" t="inlineStr">
        <is>
          <t>총정리 37탄</t>
        </is>
      </c>
      <c r="C1848" s="3" t="inlineStr">
        <is>
          <t>실전회화/표현</t>
        </is>
      </c>
      <c r="D1848" s="4" t="inlineStr">
        <is>
          <t>​a whole new level</t>
        </is>
      </c>
      <c r="E1848" s="11" t="inlineStr">
        <is>
          <t>완전히 다른 차원의</t>
        </is>
      </c>
      <c r="F1848" s="11" t="inlineStr">
        <is>
          <t>They took the quality to a whole new level.</t>
        </is>
      </c>
      <c r="G1848" s="11" t="inlineStr">
        <is>
          <t>그들이 제품의 품질을 새로운 차원으로 끌어올렸어.</t>
        </is>
      </c>
      <c r="H1848" s="5">
        <f>HYPERLINK("https://www.youtube.com/watch?v=ExysckpNP9I", "영상 보기 ▶")</f>
        <v/>
      </c>
    </row>
    <row r="1849" ht="26" customHeight="1">
      <c r="A1849" s="6" t="n">
        <v>1848</v>
      </c>
      <c r="B1849" s="7" t="inlineStr">
        <is>
          <t>총정리 37탄</t>
        </is>
      </c>
      <c r="C1849" s="7" t="inlineStr">
        <is>
          <t>실전회화/표현</t>
        </is>
      </c>
      <c r="D1849" s="8" t="inlineStr">
        <is>
          <t>Don’t be shy.</t>
        </is>
      </c>
      <c r="E1849" s="12" t="inlineStr">
        <is>
          <t>눈지 보지 마.</t>
        </is>
      </c>
      <c r="F1849" s="12" t="inlineStr">
        <is>
          <t>Don’t be shy. Take as much as you want.</t>
        </is>
      </c>
      <c r="G1849" s="12" t="inlineStr">
        <is>
          <t>눈치보지 말고 원하는 만큼 가져가.</t>
        </is>
      </c>
      <c r="H1849" s="9">
        <f>HYPERLINK("https://www.youtube.com/watch?v=ExysckpNP9I", "영상 보기 ▶")</f>
        <v/>
      </c>
    </row>
    <row r="1850" ht="26" customHeight="1">
      <c r="A1850" s="2" t="n">
        <v>1849</v>
      </c>
      <c r="B1850" s="3" t="inlineStr">
        <is>
          <t>총정리 37탄</t>
        </is>
      </c>
      <c r="C1850" s="3" t="inlineStr">
        <is>
          <t>실전회화/표현</t>
        </is>
      </c>
      <c r="D1850" s="4" t="inlineStr">
        <is>
          <t>getaway</t>
        </is>
      </c>
      <c r="E1850" s="11" t="inlineStr">
        <is>
          <t>짧은 휴가, 여행</t>
        </is>
      </c>
      <c r="F1850" s="11" t="inlineStr">
        <is>
          <t>I could really use a weekend getaway.</t>
        </is>
      </c>
      <c r="G1850" s="11" t="inlineStr">
        <is>
          <t>주말에 어딘가로 떠나면 정말 좋겠다.</t>
        </is>
      </c>
      <c r="H1850" s="5">
        <f>HYPERLINK("https://www.youtube.com/watch?v=ExysckpNP9I", "영상 보기 ▶")</f>
        <v/>
      </c>
    </row>
    <row r="1851" ht="26" customHeight="1">
      <c r="A1851" s="6" t="n">
        <v>1850</v>
      </c>
      <c r="B1851" s="7" t="inlineStr">
        <is>
          <t>총정리 37탄</t>
        </is>
      </c>
      <c r="C1851" s="7" t="inlineStr">
        <is>
          <t>실전회화/표현</t>
        </is>
      </c>
      <c r="D1851" s="8" t="inlineStr">
        <is>
          <t>bring to the table</t>
        </is>
      </c>
      <c r="E1851" s="12" t="inlineStr">
        <is>
          <t>이익을 제공하다, 기여하다</t>
        </is>
      </c>
      <c r="F1851" s="12" t="inlineStr">
        <is>
          <t>She can bring a lot to the table.</t>
        </is>
      </c>
      <c r="G1851" s="12" t="inlineStr">
        <is>
          <t>그녀가 많은 도움을 줄 수 있어.</t>
        </is>
      </c>
      <c r="H1851" s="9">
        <f>HYPERLINK("https://www.youtube.com/watch?v=ExysckpNP9I", "영상 보기 ▶")</f>
        <v/>
      </c>
    </row>
    <row r="1852" ht="26" customHeight="1">
      <c r="A1852" s="2" t="n">
        <v>1851</v>
      </c>
      <c r="B1852" s="3" t="inlineStr">
        <is>
          <t>총정리 38탄</t>
        </is>
      </c>
      <c r="C1852" s="3" t="inlineStr">
        <is>
          <t>실전회화/표현</t>
        </is>
      </c>
      <c r="D1852" s="4" t="inlineStr">
        <is>
          <t>biased</t>
        </is>
      </c>
      <c r="E1852" s="11" t="inlineStr">
        <is>
          <t>편향된, 선입견이 있는</t>
        </is>
      </c>
      <c r="F1852" s="11" t="inlineStr">
        <is>
          <t>He's my son. Of course, I'm biased.</t>
        </is>
      </c>
      <c r="G1852" s="11" t="inlineStr">
        <is>
          <t>고슴도치도 자기 자식은 예쁘다는데 당연히 내 아들이니 예쁘지.</t>
        </is>
      </c>
      <c r="H1852" s="5">
        <f>HYPERLINK("https://www.youtube.com/watch?v=WM60HyfMDss", "영상 보기 ▶")</f>
        <v/>
      </c>
    </row>
    <row r="1853" ht="26" customHeight="1">
      <c r="A1853" s="6" t="n">
        <v>1852</v>
      </c>
      <c r="B1853" s="7" t="inlineStr">
        <is>
          <t>총정리 38탄</t>
        </is>
      </c>
      <c r="C1853" s="7" t="inlineStr">
        <is>
          <t>공감/감정</t>
        </is>
      </c>
      <c r="D1853" s="8" t="inlineStr">
        <is>
          <t>mixed feelings</t>
        </is>
      </c>
      <c r="E1853" s="12" t="inlineStr">
        <is>
          <t>복잡한 감정, 착잡한 느낌</t>
        </is>
      </c>
      <c r="F1853" s="12" t="inlineStr">
        <is>
          <t>I have mixed feelings about this.</t>
        </is>
      </c>
      <c r="G1853" s="12" t="inlineStr">
        <is>
          <t>정말 만감이 교차하네요.</t>
        </is>
      </c>
      <c r="H1853" s="9">
        <f>HYPERLINK("https://www.youtube.com/watch?v=WM60HyfMDss", "영상 보기 ▶")</f>
        <v/>
      </c>
    </row>
    <row r="1854" ht="26" customHeight="1">
      <c r="A1854" s="2" t="n">
        <v>1853</v>
      </c>
      <c r="B1854" s="3" t="inlineStr">
        <is>
          <t>총정리 38탄</t>
        </is>
      </c>
      <c r="C1854" s="3" t="inlineStr">
        <is>
          <t>실전회화/표현</t>
        </is>
      </c>
      <c r="D1854" s="4" t="inlineStr">
        <is>
          <t>particular</t>
        </is>
      </c>
      <c r="E1854" s="11" t="inlineStr">
        <is>
          <t>까다로운</t>
        </is>
      </c>
      <c r="F1854" s="11" t="inlineStr">
        <is>
          <t>He's particular.</t>
        </is>
      </c>
      <c r="G1854" s="11" t="inlineStr">
        <is>
          <t>그는 까다로워.</t>
        </is>
      </c>
      <c r="H1854" s="5">
        <f>HYPERLINK("https://www.youtube.com/watch?v=WM60HyfMDss", "영상 보기 ▶")</f>
        <v/>
      </c>
    </row>
    <row r="1855" ht="26" customHeight="1">
      <c r="A1855" s="6" t="n">
        <v>1854</v>
      </c>
      <c r="B1855" s="7" t="inlineStr">
        <is>
          <t>총정리 38탄</t>
        </is>
      </c>
      <c r="C1855" s="7" t="inlineStr">
        <is>
          <t>실전회화/표현</t>
        </is>
      </c>
      <c r="D1855" s="8" t="inlineStr">
        <is>
          <t>for ~</t>
        </is>
      </c>
      <c r="E1855" s="12" t="inlineStr">
        <is>
          <t>치곤, ~에 비해</t>
        </is>
      </c>
      <c r="F1855" s="12" t="inlineStr">
        <is>
          <t>It's warm for February.</t>
        </is>
      </c>
      <c r="G1855" s="12" t="inlineStr">
        <is>
          <t>2월치고는 따뜻해.</t>
        </is>
      </c>
      <c r="H1855" s="9">
        <f>HYPERLINK("https://www.youtube.com/watch?v=WM60HyfMDss", "영상 보기 ▶")</f>
        <v/>
      </c>
    </row>
    <row r="1856" ht="26" customHeight="1">
      <c r="A1856" s="2" t="n">
        <v>1855</v>
      </c>
      <c r="B1856" s="3" t="inlineStr">
        <is>
          <t>총정리 38탄</t>
        </is>
      </c>
      <c r="C1856" s="3" t="inlineStr">
        <is>
          <t>실전회화/표현</t>
        </is>
      </c>
      <c r="D1856" s="4" t="inlineStr">
        <is>
          <t>have a way with ~</t>
        </is>
      </c>
      <c r="E1856" s="11" t="inlineStr">
        <is>
          <t>를 잘 다루다, 특별한 재능이 있다</t>
        </is>
      </c>
      <c r="F1856" s="11" t="inlineStr">
        <is>
          <t>She has a way with children.</t>
        </is>
      </c>
      <c r="G1856" s="11" t="inlineStr">
        <is>
          <t>그녀는 아이들을 정말 잘 다뤄요.</t>
        </is>
      </c>
      <c r="H1856" s="5">
        <f>HYPERLINK("https://www.youtube.com/watch?v=WM60HyfMDss", "영상 보기 ▶")</f>
        <v/>
      </c>
    </row>
    <row r="1857" ht="26" customHeight="1">
      <c r="A1857" s="6" t="n">
        <v>1856</v>
      </c>
      <c r="B1857" s="7" t="inlineStr">
        <is>
          <t>총정리 38탄</t>
        </is>
      </c>
      <c r="C1857" s="7" t="inlineStr">
        <is>
          <t>실전회화/표현</t>
        </is>
      </c>
      <c r="D1857" s="8" t="inlineStr">
        <is>
          <t>care for</t>
        </is>
      </c>
      <c r="E1857" s="12" t="inlineStr">
        <is>
          <t>좋아하다</t>
        </is>
      </c>
      <c r="F1857" s="12" t="inlineStr">
        <is>
          <t>Would you care for another drink?</t>
        </is>
      </c>
      <c r="G1857" s="12" t="inlineStr">
        <is>
          <t>한잔 더 마실래?</t>
        </is>
      </c>
      <c r="H1857" s="9">
        <f>HYPERLINK("https://www.youtube.com/watch?v=WM60HyfMDss", "영상 보기 ▶")</f>
        <v/>
      </c>
    </row>
    <row r="1858" ht="26" customHeight="1">
      <c r="A1858" s="2" t="n">
        <v>1857</v>
      </c>
      <c r="B1858" s="3" t="inlineStr">
        <is>
          <t>총정리 38탄</t>
        </is>
      </c>
      <c r="C1858" s="3" t="inlineStr">
        <is>
          <t>실전회화/표현</t>
        </is>
      </c>
      <c r="D1858" s="4" t="inlineStr">
        <is>
          <t>I don’t care for ~</t>
        </is>
      </c>
      <c r="E1858" s="11" t="inlineStr">
        <is>
          <t>를 안 좋아해</t>
        </is>
      </c>
      <c r="F1858" s="11" t="inlineStr">
        <is>
          <t>I don’t care for it.</t>
        </is>
      </c>
      <c r="G1858" s="11" t="inlineStr">
        <is>
          <t>난 그거 안 좋아해.</t>
        </is>
      </c>
      <c r="H1858" s="5">
        <f>HYPERLINK("https://www.youtube.com/watch?v=WM60HyfMDss", "영상 보기 ▶")</f>
        <v/>
      </c>
    </row>
    <row r="1859" ht="26" customHeight="1">
      <c r="A1859" s="6" t="n">
        <v>1858</v>
      </c>
      <c r="B1859" s="7" t="inlineStr">
        <is>
          <t>총정리 38탄</t>
        </is>
      </c>
      <c r="C1859" s="7" t="inlineStr">
        <is>
          <t>실전회화/표현</t>
        </is>
      </c>
      <c r="D1859" s="8" t="inlineStr">
        <is>
          <t>nail down</t>
        </is>
      </c>
      <c r="E1859" s="12" t="inlineStr">
        <is>
          <t>확정짓다, 명확히 하다</t>
        </is>
      </c>
      <c r="F1859" s="12" t="inlineStr">
        <is>
          <t>We can’t nail everything down today.</t>
        </is>
      </c>
      <c r="G1859" s="12" t="inlineStr">
        <is>
          <t>오늘 모든걸 다 확정지을 수는 없어요.</t>
        </is>
      </c>
      <c r="H1859" s="9">
        <f>HYPERLINK("https://www.youtube.com/watch?v=WM60HyfMDss", "영상 보기 ▶")</f>
        <v/>
      </c>
    </row>
    <row r="1860" ht="26" customHeight="1">
      <c r="A1860" s="2" t="n">
        <v>1859</v>
      </c>
      <c r="B1860" s="3" t="inlineStr">
        <is>
          <t>총정리 38탄</t>
        </is>
      </c>
      <c r="C1860" s="3" t="inlineStr">
        <is>
          <t>실전회화/표현</t>
        </is>
      </c>
      <c r="D1860" s="4" t="inlineStr">
        <is>
          <t>get in the way</t>
        </is>
      </c>
      <c r="E1860" s="11" t="inlineStr">
        <is>
          <t>방해되다, 걸림돌이 되다</t>
        </is>
      </c>
      <c r="F1860" s="11" t="inlineStr">
        <is>
          <t>If things get in the way, no worries.</t>
        </is>
      </c>
      <c r="G1860" s="11" t="inlineStr">
        <is>
          <t>무슨 일이 생기면 걱정말고 말해줘.</t>
        </is>
      </c>
      <c r="H1860" s="5">
        <f>HYPERLINK("https://www.youtube.com/watch?v=WM60HyfMDss", "영상 보기 ▶")</f>
        <v/>
      </c>
    </row>
    <row r="1861" ht="26" customHeight="1">
      <c r="A1861" s="6" t="n">
        <v>1860</v>
      </c>
      <c r="B1861" s="7" t="inlineStr">
        <is>
          <t>총정리 38탄</t>
        </is>
      </c>
      <c r="C1861" s="7" t="inlineStr">
        <is>
          <t>실전회화/표현</t>
        </is>
      </c>
      <c r="D1861" s="8" t="inlineStr">
        <is>
          <t>I heard mixed things about ~</t>
        </is>
      </c>
      <c r="E1861" s="12" t="inlineStr">
        <is>
          <t>에 대해 상반된 얘기를 들었어</t>
        </is>
      </c>
      <c r="F1861" s="12" t="inlineStr">
        <is>
          <t>I’ve heard mixed thingsa about that restaurant.</t>
        </is>
      </c>
      <c r="G1861" s="12" t="inlineStr">
        <is>
          <t>그 레스토랑에 대해 상반된 얘기를 들었어.</t>
        </is>
      </c>
      <c r="H1861" s="9">
        <f>HYPERLINK("https://www.youtube.com/watch?v=WM60HyfMDss", "영상 보기 ▶")</f>
        <v/>
      </c>
    </row>
    <row r="1862" ht="26" customHeight="1">
      <c r="A1862" s="2" t="n">
        <v>1861</v>
      </c>
      <c r="B1862" s="3" t="inlineStr">
        <is>
          <t>총정리 38탄</t>
        </is>
      </c>
      <c r="C1862" s="3" t="inlineStr">
        <is>
          <t>실전회화/표현</t>
        </is>
      </c>
      <c r="D1862" s="4" t="inlineStr">
        <is>
          <t>clear the air</t>
        </is>
      </c>
      <c r="E1862" s="11" t="inlineStr">
        <is>
          <t>상황을 개선하다</t>
        </is>
      </c>
      <c r="F1862" s="11" t="inlineStr">
        <is>
          <t>I wanna clear the air about yesterday.</t>
        </is>
      </c>
      <c r="G1862" s="11" t="inlineStr">
        <is>
          <t>어제 일에 대해 오해를 풀고 싶어.</t>
        </is>
      </c>
      <c r="H1862" s="5">
        <f>HYPERLINK("https://www.youtube.com/watch?v=WM60HyfMDss", "영상 보기 ▶")</f>
        <v/>
      </c>
    </row>
    <row r="1863" ht="26" customHeight="1">
      <c r="A1863" s="6" t="n">
        <v>1862</v>
      </c>
      <c r="B1863" s="7" t="inlineStr">
        <is>
          <t>총정리 38탄</t>
        </is>
      </c>
      <c r="C1863" s="7" t="inlineStr">
        <is>
          <t>실전회화/표현</t>
        </is>
      </c>
      <c r="D1863" s="8" t="inlineStr">
        <is>
          <t>for a reason</t>
        </is>
      </c>
      <c r="E1863" s="12" t="inlineStr">
        <is>
          <t>이유가 있다</t>
        </is>
      </c>
      <c r="F1863" s="12" t="inlineStr">
        <is>
          <t>Everything happens for a reason.</t>
        </is>
      </c>
      <c r="G1863" s="12" t="inlineStr">
        <is>
          <t>모든 일엔 다 이유가 있는 거야.</t>
        </is>
      </c>
      <c r="H1863" s="9">
        <f>HYPERLINK("https://www.youtube.com/watch?v=WM60HyfMDss", "영상 보기 ▶")</f>
        <v/>
      </c>
    </row>
    <row r="1864" ht="26" customHeight="1">
      <c r="A1864" s="2" t="n">
        <v>1863</v>
      </c>
      <c r="B1864" s="3" t="inlineStr">
        <is>
          <t>총정리 38탄</t>
        </is>
      </c>
      <c r="C1864" s="3" t="inlineStr">
        <is>
          <t>실전회화/표현</t>
        </is>
      </c>
      <c r="D1864" s="4" t="inlineStr">
        <is>
          <t>for some reason</t>
        </is>
      </c>
      <c r="E1864" s="11" t="inlineStr">
        <is>
          <t>무슨 이유에선지, 왠지 모르게</t>
        </is>
      </c>
      <c r="F1864" s="11" t="inlineStr">
        <is>
          <t>For some reason, I’ve been craving pizza all day.</t>
        </is>
      </c>
      <c r="G1864" s="11" t="inlineStr">
        <is>
          <t>왠지 모르게 하루 종일 피자가 땡기네.</t>
        </is>
      </c>
      <c r="H1864" s="5">
        <f>HYPERLINK("https://www.youtube.com/watch?v=WM60HyfMDss", "영상 보기 ▶")</f>
        <v/>
      </c>
    </row>
    <row r="1865" ht="26" customHeight="1">
      <c r="A1865" s="6" t="n">
        <v>1864</v>
      </c>
      <c r="B1865" s="7" t="inlineStr">
        <is>
          <t>총정리 38탄</t>
        </is>
      </c>
      <c r="C1865" s="7" t="inlineStr">
        <is>
          <t>실전회화/표현</t>
        </is>
      </c>
      <c r="D1865" s="8" t="inlineStr">
        <is>
          <t>follow through</t>
        </is>
      </c>
      <c r="E1865" s="12" t="inlineStr">
        <is>
          <t>이행/완수하다, 끝까지 해내다</t>
        </is>
      </c>
      <c r="F1865" s="12" t="inlineStr">
        <is>
          <t>He’s all talk. He never follows through.</t>
        </is>
      </c>
      <c r="G1865" s="12" t="inlineStr">
        <is>
          <t>걔는 말만 잘하지 행동으로 옮기진 않아.</t>
        </is>
      </c>
      <c r="H1865" s="9">
        <f>HYPERLINK("https://www.youtube.com/watch?v=WM60HyfMDss", "영상 보기 ▶")</f>
        <v/>
      </c>
    </row>
    <row r="1866" ht="26" customHeight="1">
      <c r="A1866" s="2" t="n">
        <v>1865</v>
      </c>
      <c r="B1866" s="3" t="inlineStr">
        <is>
          <t>총정리 38탄</t>
        </is>
      </c>
      <c r="C1866" s="3" t="inlineStr">
        <is>
          <t>실전회화/표현</t>
        </is>
      </c>
      <c r="D1866" s="4" t="inlineStr">
        <is>
          <t>so far</t>
        </is>
      </c>
      <c r="E1866" s="11" t="inlineStr">
        <is>
          <t>지금까지</t>
        </is>
      </c>
      <c r="F1866" s="11" t="inlineStr">
        <is>
          <t>How’s it going so far?</t>
        </is>
      </c>
      <c r="G1866" s="11" t="inlineStr">
        <is>
          <t>지금까지 진행상태는 어때?</t>
        </is>
      </c>
      <c r="H1866" s="5">
        <f>HYPERLINK("https://www.youtube.com/watch?v=WM60HyfMDss", "영상 보기 ▶")</f>
        <v/>
      </c>
    </row>
    <row r="1867" ht="26" customHeight="1">
      <c r="A1867" s="6" t="n">
        <v>1866</v>
      </c>
      <c r="B1867" s="7" t="inlineStr">
        <is>
          <t>총정리 38탄</t>
        </is>
      </c>
      <c r="C1867" s="7" t="inlineStr">
        <is>
          <t>실전회화/표현</t>
        </is>
      </c>
      <c r="D1867" s="8" t="inlineStr">
        <is>
          <t>by far</t>
        </is>
      </c>
      <c r="E1867" s="12" t="inlineStr">
        <is>
          <t>단연코, 훨씬, 압도적으로</t>
        </is>
      </c>
      <c r="F1867" s="12" t="inlineStr">
        <is>
          <t>This is by far the best.</t>
        </is>
      </c>
      <c r="G1867" s="12" t="inlineStr">
        <is>
          <t>이게 단연 최고야.</t>
        </is>
      </c>
      <c r="H1867" s="9">
        <f>HYPERLINK("https://www.youtube.com/watch?v=WM60HyfMDss", "영상 보기 ▶")</f>
        <v/>
      </c>
    </row>
    <row r="1868" ht="26" customHeight="1">
      <c r="A1868" s="2" t="n">
        <v>1867</v>
      </c>
      <c r="B1868" s="3" t="inlineStr">
        <is>
          <t>총정리 38탄</t>
        </is>
      </c>
      <c r="C1868" s="3" t="inlineStr">
        <is>
          <t>실전회화/표현</t>
        </is>
      </c>
      <c r="D1868" s="4" t="inlineStr">
        <is>
          <t>far from ~</t>
        </is>
      </c>
      <c r="E1868" s="11" t="inlineStr">
        <is>
          <t>와 거리가 먼, 전혀 아닌</t>
        </is>
      </c>
      <c r="F1868" s="11" t="inlineStr">
        <is>
          <t>It’s far from done.</t>
        </is>
      </c>
      <c r="G1868" s="11" t="inlineStr">
        <is>
          <t>아직 다 하려면 멀었어.</t>
        </is>
      </c>
      <c r="H1868" s="5">
        <f>HYPERLINK("https://www.youtube.com/watch?v=WM60HyfMDss", "영상 보기 ▶")</f>
        <v/>
      </c>
    </row>
    <row r="1869" ht="26" customHeight="1">
      <c r="A1869" s="6" t="n">
        <v>1868</v>
      </c>
      <c r="B1869" s="7" t="inlineStr">
        <is>
          <t>총정리 38탄</t>
        </is>
      </c>
      <c r="C1869" s="7" t="inlineStr">
        <is>
          <t>실전회화/표현</t>
        </is>
      </c>
      <c r="D1869" s="8" t="inlineStr">
        <is>
          <t>check with ~</t>
        </is>
      </c>
      <c r="E1869" s="12" t="inlineStr">
        <is>
          <t>와 확인해보다, 확인차 문의하다</t>
        </is>
      </c>
      <c r="F1869" s="12" t="inlineStr">
        <is>
          <t>Let me check with my team and get back to you.</t>
        </is>
      </c>
      <c r="G1869" s="12" t="inlineStr">
        <is>
          <t>팀에게 괜찮은지 물어보고 다시 연락드릴게요.</t>
        </is>
      </c>
      <c r="H1869" s="9">
        <f>HYPERLINK("https://www.youtube.com/watch?v=WM60HyfMDss", "영상 보기 ▶")</f>
        <v/>
      </c>
    </row>
    <row r="1870" ht="26" customHeight="1">
      <c r="A1870" s="2" t="n">
        <v>1869</v>
      </c>
      <c r="B1870" s="3" t="inlineStr">
        <is>
          <t>총정리 38탄</t>
        </is>
      </c>
      <c r="C1870" s="3" t="inlineStr">
        <is>
          <t>실전회화/표현</t>
        </is>
      </c>
      <c r="D1870" s="4" t="inlineStr">
        <is>
          <t>be good to go</t>
        </is>
      </c>
      <c r="E1870" s="11" t="inlineStr">
        <is>
          <t>준비가 된</t>
        </is>
      </c>
      <c r="F1870" s="11" t="inlineStr">
        <is>
          <t>Everything looks good. It’s good to go.</t>
        </is>
      </c>
      <c r="G1870" s="11" t="inlineStr">
        <is>
          <t>다 괜찮네. 이대로 하면 되겠어.</t>
        </is>
      </c>
      <c r="H1870" s="5">
        <f>HYPERLINK("https://www.youtube.com/watch?v=WM60HyfMDss", "영상 보기 ▶")</f>
        <v/>
      </c>
    </row>
    <row r="1871" ht="26" customHeight="1">
      <c r="A1871" s="6" t="n">
        <v>1870</v>
      </c>
      <c r="B1871" s="7" t="inlineStr">
        <is>
          <t>총정리 38탄</t>
        </is>
      </c>
      <c r="C1871" s="7" t="inlineStr">
        <is>
          <t>실전회화/표현</t>
        </is>
      </c>
      <c r="D1871" s="8" t="inlineStr">
        <is>
          <t>for good</t>
        </is>
      </c>
      <c r="E1871" s="12" t="inlineStr">
        <is>
          <t>영원히, 영구적으로</t>
        </is>
      </c>
      <c r="F1871" s="12" t="inlineStr">
        <is>
          <t>Is this change for good?</t>
        </is>
      </c>
      <c r="G1871" s="12" t="inlineStr">
        <is>
          <t>이 변화는 앞으로 계속 지속되는 건가요?</t>
        </is>
      </c>
      <c r="H1871" s="9">
        <f>HYPERLINK("https://www.youtube.com/watch?v=WM60HyfMDss", "영상 보기 ▶")</f>
        <v/>
      </c>
    </row>
    <row r="1872" ht="26" customHeight="1">
      <c r="A1872" s="2" t="n">
        <v>1871</v>
      </c>
      <c r="B1872" s="3" t="inlineStr">
        <is>
          <t>총정리 38탄</t>
        </is>
      </c>
      <c r="C1872" s="3" t="inlineStr">
        <is>
          <t>실전회화/표현</t>
        </is>
      </c>
      <c r="D1872" s="4" t="inlineStr">
        <is>
          <t>start with a clean slate</t>
        </is>
      </c>
      <c r="E1872" s="11" t="inlineStr">
        <is>
          <t>새출발 하다, 과거는 잊고 다시 시작하다</t>
        </is>
      </c>
      <c r="F1872" s="11" t="inlineStr">
        <is>
          <t>Let’s start this year with a clean slate.</t>
        </is>
      </c>
      <c r="G1872" s="11" t="inlineStr">
        <is>
          <t>안 좋은건 잊고 새롭게 시작하자.</t>
        </is>
      </c>
      <c r="H1872" s="5">
        <f>HYPERLINK("https://www.youtube.com/watch?v=WM60HyfMDss", "영상 보기 ▶")</f>
        <v/>
      </c>
    </row>
    <row r="1873" ht="26" customHeight="1">
      <c r="A1873" s="6" t="n">
        <v>1872</v>
      </c>
      <c r="B1873" s="7" t="inlineStr">
        <is>
          <t>총정리 38탄</t>
        </is>
      </c>
      <c r="C1873" s="7" t="inlineStr">
        <is>
          <t>실전회화/표현</t>
        </is>
      </c>
      <c r="D1873" s="8" t="inlineStr">
        <is>
          <t>be determined to ~</t>
        </is>
      </c>
      <c r="E1873" s="12" t="inlineStr">
        <is>
          <t>하기로 결심/다짐하다</t>
        </is>
      </c>
      <c r="F1873" s="12" t="inlineStr">
        <is>
          <t>I’m determined to lose weight.</t>
        </is>
      </c>
      <c r="G1873" s="12" t="inlineStr">
        <is>
          <t>살을 빼기로 단단히 결심했어.</t>
        </is>
      </c>
      <c r="H1873" s="9">
        <f>HYPERLINK("https://www.youtube.com/watch?v=WM60HyfMDss", "영상 보기 ▶")</f>
        <v/>
      </c>
    </row>
    <row r="1874" ht="26" customHeight="1">
      <c r="A1874" s="2" t="n">
        <v>1873</v>
      </c>
      <c r="B1874" s="3" t="inlineStr">
        <is>
          <t>총정리 38탄</t>
        </is>
      </c>
      <c r="C1874" s="3" t="inlineStr">
        <is>
          <t>실전회화/표현</t>
        </is>
      </c>
      <c r="D1874" s="4" t="inlineStr">
        <is>
          <t>incorporate ~</t>
        </is>
      </c>
      <c r="E1874" s="11" t="inlineStr">
        <is>
          <t>를 포함시키다</t>
        </is>
      </c>
      <c r="F1874" s="11" t="inlineStr">
        <is>
          <t>Thank you for the feedback. I’ll incorporate it into the presentation.</t>
        </is>
      </c>
      <c r="G1874" s="11" t="inlineStr">
        <is>
          <t>피드백 감사합니다. 프레젠테이션에 반영할게요.</t>
        </is>
      </c>
      <c r="H1874" s="5">
        <f>HYPERLINK("https://www.youtube.com/watch?v=WM60HyfMDss", "영상 보기 ▶")</f>
        <v/>
      </c>
    </row>
    <row r="1875" ht="26" customHeight="1">
      <c r="A1875" s="6" t="n">
        <v>1874</v>
      </c>
      <c r="B1875" s="7" t="inlineStr">
        <is>
          <t>총정리 38탄</t>
        </is>
      </c>
      <c r="C1875" s="7" t="inlineStr">
        <is>
          <t>실전회화/표현</t>
        </is>
      </c>
      <c r="D1875" s="8" t="inlineStr">
        <is>
          <t>No news is good news</t>
        </is>
      </c>
      <c r="E1875" s="12" t="inlineStr">
        <is>
          <t>무소식이 희소식</t>
        </is>
      </c>
      <c r="F1875" s="12" t="inlineStr">
        <is>
          <t>A: Have you heard anything from Ted?</t>
        </is>
      </c>
      <c r="G1875" s="12" t="inlineStr">
        <is>
          <t>Ted한테 뭐 들은거 없어?</t>
        </is>
      </c>
      <c r="H1875" s="9">
        <f>HYPERLINK("https://www.youtube.com/watch?v=WM60HyfMDss", "영상 보기 ▶")</f>
        <v/>
      </c>
    </row>
    <row r="1876" ht="26" customHeight="1">
      <c r="A1876" s="2" t="n">
        <v>1875</v>
      </c>
      <c r="B1876" s="3" t="inlineStr">
        <is>
          <t>총정리 38탄</t>
        </is>
      </c>
      <c r="C1876" s="3" t="inlineStr">
        <is>
          <t>실전회화/표현</t>
        </is>
      </c>
      <c r="D1876" s="4" t="inlineStr">
        <is>
          <t>in over one’s head</t>
        </is>
      </c>
      <c r="E1876" s="11" t="inlineStr">
        <is>
          <t>감당하기 힘든, 버거운</t>
        </is>
      </c>
      <c r="F1876" s="11" t="inlineStr">
        <is>
          <t>I’m in over my head.</t>
        </is>
      </c>
      <c r="G1876" s="11" t="inlineStr">
        <is>
          <t>감당하기 힘들어.</t>
        </is>
      </c>
      <c r="H1876" s="5">
        <f>HYPERLINK("https://www.youtube.com/watch?v=WM60HyfMDss", "영상 보기 ▶")</f>
        <v/>
      </c>
    </row>
    <row r="1877" ht="26" customHeight="1">
      <c r="A1877" s="6" t="n">
        <v>1876</v>
      </c>
      <c r="B1877" s="7" t="inlineStr">
        <is>
          <t>총정리 38탄</t>
        </is>
      </c>
      <c r="C1877" s="7" t="inlineStr">
        <is>
          <t>의견/의사결정</t>
        </is>
      </c>
      <c r="D1877" s="8" t="inlineStr">
        <is>
          <t>pitch</t>
        </is>
      </c>
      <c r="E1877" s="12" t="inlineStr">
        <is>
          <t>제안하다</t>
        </is>
      </c>
      <c r="F1877" s="12" t="inlineStr">
        <is>
          <t>I’ll pitch it to her over lunch.</t>
        </is>
      </c>
      <c r="G1877" s="12" t="inlineStr">
        <is>
          <t>점심 먹으면서 그녀에게 제안해볼게.</t>
        </is>
      </c>
      <c r="H1877" s="9">
        <f>HYPERLINK("https://www.youtube.com/watch?v=WM60HyfMDss", "영상 보기 ▶")</f>
        <v/>
      </c>
    </row>
    <row r="1878" ht="26" customHeight="1">
      <c r="A1878" s="2" t="n">
        <v>1877</v>
      </c>
      <c r="B1878" s="3" t="inlineStr">
        <is>
          <t>총정리 38탄</t>
        </is>
      </c>
      <c r="C1878" s="3" t="inlineStr">
        <is>
          <t>실전회화/표현</t>
        </is>
      </c>
      <c r="D1878" s="4" t="inlineStr">
        <is>
          <t>disciplined</t>
        </is>
      </c>
      <c r="E1878" s="11" t="inlineStr">
        <is>
          <t>절제력 있는, 자기 관리가 철저한</t>
        </is>
      </c>
      <c r="F1878" s="11" t="inlineStr">
        <is>
          <t>She’s very disciplined.</t>
        </is>
      </c>
      <c r="G1878" s="11" t="inlineStr">
        <is>
          <t>그녀는 자기 관리가 철저해.</t>
        </is>
      </c>
      <c r="H1878" s="5">
        <f>HYPERLINK("https://www.youtube.com/watch?v=WM60HyfMDss", "영상 보기 ▶")</f>
        <v/>
      </c>
    </row>
    <row r="1879" ht="26" customHeight="1">
      <c r="A1879" s="6" t="n">
        <v>1878</v>
      </c>
      <c r="B1879" s="7" t="inlineStr">
        <is>
          <t>총정리 38탄</t>
        </is>
      </c>
      <c r="C1879" s="7" t="inlineStr">
        <is>
          <t>실전회화/표현</t>
        </is>
      </c>
      <c r="D1879" s="8" t="inlineStr">
        <is>
          <t>for once</t>
        </is>
      </c>
      <c r="E1879" s="12" t="inlineStr">
        <is>
          <t>이번 한 번만은</t>
        </is>
      </c>
      <c r="F1879" s="12" t="inlineStr">
        <is>
          <t>For once, everything is going according to plan.</t>
        </is>
      </c>
      <c r="G1879" s="12" t="inlineStr">
        <is>
          <t>이번만큼은 모든게 계획대로 진행되고 있어.</t>
        </is>
      </c>
      <c r="H1879" s="9">
        <f>HYPERLINK("https://www.youtube.com/watch?v=WM60HyfMDss", "영상 보기 ▶")</f>
        <v/>
      </c>
    </row>
    <row r="1880" ht="26" customHeight="1">
      <c r="A1880" s="2" t="n">
        <v>1879</v>
      </c>
      <c r="B1880" s="3" t="inlineStr">
        <is>
          <t>총정리 38탄</t>
        </is>
      </c>
      <c r="C1880" s="3" t="inlineStr">
        <is>
          <t>실전회화/표현</t>
        </is>
      </c>
      <c r="D1880" s="4" t="inlineStr">
        <is>
          <t>at once</t>
        </is>
      </c>
      <c r="E1880" s="11" t="inlineStr">
        <is>
          <t>바로, 지체없이</t>
        </is>
      </c>
      <c r="F1880" s="11" t="inlineStr">
        <is>
          <t>We need to stop this at once.</t>
        </is>
      </c>
      <c r="G1880" s="11" t="inlineStr">
        <is>
          <t>지금 당장 이걸 멈춰야 해.</t>
        </is>
      </c>
      <c r="H1880" s="5">
        <f>HYPERLINK("https://www.youtube.com/watch?v=WM60HyfMDss", "영상 보기 ▶")</f>
        <v/>
      </c>
    </row>
    <row r="1881" ht="26" customHeight="1">
      <c r="A1881" s="6" t="n">
        <v>1880</v>
      </c>
      <c r="B1881" s="7" t="inlineStr">
        <is>
          <t>총정리 38탄</t>
        </is>
      </c>
      <c r="C1881" s="7" t="inlineStr">
        <is>
          <t>실전회화/표현</t>
        </is>
      </c>
      <c r="D1881" s="8" t="inlineStr">
        <is>
          <t>at once</t>
        </is>
      </c>
      <c r="E1881" s="12" t="inlineStr">
        <is>
          <t>동시에</t>
        </is>
      </c>
      <c r="F1881" s="12" t="inlineStr">
        <is>
          <t>I can’t be in two places at once.</t>
        </is>
      </c>
      <c r="G1881" s="12" t="inlineStr">
        <is>
          <t>내가 몸이 두개가 아니잖아.</t>
        </is>
      </c>
      <c r="H1881" s="9">
        <f>HYPERLINK("https://www.youtube.com/watch?v=WM60HyfMDss", "영상 보기 ▶")</f>
        <v/>
      </c>
    </row>
    <row r="1882" ht="26" customHeight="1">
      <c r="A1882" s="2" t="n">
        <v>1881</v>
      </c>
      <c r="B1882" s="3" t="inlineStr">
        <is>
          <t>총정리 38탄</t>
        </is>
      </c>
      <c r="C1882" s="3" t="inlineStr">
        <is>
          <t>실전회화/표현</t>
        </is>
      </c>
      <c r="D1882" s="4" t="inlineStr">
        <is>
          <t>(every) once in a while</t>
        </is>
      </c>
      <c r="E1882" s="11" t="inlineStr">
        <is>
          <t>어쩌다 한번, 가끔 한번</t>
        </is>
      </c>
      <c r="F1882" s="11" t="inlineStr">
        <is>
          <t>We hang out once in a while.</t>
        </is>
      </c>
      <c r="G1882" s="11" t="inlineStr">
        <is>
          <t>우린 가끔 한번씩 만나.</t>
        </is>
      </c>
      <c r="H1882" s="5">
        <f>HYPERLINK("https://www.youtube.com/watch?v=WM60HyfMDss", "영상 보기 ▶")</f>
        <v/>
      </c>
    </row>
    <row r="1883" ht="26" customHeight="1">
      <c r="A1883" s="6" t="n">
        <v>1882</v>
      </c>
      <c r="B1883" s="7" t="inlineStr">
        <is>
          <t>총정리 38탄</t>
        </is>
      </c>
      <c r="C1883" s="7" t="inlineStr">
        <is>
          <t>실전회화/표현</t>
        </is>
      </c>
      <c r="D1883" s="8" t="inlineStr">
        <is>
          <t>bark up the wrong tree</t>
        </is>
      </c>
      <c r="E1883" s="12" t="inlineStr">
        <is>
          <t>잘못 짚다</t>
        </is>
      </c>
      <c r="F1883" s="12" t="inlineStr">
        <is>
          <t>Maybe we’re barking up the wrong tree.</t>
        </is>
      </c>
      <c r="G1883" s="12" t="inlineStr">
        <is>
          <t>우리가 잘못 파악한 걸지도 몰라.</t>
        </is>
      </c>
      <c r="H1883" s="9">
        <f>HYPERLINK("https://www.youtube.com/watch?v=WM60HyfMDss", "영상 보기 ▶")</f>
        <v/>
      </c>
    </row>
    <row r="1884" ht="26" customHeight="1">
      <c r="A1884" s="2" t="n">
        <v>1883</v>
      </c>
      <c r="B1884" s="3" t="inlineStr">
        <is>
          <t>총정리 38탄</t>
        </is>
      </c>
      <c r="C1884" s="3" t="inlineStr">
        <is>
          <t>실전회화/표현</t>
        </is>
      </c>
      <c r="D1884" s="4" t="inlineStr">
        <is>
          <t>ahead of the curve</t>
        </is>
      </c>
      <c r="E1884" s="11" t="inlineStr">
        <is>
          <t>앞서가는</t>
        </is>
      </c>
      <c r="F1884" s="11" t="inlineStr">
        <is>
          <t>They always try to stay ahead of the curve.</t>
        </is>
      </c>
      <c r="G1884" s="11" t="inlineStr">
        <is>
          <t>그들은 항상 앞서나가려 노력해.</t>
        </is>
      </c>
      <c r="H1884" s="5">
        <f>HYPERLINK("https://www.youtube.com/watch?v=WM60HyfMDss", "영상 보기 ▶")</f>
        <v/>
      </c>
    </row>
    <row r="1885" ht="26" customHeight="1">
      <c r="A1885" s="6" t="n">
        <v>1884</v>
      </c>
      <c r="B1885" s="7" t="inlineStr">
        <is>
          <t>총정리 38탄</t>
        </is>
      </c>
      <c r="C1885" s="7" t="inlineStr">
        <is>
          <t>실전회화/표현</t>
        </is>
      </c>
      <c r="D1885" s="8" t="inlineStr">
        <is>
          <t>bite the bullet (</t>
        </is>
      </c>
      <c r="E1885" s="12" t="inlineStr">
        <is>
          <t>하기 싫지만 해야하는 일을) 이 악물고 하다</t>
        </is>
      </c>
      <c r="F1885" s="12" t="inlineStr">
        <is>
          <t>I’m just gonna bite the bullet and do it.</t>
        </is>
      </c>
      <c r="G1885" s="12" t="inlineStr">
        <is>
          <t>그냥 결단을 내리고 해야겠어.</t>
        </is>
      </c>
      <c r="H1885" s="9">
        <f>HYPERLINK("https://www.youtube.com/watch?v=WM60HyfMDss", "영상 보기 ▶")</f>
        <v/>
      </c>
    </row>
    <row r="1886" ht="26" customHeight="1">
      <c r="A1886" s="2" t="n">
        <v>1885</v>
      </c>
      <c r="B1886" s="3" t="inlineStr">
        <is>
          <t>총정리 38탄</t>
        </is>
      </c>
      <c r="C1886" s="3" t="inlineStr">
        <is>
          <t>실전회화/표현</t>
        </is>
      </c>
      <c r="D1886" s="4" t="inlineStr">
        <is>
          <t>brush off ~</t>
        </is>
      </c>
      <c r="E1886" s="11" t="inlineStr">
        <is>
          <t>을 무시하다</t>
        </is>
      </c>
      <c r="F1886" s="11" t="inlineStr">
        <is>
          <t>Don’t let it get to you. Jusy brush it off.</t>
        </is>
      </c>
      <c r="G1886" s="11" t="inlineStr">
        <is>
          <t>그 말에 영향받지 말고 그냥 무시해.</t>
        </is>
      </c>
      <c r="H1886" s="5">
        <f>HYPERLINK("https://www.youtube.com/watch?v=WM60HyfMDss", "영상 보기 ▶")</f>
        <v/>
      </c>
    </row>
    <row r="1887" ht="26" customHeight="1">
      <c r="A1887" s="6" t="n">
        <v>1886</v>
      </c>
      <c r="B1887" s="7" t="inlineStr">
        <is>
          <t>총정리 38탄</t>
        </is>
      </c>
      <c r="C1887" s="7" t="inlineStr">
        <is>
          <t>실전회화/표현</t>
        </is>
      </c>
      <c r="D1887" s="8" t="inlineStr">
        <is>
          <t>Did you always want to</t>
        </is>
      </c>
      <c r="E1887" s="12" t="inlineStr">
        <is>
          <t>원래 ~가 하고 싶었어?</t>
        </is>
      </c>
      <c r="F1887" s="12" t="inlineStr">
        <is>
          <t>Did you always wanna be a teacher?</t>
        </is>
      </c>
      <c r="G1887" s="12" t="inlineStr">
        <is>
          <t>원래부터 선생님이 꿈이었어?</t>
        </is>
      </c>
      <c r="H1887" s="9">
        <f>HYPERLINK("https://www.youtube.com/watch?v=WM60HyfMDss", "영상 보기 ▶")</f>
        <v/>
      </c>
    </row>
    <row r="1888" ht="26" customHeight="1">
      <c r="A1888" s="2" t="n">
        <v>1887</v>
      </c>
      <c r="B1888" s="3" t="inlineStr">
        <is>
          <t>총정리 38탄</t>
        </is>
      </c>
      <c r="C1888" s="3" t="inlineStr">
        <is>
          <t>실전회화/표현</t>
        </is>
      </c>
      <c r="D1888" s="4" t="inlineStr">
        <is>
          <t>be into ~</t>
        </is>
      </c>
      <c r="E1888" s="11" t="inlineStr">
        <is>
          <t>을 무척 좋아하다, 관심이 있다</t>
        </is>
      </c>
      <c r="F1888" s="11" t="inlineStr">
        <is>
          <t>What are you into these days?</t>
        </is>
      </c>
      <c r="G1888" s="11" t="inlineStr">
        <is>
          <t>요즘 뭐하는거 좋아해?</t>
        </is>
      </c>
      <c r="H1888" s="5">
        <f>HYPERLINK("https://www.youtube.com/watch?v=WM60HyfMDss", "영상 보기 ▶")</f>
        <v/>
      </c>
    </row>
    <row r="1889" ht="26" customHeight="1">
      <c r="A1889" s="6" t="n">
        <v>1888</v>
      </c>
      <c r="B1889" s="7" t="inlineStr">
        <is>
          <t>총정리 38탄</t>
        </is>
      </c>
      <c r="C1889" s="7" t="inlineStr">
        <is>
          <t>실전회화/표현</t>
        </is>
      </c>
      <c r="D1889" s="8" t="inlineStr">
        <is>
          <t>carry oneself</t>
        </is>
      </c>
      <c r="E1889" s="12" t="inlineStr">
        <is>
          <t>행동하다, 처신하다</t>
        </is>
      </c>
      <c r="F1889" s="12" t="inlineStr">
        <is>
          <t>She carries herself well.</t>
        </is>
      </c>
      <c r="G1889" s="12" t="inlineStr">
        <is>
          <t>그녀는 정말 침착하게 잘 처신해.</t>
        </is>
      </c>
      <c r="H1889" s="9">
        <f>HYPERLINK("https://www.youtube.com/watch?v=WM60HyfMDss", "영상 보기 ▶")</f>
        <v/>
      </c>
    </row>
    <row r="1890" ht="26" customHeight="1">
      <c r="A1890" s="2" t="n">
        <v>1889</v>
      </c>
      <c r="B1890" s="3" t="inlineStr">
        <is>
          <t>총정리 38탄</t>
        </is>
      </c>
      <c r="C1890" s="3" t="inlineStr">
        <is>
          <t>실전회화/표현</t>
        </is>
      </c>
      <c r="D1890" s="4" t="inlineStr">
        <is>
          <t>hype</t>
        </is>
      </c>
      <c r="E1890" s="11" t="inlineStr">
        <is>
          <t>과대광고, 큰 기대감</t>
        </is>
      </c>
      <c r="F1890" s="11" t="inlineStr">
        <is>
          <t>It’s worth the hype.</t>
        </is>
      </c>
      <c r="G1890" s="11" t="inlineStr">
        <is>
          <t>소문대로 좋더라, 기대할만 하더라.</t>
        </is>
      </c>
      <c r="H1890" s="5">
        <f>HYPERLINK("https://www.youtube.com/watch?v=WM60HyfMDss", "영상 보기 ▶")</f>
        <v/>
      </c>
    </row>
    <row r="1891" ht="26" customHeight="1">
      <c r="A1891" s="6" t="n">
        <v>1890</v>
      </c>
      <c r="B1891" s="7" t="inlineStr">
        <is>
          <t>총정리 38탄</t>
        </is>
      </c>
      <c r="C1891" s="7" t="inlineStr">
        <is>
          <t>실전회화/표현</t>
        </is>
      </c>
      <c r="D1891" s="8" t="inlineStr">
        <is>
          <t>to die for</t>
        </is>
      </c>
      <c r="E1891" s="12" t="inlineStr">
        <is>
          <t>정말 훌륭한, 탐다는</t>
        </is>
      </c>
      <c r="F1891" s="12" t="inlineStr">
        <is>
          <t>Save room for dessert. The cheesecake here is to die for.</t>
        </is>
      </c>
      <c r="G1891" s="12" t="inlineStr">
        <is>
          <t>여기 치즈케이크 엄청 맛있으니 디저트 배는 남겨놔.</t>
        </is>
      </c>
      <c r="H1891" s="9">
        <f>HYPERLINK("https://www.youtube.com/watch?v=WM60HyfMDss", "영상 보기 ▶")</f>
        <v/>
      </c>
    </row>
    <row r="1892" ht="26" customHeight="1">
      <c r="A1892" s="2" t="n">
        <v>1891</v>
      </c>
      <c r="B1892" s="3" t="inlineStr">
        <is>
          <t>총정리 38탄</t>
        </is>
      </c>
      <c r="C1892" s="3" t="inlineStr">
        <is>
          <t>실전회화/표현</t>
        </is>
      </c>
      <c r="D1892" s="4" t="inlineStr">
        <is>
          <t>in a bind</t>
        </is>
      </c>
      <c r="E1892" s="11" t="inlineStr">
        <is>
          <t>곤경에 처한, 난처한</t>
        </is>
      </c>
      <c r="F1892" s="11" t="inlineStr">
        <is>
          <t>I’m in a bind.</t>
        </is>
      </c>
      <c r="G1892" s="11" t="inlineStr">
        <is>
          <t>좀 곤란한 상황이야.</t>
        </is>
      </c>
      <c r="H1892" s="5">
        <f>HYPERLINK("https://www.youtube.com/watch?v=WM60HyfMDss", "영상 보기 ▶")</f>
        <v/>
      </c>
    </row>
    <row r="1893" ht="26" customHeight="1">
      <c r="A1893" s="6" t="n">
        <v>1892</v>
      </c>
      <c r="B1893" s="7" t="inlineStr">
        <is>
          <t>총정리 38탄</t>
        </is>
      </c>
      <c r="C1893" s="7" t="inlineStr">
        <is>
          <t>실전회화/표현</t>
        </is>
      </c>
      <c r="D1893" s="8" t="inlineStr">
        <is>
          <t>I’m not feeling it.</t>
        </is>
      </c>
      <c r="E1893" s="12" t="inlineStr">
        <is>
          <t>별로 안 내켜, 느낌이 안 와</t>
        </is>
      </c>
      <c r="F1893" s="12" t="inlineStr">
        <is>
          <t>A: Let’s go out for a drink.</t>
        </is>
      </c>
      <c r="G1893" s="12" t="inlineStr">
        <is>
          <t>술 한잔 하러 가자.</t>
        </is>
      </c>
      <c r="H1893" s="9">
        <f>HYPERLINK("https://www.youtube.com/watch?v=WM60HyfMDss", "영상 보기 ▶")</f>
        <v/>
      </c>
    </row>
    <row r="1894" ht="26" customHeight="1">
      <c r="A1894" s="2" t="n">
        <v>1893</v>
      </c>
      <c r="B1894" s="3" t="inlineStr">
        <is>
          <t>총정리 38탄</t>
        </is>
      </c>
      <c r="C1894" s="3" t="inlineStr">
        <is>
          <t>실전회화/표현</t>
        </is>
      </c>
      <c r="D1894" s="4" t="inlineStr">
        <is>
          <t>get over</t>
        </is>
      </c>
      <c r="E1894" s="11" t="inlineStr">
        <is>
          <t>극복하다</t>
        </is>
      </c>
      <c r="F1894" s="11" t="inlineStr">
        <is>
          <t>He’ll get over it.</t>
        </is>
      </c>
      <c r="G1894" s="11" t="inlineStr">
        <is>
          <t>이겨낼거야.</t>
        </is>
      </c>
      <c r="H1894" s="5">
        <f>HYPERLINK("https://www.youtube.com/watch?v=WM60HyfMDss", "영상 보기 ▶")</f>
        <v/>
      </c>
    </row>
    <row r="1895" ht="26" customHeight="1">
      <c r="A1895" s="6" t="n">
        <v>1894</v>
      </c>
      <c r="B1895" s="7" t="inlineStr">
        <is>
          <t>총정리 38탄</t>
        </is>
      </c>
      <c r="C1895" s="7" t="inlineStr">
        <is>
          <t>실전회화/표현</t>
        </is>
      </c>
      <c r="D1895" s="8" t="inlineStr">
        <is>
          <t>can’t get over</t>
        </is>
      </c>
      <c r="E1895" s="12" t="inlineStr">
        <is>
          <t>잊지 못하다, 믿기지 않다, 놀라다</t>
        </is>
      </c>
      <c r="F1895" s="12" t="inlineStr">
        <is>
          <t>I can’t get over this view.</t>
        </is>
      </c>
      <c r="G1895" s="12" t="inlineStr">
        <is>
          <t>경치가 너무 멋져서 계속 감탄하게 돼.</t>
        </is>
      </c>
      <c r="H1895" s="9">
        <f>HYPERLINK("https://www.youtube.com/watch?v=WM60HyfMDss", "영상 보기 ▶")</f>
        <v/>
      </c>
    </row>
    <row r="1896" ht="26" customHeight="1">
      <c r="A1896" s="2" t="n">
        <v>1895</v>
      </c>
      <c r="B1896" s="3" t="inlineStr">
        <is>
          <t>총정리 38탄</t>
        </is>
      </c>
      <c r="C1896" s="3" t="inlineStr">
        <is>
          <t>실전회화/표현</t>
        </is>
      </c>
      <c r="D1896" s="4" t="inlineStr">
        <is>
          <t>natural (</t>
        </is>
      </c>
      <c r="E1896" s="11" t="inlineStr">
        <is>
          <t>재능을) 타고난</t>
        </is>
      </c>
      <c r="F1896" s="11" t="inlineStr">
        <is>
          <t>You’re a natural.</t>
        </is>
      </c>
      <c r="G1896" s="11" t="inlineStr">
        <is>
          <t>넌 타고 났구나.</t>
        </is>
      </c>
      <c r="H1896" s="5">
        <f>HYPERLINK("https://www.youtube.com/watch?v=WM60HyfMDss", "영상 보기 ▶")</f>
        <v/>
      </c>
    </row>
    <row r="1897" ht="26" customHeight="1">
      <c r="A1897" s="6" t="n">
        <v>1896</v>
      </c>
      <c r="B1897" s="7" t="inlineStr">
        <is>
          <t>총정리 38탄</t>
        </is>
      </c>
      <c r="C1897" s="7" t="inlineStr">
        <is>
          <t>실전회화/표현</t>
        </is>
      </c>
      <c r="D1897" s="8" t="inlineStr">
        <is>
          <t>sentimental value</t>
        </is>
      </c>
      <c r="E1897" s="12" t="inlineStr">
        <is>
          <t>정서적 가치가 있는</t>
        </is>
      </c>
      <c r="F1897" s="12" t="inlineStr">
        <is>
          <t>It’s not expensive, but it has sentimental value.</t>
        </is>
      </c>
      <c r="G1897" s="12" t="inlineStr">
        <is>
          <t>비싸진 않지만, 추억이 담긴 물건이야.</t>
        </is>
      </c>
      <c r="H1897" s="9">
        <f>HYPERLINK("https://www.youtube.com/watch?v=WM60HyfMDss", "영상 보기 ▶")</f>
        <v/>
      </c>
    </row>
    <row r="1898" ht="26" customHeight="1">
      <c r="A1898" s="2" t="n">
        <v>1897</v>
      </c>
      <c r="B1898" s="3" t="inlineStr">
        <is>
          <t>총정리 38탄</t>
        </is>
      </c>
      <c r="C1898" s="3" t="inlineStr">
        <is>
          <t>실전회화/표현</t>
        </is>
      </c>
      <c r="D1898" s="4" t="inlineStr">
        <is>
          <t>Be yourself.</t>
        </is>
      </c>
      <c r="E1898" s="11" t="inlineStr">
        <is>
          <t>너답게 행동해</t>
        </is>
      </c>
      <c r="F1898" s="11" t="inlineStr">
        <is>
          <t>You’ll be fine. Just be yourself.</t>
        </is>
      </c>
      <c r="G1898" s="11" t="inlineStr">
        <is>
          <t>괜찮을 거야. 평소처럼 행동해.</t>
        </is>
      </c>
      <c r="H1898" s="5">
        <f>HYPERLINK("https://www.youtube.com/watch?v=WM60HyfMDss", "영상 보기 ▶")</f>
        <v/>
      </c>
    </row>
    <row r="1899" ht="26" customHeight="1">
      <c r="A1899" s="6" t="n">
        <v>1898</v>
      </c>
      <c r="B1899" s="7" t="inlineStr">
        <is>
          <t>총정리 38탄</t>
        </is>
      </c>
      <c r="C1899" s="7" t="inlineStr">
        <is>
          <t>실전회화/표현</t>
        </is>
      </c>
      <c r="D1899" s="8" t="inlineStr">
        <is>
          <t>past</t>
        </is>
      </c>
      <c r="E1899" s="12" t="inlineStr">
        <is>
          <t>지나서</t>
        </is>
      </c>
      <c r="F1899" s="12" t="inlineStr">
        <is>
          <t>It’s half past three.</t>
        </is>
      </c>
      <c r="G1899" s="12" t="inlineStr">
        <is>
          <t>세시 반이야.</t>
        </is>
      </c>
      <c r="H1899" s="9">
        <f>HYPERLINK("https://www.youtube.com/watch?v=WM60HyfMDss", "영상 보기 ▶")</f>
        <v/>
      </c>
    </row>
    <row r="1900" ht="26" customHeight="1">
      <c r="A1900" s="2" t="n">
        <v>1899</v>
      </c>
      <c r="B1900" s="3" t="inlineStr">
        <is>
          <t>총정리 38탄</t>
        </is>
      </c>
      <c r="C1900" s="3" t="inlineStr">
        <is>
          <t>의견/의사결정</t>
        </is>
      </c>
      <c r="D1900" s="4" t="inlineStr">
        <is>
          <t>tough sell</t>
        </is>
      </c>
      <c r="E1900" s="11" t="inlineStr">
        <is>
          <t>힘든 설득</t>
        </is>
      </c>
      <c r="F1900" s="11" t="inlineStr">
        <is>
          <t>It’s a win-win situation. It shouldn’t be a touch sell.</t>
        </is>
      </c>
      <c r="G1900" s="11" t="inlineStr">
        <is>
          <t>양쪽 다 이득인 상황이니 설득하기 어렵진 않을 거야.</t>
        </is>
      </c>
      <c r="H1900" s="5">
        <f>HYPERLINK("https://www.youtube.com/watch?v=WM60HyfMDss", "영상 보기 ▶")</f>
        <v/>
      </c>
    </row>
    <row r="1901" ht="26" customHeight="1">
      <c r="A1901" s="6" t="n">
        <v>1900</v>
      </c>
      <c r="B1901" s="7" t="inlineStr">
        <is>
          <t>총정리 38탄</t>
        </is>
      </c>
      <c r="C1901" s="7" t="inlineStr">
        <is>
          <t>실전회화/표현</t>
        </is>
      </c>
      <c r="D1901" s="8" t="inlineStr">
        <is>
          <t>sell oneself short</t>
        </is>
      </c>
      <c r="E1901" s="12" t="inlineStr">
        <is>
          <t>스스로를 과소평가하다</t>
        </is>
      </c>
      <c r="F1901" s="12" t="inlineStr">
        <is>
          <t>Don’t sell yourself short.</t>
        </is>
      </c>
      <c r="G1901" s="12" t="inlineStr">
        <is>
          <t>에이, 왜그래.</t>
        </is>
      </c>
      <c r="H1901" s="9">
        <f>HYPERLINK("https://www.youtube.com/watch?v=WM60HyfMDss", "영상 보기 ▶")</f>
        <v/>
      </c>
    </row>
    <row r="1902" ht="26" customHeight="1">
      <c r="A1902" s="2" t="n">
        <v>1901</v>
      </c>
      <c r="B1902" s="3" t="inlineStr">
        <is>
          <t>총정리 39탄</t>
        </is>
      </c>
      <c r="C1902" s="3" t="inlineStr">
        <is>
          <t>실전회화/표현</t>
        </is>
      </c>
      <c r="D1902" s="4" t="inlineStr">
        <is>
          <t>​as it is</t>
        </is>
      </c>
      <c r="E1902" s="11" t="inlineStr">
        <is>
          <t>있는 그대로, 현재 상태 그대로</t>
        </is>
      </c>
      <c r="F1902" s="11" t="inlineStr">
        <is>
          <t>Let’s keep the design as it is.</t>
        </is>
      </c>
      <c r="G1902" s="11" t="inlineStr">
        <is>
          <t>디자인은 그대로 유지하자.</t>
        </is>
      </c>
      <c r="H1902" s="5">
        <f>HYPERLINK("https://www.youtube.com/watch?v=3BnJMcgFObE", "영상 보기 ▶")</f>
        <v/>
      </c>
    </row>
    <row r="1903" ht="26" customHeight="1">
      <c r="A1903" s="6" t="n">
        <v>1902</v>
      </c>
      <c r="B1903" s="7" t="inlineStr">
        <is>
          <t>총정리 39탄</t>
        </is>
      </c>
      <c r="C1903" s="7" t="inlineStr">
        <is>
          <t>실전회화/표현</t>
        </is>
      </c>
      <c r="D1903" s="8" t="inlineStr">
        <is>
          <t>fizzle out</t>
        </is>
      </c>
      <c r="E1903" s="12" t="inlineStr">
        <is>
          <t>흐지부지 되다, 사그라들다</t>
        </is>
      </c>
      <c r="F1903" s="12" t="inlineStr">
        <is>
          <t>A: Are you still seeing her?</t>
        </is>
      </c>
      <c r="G1903" s="12" t="inlineStr">
        <is>
          <t>아직 잘 만나고 있어?</t>
        </is>
      </c>
      <c r="H1903" s="9">
        <f>HYPERLINK("https://www.youtube.com/watch?v=3BnJMcgFObE", "영상 보기 ▶")</f>
        <v/>
      </c>
    </row>
    <row r="1904" ht="26" customHeight="1">
      <c r="A1904" s="2" t="n">
        <v>1903</v>
      </c>
      <c r="B1904" s="3" t="inlineStr">
        <is>
          <t>총정리 39탄</t>
        </is>
      </c>
      <c r="C1904" s="3" t="inlineStr">
        <is>
          <t>실전회화/표현</t>
        </is>
      </c>
      <c r="D1904" s="4" t="inlineStr">
        <is>
          <t>keep up</t>
        </is>
      </c>
      <c r="E1904" s="11" t="inlineStr">
        <is>
          <t>따라가다, 유지하다</t>
        </is>
      </c>
      <c r="F1904" s="11" t="inlineStr">
        <is>
          <t>Could you slow down a bit? It’s hard to keep up.</t>
        </is>
      </c>
      <c r="G1904" s="11" t="inlineStr">
        <is>
          <t>조금만 천천히 말씀해주실래요? 따라가기가 힘들어서요.</t>
        </is>
      </c>
      <c r="H1904" s="5">
        <f>HYPERLINK("https://www.youtube.com/watch?v=3BnJMcgFObE", "영상 보기 ▶")</f>
        <v/>
      </c>
    </row>
    <row r="1905" ht="26" customHeight="1">
      <c r="A1905" s="6" t="n">
        <v>1904</v>
      </c>
      <c r="B1905" s="7" t="inlineStr">
        <is>
          <t>총정리 39탄</t>
        </is>
      </c>
      <c r="C1905" s="7" t="inlineStr">
        <is>
          <t>실전회화/표현</t>
        </is>
      </c>
      <c r="D1905" s="8" t="inlineStr">
        <is>
          <t>​It goes without saying</t>
        </is>
      </c>
      <c r="E1905" s="12" t="inlineStr">
        <is>
          <t>두말하면 잔소리야</t>
        </is>
      </c>
      <c r="F1905" s="12" t="inlineStr">
        <is>
          <t>A: This has to be our top priority.</t>
        </is>
      </c>
      <c r="G1905" s="12" t="inlineStr">
        <is>
          <t>이걸 우선적으로 처리해야 해.</t>
        </is>
      </c>
      <c r="H1905" s="9">
        <f>HYPERLINK("https://www.youtube.com/watch?v=3BnJMcgFObE", "영상 보기 ▶")</f>
        <v/>
      </c>
    </row>
    <row r="1906" ht="26" customHeight="1">
      <c r="A1906" s="2" t="n">
        <v>1905</v>
      </c>
      <c r="B1906" s="3" t="inlineStr">
        <is>
          <t>총정리 39탄</t>
        </is>
      </c>
      <c r="C1906" s="3" t="inlineStr">
        <is>
          <t>실전회화/표현</t>
        </is>
      </c>
      <c r="D1906" s="4" t="inlineStr">
        <is>
          <t>head out</t>
        </is>
      </c>
      <c r="E1906" s="11" t="inlineStr">
        <is>
          <t>나가다</t>
        </is>
      </c>
      <c r="F1906" s="11" t="inlineStr">
        <is>
          <t>I’m heading out now.</t>
        </is>
      </c>
      <c r="G1906" s="11" t="inlineStr">
        <is>
          <t>지금 나가는 중이야.</t>
        </is>
      </c>
      <c r="H1906" s="5">
        <f>HYPERLINK("https://www.youtube.com/watch?v=3BnJMcgFObE", "영상 보기 ▶")</f>
        <v/>
      </c>
    </row>
    <row r="1907" ht="26" customHeight="1">
      <c r="A1907" s="6" t="n">
        <v>1906</v>
      </c>
      <c r="B1907" s="7" t="inlineStr">
        <is>
          <t>총정리 39탄</t>
        </is>
      </c>
      <c r="C1907" s="7" t="inlineStr">
        <is>
          <t>실전회화/표현</t>
        </is>
      </c>
      <c r="D1907" s="8" t="inlineStr">
        <is>
          <t>head</t>
        </is>
      </c>
      <c r="E1907" s="12" t="inlineStr">
        <is>
          <t>향하다</t>
        </is>
      </c>
      <c r="F1907" s="12" t="inlineStr">
        <is>
          <t>We’re headed in the right direction.</t>
        </is>
      </c>
      <c r="G1907" s="12" t="inlineStr">
        <is>
          <t>우린 옳은 방향으로 잘 나아가고 있어.</t>
        </is>
      </c>
      <c r="H1907" s="9">
        <f>HYPERLINK("https://www.youtube.com/watch?v=3BnJMcgFObE", "영상 보기 ▶")</f>
        <v/>
      </c>
    </row>
    <row r="1908" ht="26" customHeight="1">
      <c r="A1908" s="2" t="n">
        <v>1907</v>
      </c>
      <c r="B1908" s="3" t="inlineStr">
        <is>
          <t>총정리 39탄</t>
        </is>
      </c>
      <c r="C1908" s="3" t="inlineStr">
        <is>
          <t>실전회화/표현</t>
        </is>
      </c>
      <c r="D1908" s="4" t="inlineStr">
        <is>
          <t>for the most part</t>
        </is>
      </c>
      <c r="E1908" s="11" t="inlineStr">
        <is>
          <t>대체로, 대개, 보통</t>
        </is>
      </c>
      <c r="F1908" s="11" t="inlineStr">
        <is>
          <t>It was good for the most part.</t>
        </is>
      </c>
      <c r="G1908" s="11" t="inlineStr">
        <is>
          <t>대체적으로 괜찮았어.</t>
        </is>
      </c>
      <c r="H1908" s="5">
        <f>HYPERLINK("https://www.youtube.com/watch?v=3BnJMcgFObE", "영상 보기 ▶")</f>
        <v/>
      </c>
    </row>
    <row r="1909" ht="26" customHeight="1">
      <c r="A1909" s="6" t="n">
        <v>1908</v>
      </c>
      <c r="B1909" s="7" t="inlineStr">
        <is>
          <t>총정리 39탄</t>
        </is>
      </c>
      <c r="C1909" s="7" t="inlineStr">
        <is>
          <t>실전회화/표현</t>
        </is>
      </c>
      <c r="D1909" s="8" t="inlineStr">
        <is>
          <t>engaging</t>
        </is>
      </c>
      <c r="E1909" s="12" t="inlineStr">
        <is>
          <t>관심을 끄는</t>
        </is>
      </c>
      <c r="F1909" s="12" t="inlineStr">
        <is>
          <t>I binge-watched the whole season. It was very engaging.</t>
        </is>
      </c>
      <c r="G1909" s="12" t="inlineStr">
        <is>
          <t>시즌 전체를 정주행했어. 정말 몰입되더라.</t>
        </is>
      </c>
      <c r="H1909" s="9">
        <f>HYPERLINK("https://www.youtube.com/watch?v=3BnJMcgFObE", "영상 보기 ▶")</f>
        <v/>
      </c>
    </row>
    <row r="1910" ht="26" customHeight="1">
      <c r="A1910" s="2" t="n">
        <v>1909</v>
      </c>
      <c r="B1910" s="3" t="inlineStr">
        <is>
          <t>총정리 39탄</t>
        </is>
      </c>
      <c r="C1910" s="3" t="inlineStr">
        <is>
          <t>실전회화/표현</t>
        </is>
      </c>
      <c r="D1910" s="4" t="inlineStr">
        <is>
          <t>entertain</t>
        </is>
      </c>
      <c r="E1910" s="11" t="inlineStr">
        <is>
          <t>즐겁게 하다</t>
        </is>
      </c>
      <c r="F1910" s="11" t="inlineStr">
        <is>
          <t>I find it entertaining.</t>
        </is>
      </c>
      <c r="G1910" s="11" t="inlineStr">
        <is>
          <t>전 그게 흥미롭다고 생각해요.</t>
        </is>
      </c>
      <c r="H1910" s="5">
        <f>HYPERLINK("https://www.youtube.com/watch?v=3BnJMcgFObE", "영상 보기 ▶")</f>
        <v/>
      </c>
    </row>
    <row r="1911" ht="26" customHeight="1">
      <c r="A1911" s="6" t="n">
        <v>1910</v>
      </c>
      <c r="B1911" s="7" t="inlineStr">
        <is>
          <t>총정리 39탄</t>
        </is>
      </c>
      <c r="C1911" s="7" t="inlineStr">
        <is>
          <t>실전회화/표현</t>
        </is>
      </c>
      <c r="D1911" s="8" t="inlineStr">
        <is>
          <t>entertain</t>
        </is>
      </c>
      <c r="E1911" s="12" t="inlineStr">
        <is>
          <t>품다, 고려하다</t>
        </is>
      </c>
      <c r="F1911" s="12" t="inlineStr">
        <is>
          <t>I’m willing to entertain the idea.</t>
        </is>
      </c>
      <c r="G1911" s="12" t="inlineStr">
        <is>
          <t>한 번 생각해볼 마음이 있어.</t>
        </is>
      </c>
      <c r="H1911" s="9">
        <f>HYPERLINK("https://www.youtube.com/watch?v=3BnJMcgFObE", "영상 보기 ▶")</f>
        <v/>
      </c>
    </row>
    <row r="1912" ht="26" customHeight="1">
      <c r="A1912" s="2" t="n">
        <v>1911</v>
      </c>
      <c r="B1912" s="3" t="inlineStr">
        <is>
          <t>총정리 39탄</t>
        </is>
      </c>
      <c r="C1912" s="3" t="inlineStr">
        <is>
          <t>실전회화/표현</t>
        </is>
      </c>
      <c r="D1912" s="4" t="inlineStr">
        <is>
          <t>get</t>
        </is>
      </c>
      <c r="E1912" s="11" t="inlineStr">
        <is>
          <t>듣다</t>
        </is>
      </c>
      <c r="F1912" s="11" t="inlineStr">
        <is>
          <t>A: You look just like your dad.</t>
        </is>
      </c>
      <c r="G1912" s="11" t="inlineStr">
        <is>
          <t>아버님과 똑 닮으셨네요.</t>
        </is>
      </c>
      <c r="H1912" s="5">
        <f>HYPERLINK("https://www.youtube.com/watch?v=3BnJMcgFObE", "영상 보기 ▶")</f>
        <v/>
      </c>
    </row>
    <row r="1913" ht="26" customHeight="1">
      <c r="A1913" s="6" t="n">
        <v>1912</v>
      </c>
      <c r="B1913" s="7" t="inlineStr">
        <is>
          <t>총정리 39탄</t>
        </is>
      </c>
      <c r="C1913" s="7" t="inlineStr">
        <is>
          <t>실전회화/표현</t>
        </is>
      </c>
      <c r="D1913" s="8" t="inlineStr">
        <is>
          <t>That's a given.</t>
        </is>
      </c>
      <c r="E1913" s="12" t="inlineStr">
        <is>
          <t>그건 당연한거야.</t>
        </is>
      </c>
      <c r="F1913" s="12" t="inlineStr">
        <is>
          <t>A: Wow, this view is to die for.</t>
        </is>
      </c>
      <c r="G1913" s="12" t="inlineStr">
        <is>
          <t>와, 정말 뷰가 끝내준다.</t>
        </is>
      </c>
      <c r="H1913" s="9">
        <f>HYPERLINK("https://www.youtube.com/watch?v=3BnJMcgFObE", "영상 보기 ▶")</f>
        <v/>
      </c>
    </row>
    <row r="1914" ht="26" customHeight="1">
      <c r="A1914" s="2" t="n">
        <v>1913</v>
      </c>
      <c r="B1914" s="3" t="inlineStr">
        <is>
          <t>총정리 39탄</t>
        </is>
      </c>
      <c r="C1914" s="3" t="inlineStr">
        <is>
          <t>의견/의사결정</t>
        </is>
      </c>
      <c r="D1914" s="4" t="inlineStr">
        <is>
          <t>depend on ~</t>
        </is>
      </c>
      <c r="E1914" s="11" t="inlineStr">
        <is>
          <t>에 달려있다, 결정되다</t>
        </is>
      </c>
      <c r="F1914" s="11" t="inlineStr">
        <is>
          <t>It depends on how much it is.</t>
        </is>
      </c>
      <c r="G1914" s="11" t="inlineStr">
        <is>
          <t>얼마인지에 따라 다르지.</t>
        </is>
      </c>
      <c r="H1914" s="5">
        <f>HYPERLINK("https://www.youtube.com/watch?v=3BnJMcgFObE", "영상 보기 ▶")</f>
        <v/>
      </c>
    </row>
    <row r="1915" ht="26" customHeight="1">
      <c r="A1915" s="6" t="n">
        <v>1914</v>
      </c>
      <c r="B1915" s="7" t="inlineStr">
        <is>
          <t>총정리 39탄</t>
        </is>
      </c>
      <c r="C1915" s="7" t="inlineStr">
        <is>
          <t>실전회화/표현</t>
        </is>
      </c>
      <c r="D1915" s="8" t="inlineStr">
        <is>
          <t>be up to ~</t>
        </is>
      </c>
      <c r="E1915" s="12" t="inlineStr">
        <is>
          <t>를 해낼 수 있다, 감당할 수 있다</t>
        </is>
      </c>
      <c r="F1915" s="12" t="inlineStr">
        <is>
          <t>I know I'm up to the job. I'm just not up for it.</t>
        </is>
      </c>
      <c r="G1915" s="12" t="inlineStr">
        <is>
          <t>내가 해낼 수 있다는 건 알지만 하고 싶지 않을 뿐이야.</t>
        </is>
      </c>
      <c r="H1915" s="9">
        <f>HYPERLINK("https://www.youtube.com/watch?v=3BnJMcgFObE", "영상 보기 ▶")</f>
        <v/>
      </c>
    </row>
    <row r="1916" ht="26" customHeight="1">
      <c r="A1916" s="2" t="n">
        <v>1915</v>
      </c>
      <c r="B1916" s="3" t="inlineStr">
        <is>
          <t>총정리 39탄</t>
        </is>
      </c>
      <c r="C1916" s="3" t="inlineStr">
        <is>
          <t>실전회화/표현</t>
        </is>
      </c>
      <c r="D1916" s="4" t="inlineStr">
        <is>
          <t>What's there to ~? ~</t>
        </is>
      </c>
      <c r="E1916" s="11" t="inlineStr">
        <is>
          <t>할게 뭐 있어?</t>
        </is>
      </c>
      <c r="F1916" s="11" t="inlineStr">
        <is>
          <t>What's there to think about?</t>
        </is>
      </c>
      <c r="G1916" s="11" t="inlineStr">
        <is>
          <t>생각해볼게 뭐 있어?</t>
        </is>
      </c>
      <c r="H1916" s="5">
        <f>HYPERLINK("https://www.youtube.com/watch?v=3BnJMcgFObE", "영상 보기 ▶")</f>
        <v/>
      </c>
    </row>
    <row r="1917" ht="26" customHeight="1">
      <c r="A1917" s="6" t="n">
        <v>1916</v>
      </c>
      <c r="B1917" s="7" t="inlineStr">
        <is>
          <t>총정리 39탄</t>
        </is>
      </c>
      <c r="C1917" s="7" t="inlineStr">
        <is>
          <t>실전회화/표현</t>
        </is>
      </c>
      <c r="D1917" s="8" t="inlineStr">
        <is>
          <t>given ~</t>
        </is>
      </c>
      <c r="E1917" s="12" t="inlineStr">
        <is>
          <t>를 고려하면</t>
        </is>
      </c>
      <c r="F1917" s="12" t="inlineStr">
        <is>
          <t>Given the circumstances, we should extend the deadline.</t>
        </is>
      </c>
      <c r="G1917" s="12" t="inlineStr">
        <is>
          <t>상황을 고려했을 때, 마감일을 연장하는게 좋겠어.</t>
        </is>
      </c>
      <c r="H1917" s="9">
        <f>HYPERLINK("https://www.youtube.com/watch?v=3BnJMcgFObE", "영상 보기 ▶")</f>
        <v/>
      </c>
    </row>
    <row r="1918" ht="26" customHeight="1">
      <c r="A1918" s="2" t="n">
        <v>1917</v>
      </c>
      <c r="B1918" s="3" t="inlineStr">
        <is>
          <t>총정리 39탄</t>
        </is>
      </c>
      <c r="C1918" s="3" t="inlineStr">
        <is>
          <t>실전회화/표현</t>
        </is>
      </c>
      <c r="D1918" s="4" t="inlineStr">
        <is>
          <t>given</t>
        </is>
      </c>
      <c r="E1918" s="11" t="inlineStr">
        <is>
          <t>특정한, 정해진</t>
        </is>
      </c>
      <c r="F1918" s="11" t="inlineStr">
        <is>
          <t>I can only spend a given amount of money.</t>
        </is>
      </c>
      <c r="G1918" s="11" t="inlineStr">
        <is>
          <t>딱 정해진 금액만 쓸 수 있어.</t>
        </is>
      </c>
      <c r="H1918" s="5">
        <f>HYPERLINK("https://www.youtube.com/watch?v=3BnJMcgFObE", "영상 보기 ▶")</f>
        <v/>
      </c>
    </row>
    <row r="1919" ht="26" customHeight="1">
      <c r="A1919" s="6" t="n">
        <v>1918</v>
      </c>
      <c r="B1919" s="7" t="inlineStr">
        <is>
          <t>총정리 39탄</t>
        </is>
      </c>
      <c r="C1919" s="7" t="inlineStr">
        <is>
          <t>의견/의사결정</t>
        </is>
      </c>
      <c r="D1919" s="8" t="inlineStr">
        <is>
          <t>go along with ~</t>
        </is>
      </c>
      <c r="E1919" s="12" t="inlineStr">
        <is>
          <t>에 찬성/동의하다, 동조하다</t>
        </is>
      </c>
      <c r="F1919" s="12" t="inlineStr">
        <is>
          <t>He brought up the idea, and we went along with it.</t>
        </is>
      </c>
      <c r="G1919" s="12" t="inlineStr">
        <is>
          <t>그가 그 아이디어를 꺼내서 그냥 우리가 따른거야.</t>
        </is>
      </c>
      <c r="H1919" s="9">
        <f>HYPERLINK("https://www.youtube.com/watch?v=3BnJMcgFObE", "영상 보기 ▶")</f>
        <v/>
      </c>
    </row>
    <row r="1920" ht="26" customHeight="1">
      <c r="A1920" s="2" t="n">
        <v>1919</v>
      </c>
      <c r="B1920" s="3" t="inlineStr">
        <is>
          <t>총정리 39탄</t>
        </is>
      </c>
      <c r="C1920" s="3" t="inlineStr">
        <is>
          <t>실전회화/표현</t>
        </is>
      </c>
      <c r="D1920" s="4" t="inlineStr">
        <is>
          <t>I got you.</t>
        </is>
      </c>
      <c r="E1920" s="11" t="inlineStr">
        <is>
          <t>내가 도와줄게, 걱정 마</t>
        </is>
      </c>
      <c r="F1920" s="11" t="inlineStr">
        <is>
          <t>A: I forgot to bring my wallet.</t>
        </is>
      </c>
      <c r="G1920" s="11" t="inlineStr">
        <is>
          <t>지갑을 깜빡했네.</t>
        </is>
      </c>
      <c r="H1920" s="5">
        <f>HYPERLINK("https://www.youtube.com/watch?v=3BnJMcgFObE", "영상 보기 ▶")</f>
        <v/>
      </c>
    </row>
    <row r="1921" ht="26" customHeight="1">
      <c r="A1921" s="6" t="n">
        <v>1920</v>
      </c>
      <c r="B1921" s="7" t="inlineStr">
        <is>
          <t>총정리 39탄</t>
        </is>
      </c>
      <c r="C1921" s="7" t="inlineStr">
        <is>
          <t>실전회화/표현</t>
        </is>
      </c>
      <c r="D1921" s="8" t="inlineStr">
        <is>
          <t>engagement</t>
        </is>
      </c>
      <c r="E1921" s="12" t="inlineStr">
        <is>
          <t>약속</t>
        </is>
      </c>
      <c r="F1921" s="12" t="inlineStr">
        <is>
          <t>I have a prior engagement.</t>
        </is>
      </c>
      <c r="G1921" s="12" t="inlineStr">
        <is>
          <t>선약이 있어.</t>
        </is>
      </c>
      <c r="H1921" s="9">
        <f>HYPERLINK("https://www.youtube.com/watch?v=3BnJMcgFObE", "영상 보기 ▶")</f>
        <v/>
      </c>
    </row>
    <row r="1922" ht="26" customHeight="1">
      <c r="A1922" s="2" t="n">
        <v>1921</v>
      </c>
      <c r="B1922" s="3" t="inlineStr">
        <is>
          <t>총정리 39탄</t>
        </is>
      </c>
      <c r="C1922" s="3" t="inlineStr">
        <is>
          <t>공감/감정</t>
        </is>
      </c>
      <c r="D1922" s="4" t="inlineStr">
        <is>
          <t>escalate</t>
        </is>
      </c>
      <c r="E1922" s="11" t="inlineStr">
        <is>
          <t>확대/악화되다, 심각해지다</t>
        </is>
      </c>
      <c r="F1922" s="11" t="inlineStr">
        <is>
          <t>I'm trying not to escalate the situation. It's bad enough as it is.</t>
        </is>
      </c>
      <c r="G1922" s="11" t="inlineStr">
        <is>
          <t>지금 이대로도 상황이 충분이 안 좋아서 더 악화시키지 않으려 노력중이야.</t>
        </is>
      </c>
      <c r="H1922" s="5">
        <f>HYPERLINK("https://www.youtube.com/watch?v=3BnJMcgFObE", "영상 보기 ▶")</f>
        <v/>
      </c>
    </row>
    <row r="1923" ht="26" customHeight="1">
      <c r="A1923" s="6" t="n">
        <v>1922</v>
      </c>
      <c r="B1923" s="7" t="inlineStr">
        <is>
          <t>총정리 39탄</t>
        </is>
      </c>
      <c r="C1923" s="7" t="inlineStr">
        <is>
          <t>비즈니스/업무</t>
        </is>
      </c>
      <c r="D1923" s="8" t="inlineStr">
        <is>
          <t>escalate</t>
        </is>
      </c>
      <c r="E1923" s="12" t="inlineStr">
        <is>
          <t>더 높은 사람에게 넘기다, 보고하다</t>
        </is>
      </c>
      <c r="F1923" s="12" t="inlineStr">
        <is>
          <t>We should escalate this issue to the manager.</t>
        </is>
      </c>
      <c r="G1923" s="12" t="inlineStr">
        <is>
          <t>이 문제는 매니저에게 얘기하는게 좋겠어.</t>
        </is>
      </c>
      <c r="H1923" s="9">
        <f>HYPERLINK("https://www.youtube.com/watch?v=3BnJMcgFObE", "영상 보기 ▶")</f>
        <v/>
      </c>
    </row>
    <row r="1924" ht="26" customHeight="1">
      <c r="A1924" s="2" t="n">
        <v>1923</v>
      </c>
      <c r="B1924" s="3" t="inlineStr">
        <is>
          <t>총정리 39탄</t>
        </is>
      </c>
      <c r="C1924" s="3" t="inlineStr">
        <is>
          <t>실전회화/표현</t>
        </is>
      </c>
      <c r="D1924" s="4" t="inlineStr">
        <is>
          <t>drop</t>
        </is>
      </c>
      <c r="E1924" s="11" t="inlineStr">
        <is>
          <t>그만하다, 넘어가다</t>
        </is>
      </c>
      <c r="F1924" s="11" t="inlineStr">
        <is>
          <t>I can't just drop everything and start working on this.</t>
        </is>
      </c>
      <c r="G1924" s="11" t="inlineStr">
        <is>
          <t>모든 걸 다 중단하고 이걸 시작할 수는 없어.</t>
        </is>
      </c>
      <c r="H1924" s="5">
        <f>HYPERLINK("https://www.youtube.com/watch?v=3BnJMcgFObE", "영상 보기 ▶")</f>
        <v/>
      </c>
    </row>
    <row r="1925" ht="26" customHeight="1">
      <c r="A1925" s="6" t="n">
        <v>1924</v>
      </c>
      <c r="B1925" s="7" t="inlineStr">
        <is>
          <t>총정리 39탄</t>
        </is>
      </c>
      <c r="C1925" s="7" t="inlineStr">
        <is>
          <t>실전회화/표현</t>
        </is>
      </c>
      <c r="D1925" s="8" t="inlineStr">
        <is>
          <t>drop a hint</t>
        </is>
      </c>
      <c r="E1925" s="12" t="inlineStr">
        <is>
          <t>힌트를 주다, 간접적으로 말하다</t>
        </is>
      </c>
      <c r="F1925" s="12" t="inlineStr">
        <is>
          <t>I tried to drop a hint, but he didn't notice.</t>
        </is>
      </c>
      <c r="G1925" s="12" t="inlineStr">
        <is>
          <t>힌트를 주려고 했는데 눈치를 못 채더라고.</t>
        </is>
      </c>
      <c r="H1925" s="9">
        <f>HYPERLINK("https://www.youtube.com/watch?v=3BnJMcgFObE", "영상 보기 ▶")</f>
        <v/>
      </c>
    </row>
    <row r="1926" ht="26" customHeight="1">
      <c r="A1926" s="2" t="n">
        <v>1925</v>
      </c>
      <c r="B1926" s="3" t="inlineStr">
        <is>
          <t>총정리 39탄</t>
        </is>
      </c>
      <c r="C1926" s="3" t="inlineStr">
        <is>
          <t>실전회화/표현</t>
        </is>
      </c>
      <c r="D1926" s="4" t="inlineStr">
        <is>
          <t>intrigue</t>
        </is>
      </c>
      <c r="E1926" s="11" t="inlineStr">
        <is>
          <t>강한 흥미/호기심을 불러일으키다</t>
        </is>
      </c>
      <c r="F1926" s="11" t="inlineStr">
        <is>
          <t>I wasn't expecting that. I'm intrigued.</t>
        </is>
      </c>
      <c r="G1926" s="11" t="inlineStr">
        <is>
          <t>그건 기대 안했는데 흥미롭네요.</t>
        </is>
      </c>
      <c r="H1926" s="5">
        <f>HYPERLINK("https://www.youtube.com/watch?v=3BnJMcgFObE", "영상 보기 ▶")</f>
        <v/>
      </c>
    </row>
    <row r="1927" ht="26" customHeight="1">
      <c r="A1927" s="6" t="n">
        <v>1926</v>
      </c>
      <c r="B1927" s="7" t="inlineStr">
        <is>
          <t>총정리 39탄</t>
        </is>
      </c>
      <c r="C1927" s="7" t="inlineStr">
        <is>
          <t>실전회화/표현</t>
        </is>
      </c>
      <c r="D1927" s="8" t="inlineStr">
        <is>
          <t>We go way back.</t>
        </is>
      </c>
      <c r="E1927" s="12" t="inlineStr">
        <is>
          <t>우리 알고 지낸 지 정말 오래됐어 (오랜 죽마고우야)</t>
        </is>
      </c>
      <c r="F1927" s="12" t="inlineStr">
        <is>
          <t>John and I go way back; we went to elementary school together.</t>
        </is>
      </c>
      <c r="G1927" s="12" t="inlineStr">
        <is>
          <t>존과 나는 알고 지낸 지 정말 오래됐어, 초등학교 동창이거든.</t>
        </is>
      </c>
      <c r="H1927" s="9">
        <f>HYPERLINK("https://www.youtube.com/watch?v=3BnJMcgFObE", "영상 보기 ▶")</f>
        <v/>
      </c>
    </row>
    <row r="1928" ht="26" customHeight="1">
      <c r="A1928" s="2" t="n">
        <v>1927</v>
      </c>
      <c r="B1928" s="3" t="inlineStr">
        <is>
          <t>총정리 39탄</t>
        </is>
      </c>
      <c r="C1928" s="3" t="inlineStr">
        <is>
          <t>의견/의사결정</t>
        </is>
      </c>
      <c r="D1928" s="4" t="inlineStr">
        <is>
          <t>take someone back</t>
        </is>
      </c>
      <c r="E1928" s="11" t="inlineStr">
        <is>
          <t>옛날 생각이 나게 하다</t>
        </is>
      </c>
      <c r="F1928" s="11" t="inlineStr">
        <is>
          <t>This song really takes me back.</t>
        </is>
      </c>
      <c r="G1928" s="11" t="inlineStr">
        <is>
          <t>이 노래를 들으니 옛날 생각이 난다.</t>
        </is>
      </c>
      <c r="H1928" s="5">
        <f>HYPERLINK("https://www.youtube.com/watch?v=3BnJMcgFObE", "영상 보기 ▶")</f>
        <v/>
      </c>
    </row>
    <row r="1929" ht="26" customHeight="1">
      <c r="A1929" s="6" t="n">
        <v>1928</v>
      </c>
      <c r="B1929" s="7" t="inlineStr">
        <is>
          <t>총정리 39탄</t>
        </is>
      </c>
      <c r="C1929" s="7" t="inlineStr">
        <is>
          <t>실전회화/표현</t>
        </is>
      </c>
      <c r="D1929" s="8" t="inlineStr">
        <is>
          <t>take back</t>
        </is>
      </c>
      <c r="E1929" s="12" t="inlineStr">
        <is>
          <t>취소/철회하다</t>
        </is>
      </c>
      <c r="F1929" s="12" t="inlineStr">
        <is>
          <t>Take it back.</t>
        </is>
      </c>
      <c r="G1929" s="12" t="inlineStr">
        <is>
          <t>그 말 취소해.</t>
        </is>
      </c>
      <c r="H1929" s="9">
        <f>HYPERLINK("https://www.youtube.com/watch?v=3BnJMcgFObE", "영상 보기 ▶")</f>
        <v/>
      </c>
    </row>
    <row r="1930" ht="26" customHeight="1">
      <c r="A1930" s="2" t="n">
        <v>1929</v>
      </c>
      <c r="B1930" s="3" t="inlineStr">
        <is>
          <t>총정리 39탄</t>
        </is>
      </c>
      <c r="C1930" s="3" t="inlineStr">
        <is>
          <t>실전회화/표현</t>
        </is>
      </c>
      <c r="D1930" s="4" t="inlineStr">
        <is>
          <t>shy</t>
        </is>
      </c>
      <c r="E1930" s="11" t="inlineStr">
        <is>
          <t>부끄러운</t>
        </is>
      </c>
      <c r="F1930" s="11" t="inlineStr">
        <is>
          <t>I tend to be shy when I first meet people.</t>
        </is>
      </c>
      <c r="G1930" s="11" t="inlineStr">
        <is>
          <t>저는 낯을 가리는 편이에요.</t>
        </is>
      </c>
      <c r="H1930" s="5">
        <f>HYPERLINK("https://www.youtube.com/watch?v=3BnJMcgFObE", "영상 보기 ▶")</f>
        <v/>
      </c>
    </row>
    <row r="1931" ht="26" customHeight="1">
      <c r="A1931" s="6" t="n">
        <v>1930</v>
      </c>
      <c r="B1931" s="7" t="inlineStr">
        <is>
          <t>총정리 39탄</t>
        </is>
      </c>
      <c r="C1931" s="7" t="inlineStr">
        <is>
          <t>실전회화/표현</t>
        </is>
      </c>
      <c r="D1931" s="8" t="inlineStr">
        <is>
          <t>shy of</t>
        </is>
      </c>
      <c r="E1931" s="12" t="inlineStr">
        <is>
          <t>부족한, 모자라는</t>
        </is>
      </c>
      <c r="F1931" s="12" t="inlineStr">
        <is>
          <t>A: Did she pass the test?</t>
        </is>
      </c>
      <c r="G1931" s="12" t="inlineStr">
        <is>
          <t>걔 시험 통과했어?</t>
        </is>
      </c>
      <c r="H1931" s="9">
        <f>HYPERLINK("https://www.youtube.com/watch?v=3BnJMcgFObE", "영상 보기 ▶")</f>
        <v/>
      </c>
    </row>
    <row r="1932" ht="26" customHeight="1">
      <c r="A1932" s="2" t="n">
        <v>1931</v>
      </c>
      <c r="B1932" s="3" t="inlineStr">
        <is>
          <t>총정리 39탄</t>
        </is>
      </c>
      <c r="C1932" s="3" t="inlineStr">
        <is>
          <t>실전회화/표현</t>
        </is>
      </c>
      <c r="D1932" s="4" t="inlineStr">
        <is>
          <t>reassuring</t>
        </is>
      </c>
      <c r="E1932" s="11" t="inlineStr">
        <is>
          <t>안심시키는, 걱정/불안감을 없애주는</t>
        </is>
      </c>
      <c r="F1932" s="11" t="inlineStr">
        <is>
          <t>Thank you. That's very reassuring.</t>
        </is>
      </c>
      <c r="G1932" s="11" t="inlineStr">
        <is>
          <t>고마워. 그 말을 들으니 안심이 된다.</t>
        </is>
      </c>
      <c r="H1932" s="5">
        <f>HYPERLINK("https://www.youtube.com/watch?v=3BnJMcgFObE", "영상 보기 ▶")</f>
        <v/>
      </c>
    </row>
    <row r="1933" ht="26" customHeight="1">
      <c r="A1933" s="6" t="n">
        <v>1932</v>
      </c>
      <c r="B1933" s="7" t="inlineStr">
        <is>
          <t>총정리 39탄</t>
        </is>
      </c>
      <c r="C1933" s="7" t="inlineStr">
        <is>
          <t>실전회화/표현</t>
        </is>
      </c>
      <c r="D1933" s="8" t="inlineStr">
        <is>
          <t>handpick</t>
        </is>
      </c>
      <c r="E1933" s="12" t="inlineStr">
        <is>
          <t>엄선하다, 직접 고르다</t>
        </is>
      </c>
      <c r="F1933" s="12" t="inlineStr">
        <is>
          <t>A: He handpicked his team.</t>
        </is>
      </c>
      <c r="G1933" s="12" t="inlineStr">
        <is>
          <t>그가 팀원 한명 한명 직접 뽑았어.</t>
        </is>
      </c>
      <c r="H1933" s="9">
        <f>HYPERLINK("https://www.youtube.com/watch?v=3BnJMcgFObE", "영상 보기 ▶")</f>
        <v/>
      </c>
    </row>
    <row r="1934" ht="26" customHeight="1">
      <c r="A1934" s="2" t="n">
        <v>1933</v>
      </c>
      <c r="B1934" s="3" t="inlineStr">
        <is>
          <t>총정리 39탄</t>
        </is>
      </c>
      <c r="C1934" s="3" t="inlineStr">
        <is>
          <t>실전회화/표현</t>
        </is>
      </c>
      <c r="D1934" s="4" t="inlineStr">
        <is>
          <t>It speaks volumes.</t>
        </is>
      </c>
      <c r="E1934" s="11" t="inlineStr">
        <is>
          <t>그건 많은 걸 말해줘.</t>
        </is>
      </c>
      <c r="F1934" s="11" t="inlineStr">
        <is>
          <t>A: Have you heard from him?</t>
        </is>
      </c>
      <c r="G1934" s="11" t="inlineStr">
        <is>
          <t>그에게 연락온거 있어?</t>
        </is>
      </c>
      <c r="H1934" s="5">
        <f>HYPERLINK("https://www.youtube.com/watch?v=3BnJMcgFObE", "영상 보기 ▶")</f>
        <v/>
      </c>
    </row>
    <row r="1935" ht="26" customHeight="1">
      <c r="A1935" s="6" t="n">
        <v>1934</v>
      </c>
      <c r="B1935" s="7" t="inlineStr">
        <is>
          <t>총정리 39탄</t>
        </is>
      </c>
      <c r="C1935" s="7" t="inlineStr">
        <is>
          <t>공감/감정</t>
        </is>
      </c>
      <c r="D1935" s="8" t="inlineStr">
        <is>
          <t>give you a better idea of ~</t>
        </is>
      </c>
      <c r="E1935" s="12" t="inlineStr">
        <is>
          <t>에 대해 더 잘 이해/파악하게 해주다</t>
        </is>
      </c>
      <c r="F1935" s="12" t="inlineStr">
        <is>
          <t>This video will give you a better idea of what I mean.</t>
        </is>
      </c>
      <c r="G1935" s="12" t="inlineStr">
        <is>
          <t>이 영상을 보시면 제가 말하고자 하는 바를 더 잘 이해하실 겁니다.</t>
        </is>
      </c>
      <c r="H1935" s="9">
        <f>HYPERLINK("https://www.youtube.com/watch?v=3BnJMcgFObE", "영상 보기 ▶")</f>
        <v/>
      </c>
    </row>
    <row r="1936" ht="26" customHeight="1">
      <c r="A1936" s="2" t="n">
        <v>1935</v>
      </c>
      <c r="B1936" s="3" t="inlineStr">
        <is>
          <t>총정리 39탄</t>
        </is>
      </c>
      <c r="C1936" s="3" t="inlineStr">
        <is>
          <t>실전회화/표현</t>
        </is>
      </c>
      <c r="D1936" s="4" t="inlineStr">
        <is>
          <t>stock up</t>
        </is>
      </c>
      <c r="E1936" s="11" t="inlineStr">
        <is>
          <t>쟁이다</t>
        </is>
      </c>
      <c r="F1936" s="11" t="inlineStr">
        <is>
          <t>We should stock up. I mean, it's a steal.</t>
        </is>
      </c>
      <c r="G1936" s="11" t="inlineStr">
        <is>
          <t>쟁여 놔야지. 완전 싸잖아.</t>
        </is>
      </c>
      <c r="H1936" s="5">
        <f>HYPERLINK("https://www.youtube.com/watch?v=3BnJMcgFObE", "영상 보기 ▶")</f>
        <v/>
      </c>
    </row>
    <row r="1937" ht="26" customHeight="1">
      <c r="A1937" s="6" t="n">
        <v>1936</v>
      </c>
      <c r="B1937" s="7" t="inlineStr">
        <is>
          <t>총정리 39탄</t>
        </is>
      </c>
      <c r="C1937" s="7" t="inlineStr">
        <is>
          <t>실전회화/표현</t>
        </is>
      </c>
      <c r="D1937" s="8" t="inlineStr">
        <is>
          <t>on the spot</t>
        </is>
      </c>
      <c r="E1937" s="12" t="inlineStr">
        <is>
          <t>즉석에서, 그 자리에서 바로</t>
        </is>
      </c>
      <c r="F1937" s="12" t="inlineStr">
        <is>
          <t>It was on sale, so I bought it on the spot.</t>
        </is>
      </c>
      <c r="G1937" s="12" t="inlineStr">
        <is>
          <t>세일하길래 바로 샀지.</t>
        </is>
      </c>
      <c r="H1937" s="9">
        <f>HYPERLINK("https://www.youtube.com/watch?v=3BnJMcgFObE", "영상 보기 ▶")</f>
        <v/>
      </c>
    </row>
    <row r="1938" ht="26" customHeight="1">
      <c r="A1938" s="2" t="n">
        <v>1937</v>
      </c>
      <c r="B1938" s="3" t="inlineStr">
        <is>
          <t>총정리 39탄</t>
        </is>
      </c>
      <c r="C1938" s="3" t="inlineStr">
        <is>
          <t>실전회화/표현</t>
        </is>
      </c>
      <c r="D1938" s="4" t="inlineStr">
        <is>
          <t>spot on</t>
        </is>
      </c>
      <c r="E1938" s="11" t="inlineStr">
        <is>
          <t>딱 맞는, 정확한</t>
        </is>
      </c>
      <c r="F1938" s="11" t="inlineStr">
        <is>
          <t>Your advice was spot on.</t>
        </is>
      </c>
      <c r="G1938" s="11" t="inlineStr">
        <is>
          <t>네 충고가 정말 완벽했어.</t>
        </is>
      </c>
      <c r="H1938" s="5">
        <f>HYPERLINK("https://www.youtube.com/watch?v=3BnJMcgFObE", "영상 보기 ▶")</f>
        <v/>
      </c>
    </row>
    <row r="1939" ht="26" customHeight="1">
      <c r="A1939" s="6" t="n">
        <v>1938</v>
      </c>
      <c r="B1939" s="7" t="inlineStr">
        <is>
          <t>총정리 39탄</t>
        </is>
      </c>
      <c r="C1939" s="7" t="inlineStr">
        <is>
          <t>실전회화/표현</t>
        </is>
      </c>
      <c r="D1939" s="8" t="inlineStr">
        <is>
          <t>obvious</t>
        </is>
      </c>
      <c r="E1939" s="12" t="inlineStr">
        <is>
          <t>분명한, 알기 쉬운</t>
        </is>
      </c>
      <c r="F1939" s="12" t="inlineStr">
        <is>
          <t>He made it obvious that he was not happy.</t>
        </is>
      </c>
      <c r="G1939" s="12" t="inlineStr">
        <is>
          <t>그가 불만족스럽다는 걸 확실히 드러내더라고.</t>
        </is>
      </c>
      <c r="H1939" s="9">
        <f>HYPERLINK("https://www.youtube.com/watch?v=3BnJMcgFObE", "영상 보기 ▶")</f>
        <v/>
      </c>
    </row>
    <row r="1940" ht="26" customHeight="1">
      <c r="A1940" s="2" t="n">
        <v>1939</v>
      </c>
      <c r="B1940" s="3" t="inlineStr">
        <is>
          <t>총정리 39탄</t>
        </is>
      </c>
      <c r="C1940" s="3" t="inlineStr">
        <is>
          <t>실전회화/표현</t>
        </is>
      </c>
      <c r="D1940" s="4" t="inlineStr">
        <is>
          <t>obvious</t>
        </is>
      </c>
      <c r="E1940" s="11" t="inlineStr">
        <is>
          <t>확실한, 당연한</t>
        </is>
      </c>
      <c r="F1940" s="11" t="inlineStr">
        <is>
          <t>Mark is the obvious choice for the job.</t>
        </is>
      </c>
      <c r="G1940" s="11" t="inlineStr">
        <is>
          <t>누가 생각해도 그 자리엔 Mark가 적임자야.</t>
        </is>
      </c>
      <c r="H1940" s="5">
        <f>HYPERLINK("https://www.youtube.com/watch?v=3BnJMcgFObE", "영상 보기 ▶")</f>
        <v/>
      </c>
    </row>
    <row r="1941" ht="26" customHeight="1">
      <c r="A1941" s="6" t="n">
        <v>1940</v>
      </c>
      <c r="B1941" s="7" t="inlineStr">
        <is>
          <t>총정리 39탄</t>
        </is>
      </c>
      <c r="C1941" s="7" t="inlineStr">
        <is>
          <t>실전회화/표현</t>
        </is>
      </c>
      <c r="D1941" s="8" t="inlineStr">
        <is>
          <t>crystal clear</t>
        </is>
      </c>
      <c r="E1941" s="12" t="inlineStr">
        <is>
          <t>분명한, 명백한</t>
        </is>
      </c>
      <c r="F1941" s="12" t="inlineStr">
        <is>
          <t>My memory is crystal clear.</t>
        </is>
      </c>
      <c r="G1941" s="12" t="inlineStr">
        <is>
          <t>난 똑똑히 기억해.</t>
        </is>
      </c>
      <c r="H1941" s="9">
        <f>HYPERLINK("https://www.youtube.com/watch?v=3BnJMcgFObE", "영상 보기 ▶")</f>
        <v/>
      </c>
    </row>
    <row r="1942" ht="26" customHeight="1">
      <c r="A1942" s="2" t="n">
        <v>1941</v>
      </c>
      <c r="B1942" s="3" t="inlineStr">
        <is>
          <t>총정리 39탄</t>
        </is>
      </c>
      <c r="C1942" s="3" t="inlineStr">
        <is>
          <t>실전회화/표현</t>
        </is>
      </c>
      <c r="D1942" s="4" t="inlineStr">
        <is>
          <t>It was a steal.</t>
        </is>
      </c>
      <c r="E1942" s="11" t="inlineStr">
        <is>
          <t>완전 거저나 다름없었어, 엄청 싸게 거저 샀어</t>
        </is>
      </c>
      <c r="F1942" s="11" t="inlineStr">
        <is>
          <t>I got this laptop on Black Friday; it was an absolute steal!</t>
        </is>
      </c>
      <c r="G1942" s="11" t="inlineStr">
        <is>
          <t>블랙프라이데이에 이 노트북 샀는데, 정말 완전 거저 주운 격이었어!</t>
        </is>
      </c>
      <c r="H1942" s="5">
        <f>HYPERLINK("https://www.youtube.com/watch?v=3BnJMcgFObE", "영상 보기 ▶")</f>
        <v/>
      </c>
    </row>
    <row r="1943" ht="26" customHeight="1">
      <c r="A1943" s="6" t="n">
        <v>1942</v>
      </c>
      <c r="B1943" s="7" t="inlineStr">
        <is>
          <t>총정리 39탄</t>
        </is>
      </c>
      <c r="C1943" s="7" t="inlineStr">
        <is>
          <t>실전회화/표현</t>
        </is>
      </c>
      <c r="D1943" s="8" t="inlineStr">
        <is>
          <t>hunch</t>
        </is>
      </c>
      <c r="E1943" s="12" t="inlineStr">
        <is>
          <t>예감, 직감</t>
        </is>
      </c>
      <c r="F1943" s="12" t="inlineStr">
        <is>
          <t>A: What makes you say that?</t>
        </is>
      </c>
      <c r="G1943" s="12" t="inlineStr">
        <is>
          <t>왜 그렇게 말하는 거야?</t>
        </is>
      </c>
      <c r="H1943" s="9">
        <f>HYPERLINK("https://www.youtube.com/watch?v=3BnJMcgFObE", "영상 보기 ▶")</f>
        <v/>
      </c>
    </row>
    <row r="1944" ht="26" customHeight="1">
      <c r="A1944" s="2" t="n">
        <v>1943</v>
      </c>
      <c r="B1944" s="3" t="inlineStr">
        <is>
          <t>총정리 39탄</t>
        </is>
      </c>
      <c r="C1944" s="3" t="inlineStr">
        <is>
          <t>실전회화/표현</t>
        </is>
      </c>
      <c r="D1944" s="4" t="inlineStr">
        <is>
          <t>gut</t>
        </is>
      </c>
      <c r="E1944" s="11" t="inlineStr">
        <is>
          <t>직감 (hunch보다 강한 느낌)</t>
        </is>
      </c>
      <c r="F1944" s="11" t="inlineStr">
        <is>
          <t>What does your gut say?</t>
        </is>
      </c>
      <c r="G1944" s="11" t="inlineStr">
        <is>
          <t>네 느낌상 어떻게 해야할 것 같아?</t>
        </is>
      </c>
      <c r="H1944" s="5">
        <f>HYPERLINK("https://www.youtube.com/watch?v=3BnJMcgFObE", "영상 보기 ▶")</f>
        <v/>
      </c>
    </row>
    <row r="1945" ht="26" customHeight="1">
      <c r="A1945" s="6" t="n">
        <v>1944</v>
      </c>
      <c r="B1945" s="7" t="inlineStr">
        <is>
          <t>총정리 39탄</t>
        </is>
      </c>
      <c r="C1945" s="7" t="inlineStr">
        <is>
          <t>실전회화/표현</t>
        </is>
      </c>
      <c r="D1945" s="8" t="inlineStr">
        <is>
          <t>guts</t>
        </is>
      </c>
      <c r="E1945" s="12" t="inlineStr">
        <is>
          <t>배짱</t>
        </is>
      </c>
      <c r="F1945" s="12" t="inlineStr">
        <is>
          <t>He doesn't have the guts to do that.</t>
        </is>
      </c>
      <c r="G1945" s="12" t="inlineStr">
        <is>
          <t>걘 그럴 배짱이 없어.</t>
        </is>
      </c>
      <c r="H1945" s="9">
        <f>HYPERLINK("https://www.youtube.com/watch?v=3BnJMcgFObE", "영상 보기 ▶")</f>
        <v/>
      </c>
    </row>
    <row r="1946" ht="26" customHeight="1">
      <c r="A1946" s="2" t="n">
        <v>1945</v>
      </c>
      <c r="B1946" s="3" t="inlineStr">
        <is>
          <t>총정리 39탄</t>
        </is>
      </c>
      <c r="C1946" s="3" t="inlineStr">
        <is>
          <t>실전회화/표현</t>
        </is>
      </c>
      <c r="D1946" s="4" t="inlineStr">
        <is>
          <t>step back</t>
        </is>
      </c>
      <c r="E1946" s="11" t="inlineStr">
        <is>
          <t>잠시 나가다</t>
        </is>
      </c>
      <c r="F1946" s="11" t="inlineStr">
        <is>
          <t>He just stepped out. May I take a message?</t>
        </is>
      </c>
      <c r="G1946" s="11" t="inlineStr">
        <is>
          <t>방금 나가셨는데, 말씀 전달해드릴까요?</t>
        </is>
      </c>
      <c r="H1946" s="5">
        <f>HYPERLINK("https://www.youtube.com/watch?v=3BnJMcgFObE", "영상 보기 ▶")</f>
        <v/>
      </c>
    </row>
    <row r="1947" ht="26" customHeight="1">
      <c r="A1947" s="6" t="n">
        <v>1946</v>
      </c>
      <c r="B1947" s="7" t="inlineStr">
        <is>
          <t>총정리 39탄</t>
        </is>
      </c>
      <c r="C1947" s="7" t="inlineStr">
        <is>
          <t>실전회화/표현</t>
        </is>
      </c>
      <c r="D1947" s="8" t="inlineStr">
        <is>
          <t>step out of one's comfort zone</t>
        </is>
      </c>
      <c r="E1947" s="12" t="inlineStr">
        <is>
          <t>안전지대에서 벗어나다</t>
        </is>
      </c>
      <c r="F1947" s="12" t="inlineStr">
        <is>
          <t>You gotta step out of your comfort zone.</t>
        </is>
      </c>
      <c r="G1947" s="12" t="inlineStr">
        <is>
          <t>용기내어 도전해야 해.</t>
        </is>
      </c>
      <c r="H1947" s="9">
        <f>HYPERLINK("https://www.youtube.com/watch?v=3BnJMcgFObE", "영상 보기 ▶")</f>
        <v/>
      </c>
    </row>
    <row r="1948" ht="26" customHeight="1">
      <c r="A1948" s="2" t="n">
        <v>1947</v>
      </c>
      <c r="B1948" s="3" t="inlineStr">
        <is>
          <t>총정리 39탄</t>
        </is>
      </c>
      <c r="C1948" s="3" t="inlineStr">
        <is>
          <t>실전회화/표현</t>
        </is>
      </c>
      <c r="D1948" s="4" t="inlineStr">
        <is>
          <t>rhetorical question</t>
        </is>
      </c>
      <c r="E1948" s="11" t="inlineStr">
        <is>
          <t>수사 의문문</t>
        </is>
      </c>
      <c r="F1948" s="11" t="inlineStr">
        <is>
          <t>It's not a rhetorical question.</t>
        </is>
      </c>
      <c r="G1948" s="11" t="inlineStr">
        <is>
          <t>대답들으려고 물어보는 거야.</t>
        </is>
      </c>
      <c r="H1948" s="5">
        <f>HYPERLINK("https://www.youtube.com/watch?v=3BnJMcgFObE", "영상 보기 ▶")</f>
        <v/>
      </c>
    </row>
    <row r="1949" ht="26" customHeight="1">
      <c r="A1949" s="6" t="n">
        <v>1948</v>
      </c>
      <c r="B1949" s="7" t="inlineStr">
        <is>
          <t>총정리 39탄</t>
        </is>
      </c>
      <c r="C1949" s="7" t="inlineStr">
        <is>
          <t>실전회화/표현</t>
        </is>
      </c>
      <c r="D1949" s="8" t="inlineStr">
        <is>
          <t>step in</t>
        </is>
      </c>
      <c r="E1949" s="12" t="inlineStr">
        <is>
          <t>개입하다, 나서다</t>
        </is>
      </c>
      <c r="F1949" s="12" t="inlineStr">
        <is>
          <t>If you want me to step in, just let me know.</t>
        </is>
      </c>
      <c r="G1949" s="12" t="inlineStr">
        <is>
          <t>내가 나서길 원한다면 알려줘.</t>
        </is>
      </c>
      <c r="H1949" s="9">
        <f>HYPERLINK("https://www.youtube.com/watch?v=3BnJMcgFObE", "영상 보기 ▶")</f>
        <v/>
      </c>
    </row>
    <row r="1950" ht="26" customHeight="1">
      <c r="A1950" s="2" t="n">
        <v>1949</v>
      </c>
      <c r="B1950" s="3" t="inlineStr">
        <is>
          <t>총정리 39탄</t>
        </is>
      </c>
      <c r="C1950" s="3" t="inlineStr">
        <is>
          <t>실전회화/표현</t>
        </is>
      </c>
      <c r="D1950" s="4" t="inlineStr">
        <is>
          <t>step up</t>
        </is>
      </c>
      <c r="E1950" s="11" t="inlineStr">
        <is>
          <t>더 적극적으로 나서다, 책임을 다하다</t>
        </is>
      </c>
      <c r="F1950" s="11" t="inlineStr">
        <is>
          <t>This is a huge opportunity. We need to step up.</t>
        </is>
      </c>
      <c r="G1950" s="11" t="inlineStr">
        <is>
          <t>진짜 큰 기회야. 적극적으로 나서야 해.</t>
        </is>
      </c>
      <c r="H1950" s="5">
        <f>HYPERLINK("https://www.youtube.com/watch?v=3BnJMcgFObE", "영상 보기 ▶")</f>
        <v/>
      </c>
    </row>
    <row r="1951" ht="26" customHeight="1">
      <c r="A1951" s="6" t="n">
        <v>1950</v>
      </c>
      <c r="B1951" s="7" t="inlineStr">
        <is>
          <t>총정리 39탄</t>
        </is>
      </c>
      <c r="C1951" s="7" t="inlineStr">
        <is>
          <t>실전회화/표현</t>
        </is>
      </c>
      <c r="D1951" s="8" t="inlineStr">
        <is>
          <t>baby step</t>
        </is>
      </c>
      <c r="E1951" s="12" t="inlineStr">
        <is>
          <t>작은 시작/발걸음</t>
        </is>
      </c>
      <c r="F1951" s="12" t="inlineStr">
        <is>
          <t>No rush. Baby steps are fine.</t>
        </is>
      </c>
      <c r="G1951" s="12" t="inlineStr">
        <is>
          <t>천천히 차근차근 괜찮아.</t>
        </is>
      </c>
      <c r="H1951" s="9">
        <f>HYPERLINK("https://www.youtube.com/watch?v=3BnJMcgFObE", "영상 보기 ▶")</f>
        <v/>
      </c>
    </row>
    <row r="1952" ht="26" customHeight="1">
      <c r="A1952" s="2" t="n">
        <v>1951</v>
      </c>
      <c r="B1952" s="3" t="inlineStr">
        <is>
          <t>총정리 40탄</t>
        </is>
      </c>
      <c r="C1952" s="3" t="inlineStr">
        <is>
          <t>공감/감정</t>
        </is>
      </c>
      <c r="D1952" s="4" t="inlineStr">
        <is>
          <t>grasp</t>
        </is>
      </c>
      <c r="E1952" s="11" t="inlineStr">
        <is>
          <t>이해하다, 파악하다</t>
        </is>
      </c>
      <c r="F1952" s="11" t="inlineStr">
        <is>
          <t>It’s hard to grasp why he did that.</t>
        </is>
      </c>
      <c r="G1952" s="11" t="inlineStr">
        <is>
          <t>걔가 왜 그랬는지 이해하기 힘들어.</t>
        </is>
      </c>
      <c r="H1952" s="5">
        <f>HYPERLINK("https://www.youtube.com/watch?v=PsBVUFrTv8Y", "영상 보기 ▶")</f>
        <v/>
      </c>
    </row>
    <row r="1953" ht="26" customHeight="1">
      <c r="A1953" s="6" t="n">
        <v>1952</v>
      </c>
      <c r="B1953" s="7" t="inlineStr">
        <is>
          <t>총정리 40탄</t>
        </is>
      </c>
      <c r="C1953" s="7" t="inlineStr">
        <is>
          <t>실전회화/표현</t>
        </is>
      </c>
      <c r="D1953" s="8" t="inlineStr">
        <is>
          <t>get by</t>
        </is>
      </c>
      <c r="E1953" s="12" t="inlineStr">
        <is>
          <t>그럭저럭 해나가다</t>
        </is>
      </c>
      <c r="F1953" s="12" t="inlineStr">
        <is>
          <t>It's challenging, but we'll get by.</t>
        </is>
      </c>
      <c r="G1953" s="12" t="inlineStr">
        <is>
          <t>힘들지만 어떻게든 해낼거야.</t>
        </is>
      </c>
      <c r="H1953" s="9">
        <f>HYPERLINK("https://www.youtube.com/watch?v=PsBVUFrTv8Y", "영상 보기 ▶")</f>
        <v/>
      </c>
    </row>
    <row r="1954" ht="26" customHeight="1">
      <c r="A1954" s="2" t="n">
        <v>1953</v>
      </c>
      <c r="B1954" s="3" t="inlineStr">
        <is>
          <t>총정리 40탄</t>
        </is>
      </c>
      <c r="C1954" s="3" t="inlineStr">
        <is>
          <t>실전회화/표현</t>
        </is>
      </c>
      <c r="D1954" s="4" t="inlineStr">
        <is>
          <t>leverage</t>
        </is>
      </c>
      <c r="E1954" s="11" t="inlineStr">
        <is>
          <t>유리한 위치, 영향력</t>
        </is>
      </c>
      <c r="F1954" s="11" t="inlineStr">
        <is>
          <t>We have a lot of leverage.</t>
        </is>
      </c>
      <c r="G1954" s="11" t="inlineStr">
        <is>
          <t>지금 우리에게 유리한 상황이야.</t>
        </is>
      </c>
      <c r="H1954" s="5">
        <f>HYPERLINK("https://www.youtube.com/watch?v=PsBVUFrTv8Y", "영상 보기 ▶")</f>
        <v/>
      </c>
    </row>
    <row r="1955" ht="26" customHeight="1">
      <c r="A1955" s="6" t="n">
        <v>1954</v>
      </c>
      <c r="B1955" s="7" t="inlineStr">
        <is>
          <t>총정리 40탄</t>
        </is>
      </c>
      <c r="C1955" s="7" t="inlineStr">
        <is>
          <t>실전회화/표현</t>
        </is>
      </c>
      <c r="D1955" s="8" t="inlineStr">
        <is>
          <t>leverage</t>
        </is>
      </c>
      <c r="E1955" s="12" t="inlineStr">
        <is>
          <t>유리하게 잘 활용하다, 영향을 주다</t>
        </is>
      </c>
      <c r="F1955" s="12" t="inlineStr">
        <is>
          <t>We should leverage this technology.</t>
        </is>
      </c>
      <c r="G1955" s="12" t="inlineStr">
        <is>
          <t>이 기술을 잘 활용해야해.</t>
        </is>
      </c>
      <c r="H1955" s="9">
        <f>HYPERLINK("https://www.youtube.com/watch?v=PsBVUFrTv8Y", "영상 보기 ▶")</f>
        <v/>
      </c>
    </row>
    <row r="1956" ht="26" customHeight="1">
      <c r="A1956" s="2" t="n">
        <v>1955</v>
      </c>
      <c r="B1956" s="3" t="inlineStr">
        <is>
          <t>총정리 40탄</t>
        </is>
      </c>
      <c r="C1956" s="3" t="inlineStr">
        <is>
          <t>실전회화/표현</t>
        </is>
      </c>
      <c r="D1956" s="4" t="inlineStr">
        <is>
          <t>for a change</t>
        </is>
      </c>
      <c r="E1956" s="11" t="inlineStr">
        <is>
          <t>평소와 달리, 이번에는</t>
        </is>
      </c>
      <c r="F1956" s="11" t="inlineStr">
        <is>
          <t>I'm gonna get a latte for a change.</t>
        </is>
      </c>
      <c r="G1956" s="11" t="inlineStr">
        <is>
          <t>오늘은 라떼로 마셔볼래.</t>
        </is>
      </c>
      <c r="H1956" s="5">
        <f>HYPERLINK("https://www.youtube.com/watch?v=PsBVUFrTv8Y", "영상 보기 ▶")</f>
        <v/>
      </c>
    </row>
    <row r="1957" ht="26" customHeight="1">
      <c r="A1957" s="6" t="n">
        <v>1956</v>
      </c>
      <c r="B1957" s="7" t="inlineStr">
        <is>
          <t>총정리 40탄</t>
        </is>
      </c>
      <c r="C1957" s="7" t="inlineStr">
        <is>
          <t>실전회화/표현</t>
        </is>
      </c>
      <c r="D1957" s="8" t="inlineStr">
        <is>
          <t>There you go!</t>
        </is>
      </c>
      <c r="E1957" s="12" t="inlineStr">
        <is>
          <t>잘 했어, 바로 그거야</t>
        </is>
      </c>
      <c r="F1957" s="12" t="inlineStr">
        <is>
          <t>There you go! You’ve got the hang of it.</t>
        </is>
      </c>
      <c r="G1957" s="12" t="inlineStr">
        <is>
          <t>그렇지, 바로 그거야!</t>
        </is>
      </c>
      <c r="H1957" s="9">
        <f>HYPERLINK("https://www.youtube.com/watch?v=PsBVUFrTv8Y", "영상 보기 ▶")</f>
        <v/>
      </c>
    </row>
    <row r="1958" ht="26" customHeight="1">
      <c r="A1958" s="2" t="n">
        <v>1957</v>
      </c>
      <c r="B1958" s="3" t="inlineStr">
        <is>
          <t>총정리 40탄</t>
        </is>
      </c>
      <c r="C1958" s="3" t="inlineStr">
        <is>
          <t>실전회화/표현</t>
        </is>
      </c>
      <c r="D1958" s="4" t="inlineStr">
        <is>
          <t>along the way</t>
        </is>
      </c>
      <c r="E1958" s="11" t="inlineStr">
        <is>
          <t>그 과정에서</t>
        </is>
      </c>
      <c r="F1958" s="11" t="inlineStr">
        <is>
          <t>We used to work together and got close along the way.</t>
        </is>
      </c>
      <c r="G1958" s="11" t="inlineStr">
        <is>
          <t>같이 일하는 과정에서 친해졌어.</t>
        </is>
      </c>
      <c r="H1958" s="5">
        <f>HYPERLINK("https://www.youtube.com/watch?v=PsBVUFrTv8Y", "영상 보기 ▶")</f>
        <v/>
      </c>
    </row>
    <row r="1959" ht="26" customHeight="1">
      <c r="A1959" s="6" t="n">
        <v>1958</v>
      </c>
      <c r="B1959" s="7" t="inlineStr">
        <is>
          <t>총정리 40탄</t>
        </is>
      </c>
      <c r="C1959" s="7" t="inlineStr">
        <is>
          <t>실전회화/표현</t>
        </is>
      </c>
      <c r="D1959" s="8" t="inlineStr">
        <is>
          <t>not even close</t>
        </is>
      </c>
      <c r="E1959" s="12" t="inlineStr">
        <is>
          <t>전혀 아닌</t>
        </is>
      </c>
      <c r="F1959" s="12" t="inlineStr">
        <is>
          <t>A: Are you almost done?</t>
        </is>
      </c>
      <c r="G1959" s="12" t="inlineStr">
        <is>
          <t>다 끝나가?</t>
        </is>
      </c>
      <c r="H1959" s="9">
        <f>HYPERLINK("https://www.youtube.com/watch?v=PsBVUFrTv8Y", "영상 보기 ▶")</f>
        <v/>
      </c>
    </row>
    <row r="1960" ht="26" customHeight="1">
      <c r="A1960" s="2" t="n">
        <v>1959</v>
      </c>
      <c r="B1960" s="3" t="inlineStr">
        <is>
          <t>총정리 40탄</t>
        </is>
      </c>
      <c r="C1960" s="3" t="inlineStr">
        <is>
          <t>실전회화/표현</t>
        </is>
      </c>
      <c r="D1960" s="4" t="inlineStr">
        <is>
          <t>even +</t>
        </is>
      </c>
      <c r="E1960" s="11" t="inlineStr">
        <is>
          <t>비교급 한층 더, 더더욱</t>
        </is>
      </c>
      <c r="F1960" s="11" t="inlineStr">
        <is>
          <t>This is even better than the last one.</t>
        </is>
      </c>
      <c r="G1960" s="11" t="inlineStr">
        <is>
          <t>이게 심지어 더 좋은데.</t>
        </is>
      </c>
      <c r="H1960" s="5">
        <f>HYPERLINK("https://www.youtube.com/watch?v=PsBVUFrTv8Y", "영상 보기 ▶")</f>
        <v/>
      </c>
    </row>
    <row r="1961" ht="26" customHeight="1">
      <c r="A1961" s="6" t="n">
        <v>1960</v>
      </c>
      <c r="B1961" s="7" t="inlineStr">
        <is>
          <t>총정리 40탄</t>
        </is>
      </c>
      <c r="C1961" s="7" t="inlineStr">
        <is>
          <t>실전회화/표현</t>
        </is>
      </c>
      <c r="D1961" s="8" t="inlineStr">
        <is>
          <t>get off work</t>
        </is>
      </c>
      <c r="E1961" s="12" t="inlineStr">
        <is>
          <t>퇴근하다</t>
        </is>
      </c>
      <c r="F1961" s="12" t="inlineStr">
        <is>
          <t>What time do you get off work?</t>
        </is>
      </c>
      <c r="G1961" s="12" t="inlineStr">
        <is>
          <t>몇시에 퇴근해?</t>
        </is>
      </c>
      <c r="H1961" s="9">
        <f>HYPERLINK("https://www.youtube.com/watch?v=PsBVUFrTv8Y", "영상 보기 ▶")</f>
        <v/>
      </c>
    </row>
    <row r="1962" ht="26" customHeight="1">
      <c r="A1962" s="2" t="n">
        <v>1961</v>
      </c>
      <c r="B1962" s="3" t="inlineStr">
        <is>
          <t>총정리 40탄</t>
        </is>
      </c>
      <c r="C1962" s="3" t="inlineStr">
        <is>
          <t>공감/감정</t>
        </is>
      </c>
      <c r="D1962" s="4" t="inlineStr">
        <is>
          <t>get off the phone</t>
        </is>
      </c>
      <c r="E1962" s="11" t="inlineStr">
        <is>
          <t>전화를 끊다</t>
        </is>
      </c>
      <c r="F1962" s="11" t="inlineStr">
        <is>
          <t>I just got off the phone with Mark.</t>
        </is>
      </c>
      <c r="G1962" s="11" t="inlineStr">
        <is>
          <t>방금 Mark와 통화를 끝냈어요.</t>
        </is>
      </c>
      <c r="H1962" s="5">
        <f>HYPERLINK("https://www.youtube.com/watch?v=PsBVUFrTv8Y", "영상 보기 ▶")</f>
        <v/>
      </c>
    </row>
    <row r="1963" ht="26" customHeight="1">
      <c r="A1963" s="6" t="n">
        <v>1962</v>
      </c>
      <c r="B1963" s="7" t="inlineStr">
        <is>
          <t>총정리 40탄</t>
        </is>
      </c>
      <c r="C1963" s="7" t="inlineStr">
        <is>
          <t>실전회화/표현</t>
        </is>
      </c>
      <c r="D1963" s="8" t="inlineStr">
        <is>
          <t>lay out</t>
        </is>
      </c>
      <c r="E1963" s="12" t="inlineStr">
        <is>
          <t>펼치다, 제시/설계하다</t>
        </is>
      </c>
      <c r="F1963" s="12" t="inlineStr">
        <is>
          <t>Everything’s laid out in this document.</t>
        </is>
      </c>
      <c r="G1963" s="12" t="inlineStr">
        <is>
          <t>이 서류안에 모든 내용들이 다 정리되어 있어.</t>
        </is>
      </c>
      <c r="H1963" s="9">
        <f>HYPERLINK("https://www.youtube.com/watch?v=PsBVUFrTv8Y", "영상 보기 ▶")</f>
        <v/>
      </c>
    </row>
    <row r="1964" ht="26" customHeight="1">
      <c r="A1964" s="2" t="n">
        <v>1963</v>
      </c>
      <c r="B1964" s="3" t="inlineStr">
        <is>
          <t>총정리 40탄</t>
        </is>
      </c>
      <c r="C1964" s="3" t="inlineStr">
        <is>
          <t>실전회화/표현</t>
        </is>
      </c>
      <c r="D1964" s="4" t="inlineStr">
        <is>
          <t>relish ~</t>
        </is>
      </c>
      <c r="E1964" s="11" t="inlineStr">
        <is>
          <t>를 대단히 즐기다, 좋아하다</t>
        </is>
      </c>
      <c r="F1964" s="11" t="inlineStr">
        <is>
          <t>I’d relish the opportunity.</t>
        </is>
      </c>
      <c r="G1964" s="11" t="inlineStr">
        <is>
          <t>기회가 주어진다면 정말 좋을 것 같아요.</t>
        </is>
      </c>
      <c r="H1964" s="5">
        <f>HYPERLINK("https://www.youtube.com/watch?v=PsBVUFrTv8Y", "영상 보기 ▶")</f>
        <v/>
      </c>
    </row>
    <row r="1965" ht="26" customHeight="1">
      <c r="A1965" s="6" t="n">
        <v>1964</v>
      </c>
      <c r="B1965" s="7" t="inlineStr">
        <is>
          <t>총정리 40탄</t>
        </is>
      </c>
      <c r="C1965" s="7" t="inlineStr">
        <is>
          <t>실전회화/표현</t>
        </is>
      </c>
      <c r="D1965" s="8" t="inlineStr">
        <is>
          <t>miss out</t>
        </is>
      </c>
      <c r="E1965" s="12" t="inlineStr">
        <is>
          <t>놓치다</t>
        </is>
      </c>
      <c r="F1965" s="12" t="inlineStr">
        <is>
          <t>I don’t wanna miss out on this opportunity.</t>
        </is>
      </c>
      <c r="G1965" s="12" t="inlineStr">
        <is>
          <t>이 기회를 놓치고 싶지 않아.</t>
        </is>
      </c>
      <c r="H1965" s="9">
        <f>HYPERLINK("https://www.youtube.com/watch?v=PsBVUFrTv8Y", "영상 보기 ▶")</f>
        <v/>
      </c>
    </row>
    <row r="1966" ht="26" customHeight="1">
      <c r="A1966" s="2" t="n">
        <v>1965</v>
      </c>
      <c r="B1966" s="3" t="inlineStr">
        <is>
          <t>총정리 40탄</t>
        </is>
      </c>
      <c r="C1966" s="3" t="inlineStr">
        <is>
          <t>실전회화/표현</t>
        </is>
      </c>
      <c r="D1966" s="4" t="inlineStr">
        <is>
          <t>rewarding</t>
        </is>
      </c>
      <c r="E1966" s="11" t="inlineStr">
        <is>
          <t>보람있는, ~할 가치가 있는</t>
        </is>
      </c>
      <c r="F1966" s="11" t="inlineStr">
        <is>
          <t>It’s challenging, but rewarding.</t>
        </is>
      </c>
      <c r="G1966" s="11" t="inlineStr">
        <is>
          <t>힘들긴 하지만 보람있어.</t>
        </is>
      </c>
      <c r="H1966" s="5">
        <f>HYPERLINK("https://www.youtube.com/watch?v=PsBVUFrTv8Y", "영상 보기 ▶")</f>
        <v/>
      </c>
    </row>
    <row r="1967" ht="26" customHeight="1">
      <c r="A1967" s="6" t="n">
        <v>1966</v>
      </c>
      <c r="B1967" s="7" t="inlineStr">
        <is>
          <t>총정리 40탄</t>
        </is>
      </c>
      <c r="C1967" s="7" t="inlineStr">
        <is>
          <t>실전회화/표현</t>
        </is>
      </c>
      <c r="D1967" s="8" t="inlineStr">
        <is>
          <t>bring out</t>
        </is>
      </c>
      <c r="E1967" s="12" t="inlineStr">
        <is>
          <t>끌어내다, 드러내다</t>
        </is>
      </c>
      <c r="F1967" s="12" t="inlineStr">
        <is>
          <t>Competition brings out the best in me.</t>
        </is>
      </c>
      <c r="G1967" s="12" t="inlineStr">
        <is>
          <t>난 경쟁하면 더 잘해.</t>
        </is>
      </c>
      <c r="H1967" s="9">
        <f>HYPERLINK("https://www.youtube.com/watch?v=PsBVUFrTv8Y", "영상 보기 ▶")</f>
        <v/>
      </c>
    </row>
    <row r="1968" ht="26" customHeight="1">
      <c r="A1968" s="2" t="n">
        <v>1967</v>
      </c>
      <c r="B1968" s="3" t="inlineStr">
        <is>
          <t>총정리 40탄</t>
        </is>
      </c>
      <c r="C1968" s="3" t="inlineStr">
        <is>
          <t>실전회화/표현</t>
        </is>
      </c>
      <c r="D1968" s="4" t="inlineStr">
        <is>
          <t>Nothing beats ~</t>
        </is>
      </c>
      <c r="E1968" s="11" t="inlineStr">
        <is>
          <t>가 최고야/가장 중요해</t>
        </is>
      </c>
      <c r="F1968" s="11" t="inlineStr">
        <is>
          <t>Nothing beats the original.</t>
        </is>
      </c>
      <c r="G1968" s="11" t="inlineStr">
        <is>
          <t>원조가 최고야.</t>
        </is>
      </c>
      <c r="H1968" s="5">
        <f>HYPERLINK("https://www.youtube.com/watch?v=PsBVUFrTv8Y", "영상 보기 ▶")</f>
        <v/>
      </c>
    </row>
    <row r="1969" ht="26" customHeight="1">
      <c r="A1969" s="6" t="n">
        <v>1968</v>
      </c>
      <c r="B1969" s="7" t="inlineStr">
        <is>
          <t>총정리 40탄</t>
        </is>
      </c>
      <c r="C1969" s="7" t="inlineStr">
        <is>
          <t>실전회화/표현</t>
        </is>
      </c>
      <c r="D1969" s="8" t="inlineStr">
        <is>
          <t>even</t>
        </is>
      </c>
      <c r="E1969" s="12" t="inlineStr">
        <is>
          <t>평평한, 고른/ 동일한</t>
        </is>
      </c>
      <c r="F1969" s="12" t="inlineStr">
        <is>
          <t>Is it even now?</t>
        </is>
      </c>
      <c r="G1969" s="12" t="inlineStr">
        <is>
          <t>이제 균형이 맞아?</t>
        </is>
      </c>
      <c r="H1969" s="9">
        <f>HYPERLINK("https://www.youtube.com/watch?v=PsBVUFrTv8Y", "영상 보기 ▶")</f>
        <v/>
      </c>
    </row>
    <row r="1970" ht="26" customHeight="1">
      <c r="A1970" s="2" t="n">
        <v>1969</v>
      </c>
      <c r="B1970" s="3" t="inlineStr">
        <is>
          <t>총정리 40탄</t>
        </is>
      </c>
      <c r="C1970" s="3" t="inlineStr">
        <is>
          <t>실전회화/표현</t>
        </is>
      </c>
      <c r="D1970" s="4" t="inlineStr">
        <is>
          <t>even out (</t>
        </is>
      </c>
      <c r="E1970" s="11" t="inlineStr">
        <is>
          <t>차이, 격차 등이) 줄어들다, 균등해지다</t>
        </is>
      </c>
      <c r="F1970" s="11" t="inlineStr">
        <is>
          <t>We saved on the hotels, so it evens out.</t>
        </is>
      </c>
      <c r="G1970" s="11" t="inlineStr">
        <is>
          <t>호텔에서 돈을 아꼈으니 퉁 치는거야.</t>
        </is>
      </c>
      <c r="H1970" s="5">
        <f>HYPERLINK("https://www.youtube.com/watch?v=PsBVUFrTv8Y", "영상 보기 ▶")</f>
        <v/>
      </c>
    </row>
    <row r="1971" ht="26" customHeight="1">
      <c r="A1971" s="6" t="n">
        <v>1970</v>
      </c>
      <c r="B1971" s="7" t="inlineStr">
        <is>
          <t>총정리 40탄</t>
        </is>
      </c>
      <c r="C1971" s="7" t="inlineStr">
        <is>
          <t>실전회화/표현</t>
        </is>
      </c>
      <c r="D1971" s="8" t="inlineStr">
        <is>
          <t>tempting</t>
        </is>
      </c>
      <c r="E1971" s="12" t="inlineStr">
        <is>
          <t>솔깃한, 구미가 당기는</t>
        </is>
      </c>
      <c r="F1971" s="12" t="inlineStr">
        <is>
          <t>It’s tempting, but I’ll pass.</t>
        </is>
      </c>
      <c r="G1971" s="12" t="inlineStr">
        <is>
          <t>솔깃하긴 한데 난 패스할게.</t>
        </is>
      </c>
      <c r="H1971" s="9">
        <f>HYPERLINK("https://www.youtube.com/watch?v=PsBVUFrTv8Y", "영상 보기 ▶")</f>
        <v/>
      </c>
    </row>
    <row r="1972" ht="26" customHeight="1">
      <c r="A1972" s="2" t="n">
        <v>1971</v>
      </c>
      <c r="B1972" s="3" t="inlineStr">
        <is>
          <t>총정리 40탄</t>
        </is>
      </c>
      <c r="C1972" s="3" t="inlineStr">
        <is>
          <t>실전회화/표현</t>
        </is>
      </c>
      <c r="D1972" s="4" t="inlineStr">
        <is>
          <t>to this day</t>
        </is>
      </c>
      <c r="E1972" s="11" t="inlineStr">
        <is>
          <t>지금까지</t>
        </is>
      </c>
      <c r="F1972" s="11" t="inlineStr">
        <is>
          <t>I’m still grateful to this day.</t>
        </is>
      </c>
      <c r="G1972" s="11" t="inlineStr">
        <is>
          <t>지금까지도 감사해.</t>
        </is>
      </c>
      <c r="H1972" s="5">
        <f>HYPERLINK("https://www.youtube.com/watch?v=PsBVUFrTv8Y", "영상 보기 ▶")</f>
        <v/>
      </c>
    </row>
    <row r="1973" ht="26" customHeight="1">
      <c r="A1973" s="6" t="n">
        <v>1972</v>
      </c>
      <c r="B1973" s="7" t="inlineStr">
        <is>
          <t>총정리 40탄</t>
        </is>
      </c>
      <c r="C1973" s="7" t="inlineStr">
        <is>
          <t>실전회화/표현</t>
        </is>
      </c>
      <c r="D1973" s="8" t="inlineStr">
        <is>
          <t>It happens to the best of us.</t>
        </is>
      </c>
      <c r="E1973" s="12" t="inlineStr">
        <is>
          <t>누구에게나 일어날 수 있는 일이야.</t>
        </is>
      </c>
      <c r="F1973" s="12" t="inlineStr">
        <is>
          <t>A: Sorry. I accidentally forgot the attachment.</t>
        </is>
      </c>
      <c r="G1973" s="12" t="inlineStr">
        <is>
          <t>죄송해요. 실수로 첨부 파일을 안 보냈어요.</t>
        </is>
      </c>
      <c r="H1973" s="9">
        <f>HYPERLINK("https://www.youtube.com/watch?v=PsBVUFrTv8Y", "영상 보기 ▶")</f>
        <v/>
      </c>
    </row>
    <row r="1974" ht="26" customHeight="1">
      <c r="A1974" s="2" t="n">
        <v>1973</v>
      </c>
      <c r="B1974" s="3" t="inlineStr">
        <is>
          <t>총정리 40탄</t>
        </is>
      </c>
      <c r="C1974" s="3" t="inlineStr">
        <is>
          <t>실전회화/표현</t>
        </is>
      </c>
      <c r="D1974" s="4" t="inlineStr">
        <is>
          <t>relatively</t>
        </is>
      </c>
      <c r="E1974" s="11" t="inlineStr">
        <is>
          <t>비교적, 상대적으로</t>
        </is>
      </c>
      <c r="F1974" s="11" t="inlineStr">
        <is>
          <t>It’s relatively easy.</t>
        </is>
      </c>
      <c r="G1974" s="11" t="inlineStr">
        <is>
          <t>비교적 쉬워.</t>
        </is>
      </c>
      <c r="H1974" s="5">
        <f>HYPERLINK("https://www.youtube.com/watch?v=PsBVUFrTv8Y", "영상 보기 ▶")</f>
        <v/>
      </c>
    </row>
    <row r="1975" ht="26" customHeight="1">
      <c r="A1975" s="6" t="n">
        <v>1974</v>
      </c>
      <c r="B1975" s="7" t="inlineStr">
        <is>
          <t>총정리 40탄</t>
        </is>
      </c>
      <c r="C1975" s="7" t="inlineStr">
        <is>
          <t>실전회화/표현</t>
        </is>
      </c>
      <c r="D1975" s="8" t="inlineStr">
        <is>
          <t>I can’t even imagine.</t>
        </is>
      </c>
      <c r="E1975" s="12" t="inlineStr">
        <is>
          <t>상상조차 안돼.</t>
        </is>
      </c>
      <c r="F1975" s="12" t="inlineStr">
        <is>
          <t>I can’t even imaging what you’re going through.</t>
        </is>
      </c>
      <c r="G1975" s="12" t="inlineStr">
        <is>
          <t>네가 얼마나 힘들지 감히 상상조차 안되네.</t>
        </is>
      </c>
      <c r="H1975" s="9">
        <f>HYPERLINK("https://www.youtube.com/watch?v=PsBVUFrTv8Y", "영상 보기 ▶")</f>
        <v/>
      </c>
    </row>
    <row r="1976" ht="26" customHeight="1">
      <c r="A1976" s="2" t="n">
        <v>1975</v>
      </c>
      <c r="B1976" s="3" t="inlineStr">
        <is>
          <t>총정리 40탄</t>
        </is>
      </c>
      <c r="C1976" s="3" t="inlineStr">
        <is>
          <t>실전회화/표현</t>
        </is>
      </c>
      <c r="D1976" s="4" t="inlineStr">
        <is>
          <t>enjoy oneself</t>
        </is>
      </c>
      <c r="E1976" s="11" t="inlineStr">
        <is>
          <t>좋은 시간을 보내다</t>
        </is>
      </c>
      <c r="F1976" s="11" t="inlineStr">
        <is>
          <t>Are you enjoyinh yourself?</t>
        </is>
      </c>
      <c r="G1976" s="11" t="inlineStr">
        <is>
          <t>좋은 시간 보내고 있어?</t>
        </is>
      </c>
      <c r="H1976" s="5">
        <f>HYPERLINK("https://www.youtube.com/watch?v=PsBVUFrTv8Y", "영상 보기 ▶")</f>
        <v/>
      </c>
    </row>
    <row r="1977" ht="26" customHeight="1">
      <c r="A1977" s="6" t="n">
        <v>1976</v>
      </c>
      <c r="B1977" s="7" t="inlineStr">
        <is>
          <t>총정리 40탄</t>
        </is>
      </c>
      <c r="C1977" s="7" t="inlineStr">
        <is>
          <t>실전회화/표현</t>
        </is>
      </c>
      <c r="D1977" s="8" t="inlineStr">
        <is>
          <t>be thrilled</t>
        </is>
      </c>
      <c r="E1977" s="12" t="inlineStr">
        <is>
          <t>정말 기쁜, 신난, 대단히 만족스러운</t>
        </is>
      </c>
      <c r="F1977" s="12" t="inlineStr">
        <is>
          <t>I'm thrilled to work with you on this project.</t>
        </is>
      </c>
      <c r="G1977" s="12" t="inlineStr">
        <is>
          <t>이 프로젝트에서 당신과 함께 일하게 되어 정말 기쁩니다.</t>
        </is>
      </c>
      <c r="H1977" s="9">
        <f>HYPERLINK("https://www.youtube.com/watch?v=PsBVUFrTv8Y", "영상 보기 ▶")</f>
        <v/>
      </c>
    </row>
    <row r="1978" ht="26" customHeight="1">
      <c r="A1978" s="2" t="n">
        <v>1977</v>
      </c>
      <c r="B1978" s="3" t="inlineStr">
        <is>
          <t>총정리 40탄</t>
        </is>
      </c>
      <c r="C1978" s="3" t="inlineStr">
        <is>
          <t>실전회화/표현</t>
        </is>
      </c>
      <c r="D1978" s="4" t="inlineStr">
        <is>
          <t>thrilled for you / thrilled to pieces</t>
        </is>
      </c>
      <c r="E1978" s="11" t="inlineStr">
        <is>
          <t>너 일처럼 너무너무 기쁘고 잘됐다 / 뛸 듯이 기쁜</t>
        </is>
      </c>
      <c r="F1978" s="11" t="inlineStr">
        <is>
          <t>Congratulations on the promotion! I'm so thrilled for you!</t>
        </is>
      </c>
      <c r="G1978" s="11" t="inlineStr">
        <is>
          <t>승진 진심으로 축하해! 내 일처럼 너무너무 기쁘고 잘됐다!</t>
        </is>
      </c>
      <c r="H1978" s="5">
        <f>HYPERLINK("https://www.youtube.com/watch?v=PsBVUFrTv8Y", "영상 보기 ▶")</f>
        <v/>
      </c>
    </row>
    <row r="1979" ht="26" customHeight="1">
      <c r="A1979" s="6" t="n">
        <v>1978</v>
      </c>
      <c r="B1979" s="7" t="inlineStr">
        <is>
          <t>총정리 40탄</t>
        </is>
      </c>
      <c r="C1979" s="7" t="inlineStr">
        <is>
          <t>실전회화/표현</t>
        </is>
      </c>
      <c r="D1979" s="8" t="inlineStr">
        <is>
          <t>sense</t>
        </is>
      </c>
      <c r="E1979" s="12" t="inlineStr">
        <is>
          <t>느끼다, 감지하다</t>
        </is>
      </c>
      <c r="F1979" s="12" t="inlineStr">
        <is>
          <t>I’m sensing tension. What’s going on?</t>
        </is>
      </c>
      <c r="G1979" s="12" t="inlineStr">
        <is>
          <t>긴강감이 느껴지는데 무슨 일이야?</t>
        </is>
      </c>
      <c r="H1979" s="9">
        <f>HYPERLINK("https://www.youtube.com/watch?v=PsBVUFrTv8Y", "영상 보기 ▶")</f>
        <v/>
      </c>
    </row>
    <row r="1980" ht="26" customHeight="1">
      <c r="A1980" s="2" t="n">
        <v>1979</v>
      </c>
      <c r="B1980" s="3" t="inlineStr">
        <is>
          <t>총정리 40탄</t>
        </is>
      </c>
      <c r="C1980" s="3" t="inlineStr">
        <is>
          <t>실전회화/표현</t>
        </is>
      </c>
      <c r="D1980" s="4" t="inlineStr">
        <is>
          <t>hostility</t>
        </is>
      </c>
      <c r="E1980" s="11" t="inlineStr">
        <is>
          <t>적의, 적대감</t>
        </is>
      </c>
      <c r="F1980" s="11" t="inlineStr">
        <is>
          <t>I’m sensing some hostility here.</t>
        </is>
      </c>
      <c r="G1980" s="11" t="inlineStr">
        <is>
          <t>적대감이 서있는게 느껴지네요.</t>
        </is>
      </c>
      <c r="H1980" s="5">
        <f>HYPERLINK("https://www.youtube.com/watch?v=PsBVUFrTv8Y", "영상 보기 ▶")</f>
        <v/>
      </c>
    </row>
    <row r="1981" ht="26" customHeight="1">
      <c r="A1981" s="6" t="n">
        <v>1980</v>
      </c>
      <c r="B1981" s="7" t="inlineStr">
        <is>
          <t>총정리 40탄</t>
        </is>
      </c>
      <c r="C1981" s="7" t="inlineStr">
        <is>
          <t>실전회화/표현</t>
        </is>
      </c>
      <c r="D1981" s="8" t="inlineStr">
        <is>
          <t>hospitality</t>
        </is>
      </c>
      <c r="E1981" s="12" t="inlineStr">
        <is>
          <t>환대, 접대</t>
        </is>
      </c>
      <c r="F1981" s="12" t="inlineStr">
        <is>
          <t>Thank you for your hospitality.</t>
        </is>
      </c>
      <c r="G1981" s="12" t="inlineStr">
        <is>
          <t>환대해 주셔서 정말 감사합니다.</t>
        </is>
      </c>
      <c r="H1981" s="9">
        <f>HYPERLINK("https://www.youtube.com/watch?v=PsBVUFrTv8Y", "영상 보기 ▶")</f>
        <v/>
      </c>
    </row>
    <row r="1982" ht="26" customHeight="1">
      <c r="A1982" s="2" t="n">
        <v>1981</v>
      </c>
      <c r="B1982" s="3" t="inlineStr">
        <is>
          <t>총정리 40탄</t>
        </is>
      </c>
      <c r="C1982" s="3" t="inlineStr">
        <is>
          <t>실전회화/표현</t>
        </is>
      </c>
      <c r="D1982" s="4" t="inlineStr">
        <is>
          <t>turn down</t>
        </is>
      </c>
      <c r="E1982" s="11" t="inlineStr">
        <is>
          <t>거절하다</t>
        </is>
      </c>
      <c r="F1982" s="11" t="inlineStr">
        <is>
          <t>Before you turn me down, please hear me out.</t>
        </is>
      </c>
      <c r="G1982" s="11" t="inlineStr">
        <is>
          <t>거절하기 전에 내 말을 끝까지 들어줘.</t>
        </is>
      </c>
      <c r="H1982" s="5">
        <f>HYPERLINK("https://www.youtube.com/watch?v=PsBVUFrTv8Y", "영상 보기 ▶")</f>
        <v/>
      </c>
    </row>
    <row r="1983" ht="26" customHeight="1">
      <c r="A1983" s="6" t="n">
        <v>1982</v>
      </c>
      <c r="B1983" s="7" t="inlineStr">
        <is>
          <t>총정리 40탄</t>
        </is>
      </c>
      <c r="C1983" s="7" t="inlineStr">
        <is>
          <t>실전회화/표현</t>
        </is>
      </c>
      <c r="D1983" s="8" t="inlineStr">
        <is>
          <t>hats off to ~</t>
        </is>
      </c>
      <c r="E1983" s="12" t="inlineStr">
        <is>
          <t>에게 경의를 표하다</t>
        </is>
      </c>
      <c r="F1983" s="12" t="inlineStr">
        <is>
          <t>Hats off to you! I’m impressed.</t>
        </is>
      </c>
      <c r="G1983" s="12" t="inlineStr">
        <is>
          <t>정말 잘했어. 대단한걸.</t>
        </is>
      </c>
      <c r="H1983" s="9">
        <f>HYPERLINK("https://www.youtube.com/watch?v=PsBVUFrTv8Y", "영상 보기 ▶")</f>
        <v/>
      </c>
    </row>
    <row r="1984" ht="26" customHeight="1">
      <c r="A1984" s="2" t="n">
        <v>1983</v>
      </c>
      <c r="B1984" s="3" t="inlineStr">
        <is>
          <t>총정리 40탄</t>
        </is>
      </c>
      <c r="C1984" s="3" t="inlineStr">
        <is>
          <t>실전회화/표현</t>
        </is>
      </c>
      <c r="D1984" s="4" t="inlineStr">
        <is>
          <t>pull off</t>
        </is>
      </c>
      <c r="E1984" s="11" t="inlineStr">
        <is>
          <t>(어려운 일을 훌륭하게) 성사시키다, 해내다</t>
        </is>
      </c>
      <c r="F1984" s="11" t="inlineStr">
        <is>
          <t>I don't know how Mike pulled that off. Hats off to him.</t>
        </is>
      </c>
      <c r="G1984" s="11" t="inlineStr">
        <is>
          <t>마이크가 어떻게 그걸 해냈는지 모르겠네, 그에게 경의를 표해.</t>
        </is>
      </c>
      <c r="H1984" s="5">
        <f>HYPERLINK("https://www.youtube.com/watch?v=PsBVUFrTv8Y", "영상 보기 ▶")</f>
        <v/>
      </c>
    </row>
    <row r="1985" ht="26" customHeight="1">
      <c r="A1985" s="6" t="n">
        <v>1984</v>
      </c>
      <c r="B1985" s="7" t="inlineStr">
        <is>
          <t>총정리 40탄</t>
        </is>
      </c>
      <c r="C1985" s="7" t="inlineStr">
        <is>
          <t>실전회화/표현</t>
        </is>
      </c>
      <c r="D1985" s="8" t="inlineStr">
        <is>
          <t>pull through</t>
        </is>
      </c>
      <c r="E1985" s="12" t="inlineStr">
        <is>
          <t>(위기/부상/난관을) 끝내 이겨내다, 회복하다</t>
        </is>
      </c>
      <c r="F1985" s="12" t="inlineStr">
        <is>
          <t>It was a critical crisis, but our team managed to pull through.</t>
        </is>
      </c>
      <c r="G1985" s="12" t="inlineStr">
        <is>
          <t>중대한 위기였지만 우리 팀은 끝내 꿋꿋이 잘 이겨냈습니다.</t>
        </is>
      </c>
      <c r="H1985" s="9">
        <f>HYPERLINK("https://www.youtube.com/watch?v=PsBVUFrTv8Y", "영상 보기 ▶")</f>
        <v/>
      </c>
    </row>
    <row r="1986" ht="26" customHeight="1">
      <c r="A1986" s="2" t="n">
        <v>1985</v>
      </c>
      <c r="B1986" s="3" t="inlineStr">
        <is>
          <t>총정리 40탄</t>
        </is>
      </c>
      <c r="C1986" s="3" t="inlineStr">
        <is>
          <t>실전회화/표현</t>
        </is>
      </c>
      <c r="D1986" s="4" t="inlineStr">
        <is>
          <t>loyal</t>
        </is>
      </c>
      <c r="E1986" s="11" t="inlineStr">
        <is>
          <t>충실한, 변함없는</t>
        </is>
      </c>
      <c r="F1986" s="11" t="inlineStr">
        <is>
          <t>I’m loyal.</t>
        </is>
      </c>
      <c r="G1986" s="11" t="inlineStr">
        <is>
          <t>난 의리있어.</t>
        </is>
      </c>
      <c r="H1986" s="5">
        <f>HYPERLINK("https://www.youtube.com/watch?v=PsBVUFrTv8Y", "영상 보기 ▶")</f>
        <v/>
      </c>
    </row>
    <row r="1987" ht="26" customHeight="1">
      <c r="A1987" s="6" t="n">
        <v>1986</v>
      </c>
      <c r="B1987" s="7" t="inlineStr">
        <is>
          <t>총정리 40탄</t>
        </is>
      </c>
      <c r="C1987" s="7" t="inlineStr">
        <is>
          <t>실전회화/표현</t>
        </is>
      </c>
      <c r="D1987" s="8" t="inlineStr">
        <is>
          <t>have something to do with ~</t>
        </is>
      </c>
      <c r="E1987" s="12" t="inlineStr">
        <is>
          <t>와 관련이 있다</t>
        </is>
      </c>
      <c r="F1987" s="12" t="inlineStr">
        <is>
          <t>A: Why is he upset?</t>
        </is>
      </c>
      <c r="G1987" s="12" t="inlineStr">
        <is>
          <t>쟤 왜저래?</t>
        </is>
      </c>
      <c r="H1987" s="9">
        <f>HYPERLINK("https://www.youtube.com/watch?v=PsBVUFrTv8Y", "영상 보기 ▶")</f>
        <v/>
      </c>
    </row>
    <row r="1988" ht="26" customHeight="1">
      <c r="A1988" s="2" t="n">
        <v>1987</v>
      </c>
      <c r="B1988" s="3" t="inlineStr">
        <is>
          <t>총정리 40탄</t>
        </is>
      </c>
      <c r="C1988" s="3" t="inlineStr">
        <is>
          <t>실전회화/표현</t>
        </is>
      </c>
      <c r="D1988" s="4" t="inlineStr">
        <is>
          <t>have nothing to do with it ~</t>
        </is>
      </c>
      <c r="E1988" s="11" t="inlineStr">
        <is>
          <t>와 전혀 상관없다</t>
        </is>
      </c>
      <c r="F1988" s="11" t="inlineStr">
        <is>
          <t>This has nothing to do with me. Don’t throw me under the bus.</t>
        </is>
      </c>
      <c r="G1988" s="11" t="inlineStr">
        <is>
          <t>나랑은 전혀 상관없는 일이니까 날 끌어들이지 마.</t>
        </is>
      </c>
      <c r="H1988" s="5">
        <f>HYPERLINK("https://www.youtube.com/watch?v=PsBVUFrTv8Y", "영상 보기 ▶")</f>
        <v/>
      </c>
    </row>
    <row r="1989" ht="26" customHeight="1">
      <c r="A1989" s="6" t="n">
        <v>1988</v>
      </c>
      <c r="B1989" s="7" t="inlineStr">
        <is>
          <t>총정리 40탄</t>
        </is>
      </c>
      <c r="C1989" s="7" t="inlineStr">
        <is>
          <t>실전회화/표현</t>
        </is>
      </c>
      <c r="D1989" s="8" t="inlineStr">
        <is>
          <t>hiccup</t>
        </is>
      </c>
      <c r="E1989" s="12" t="inlineStr">
        <is>
          <t>문제, 차질</t>
        </is>
      </c>
      <c r="F1989" s="12" t="inlineStr">
        <is>
          <t>There were a few hiccups along the way, but that’s to be expected.</t>
        </is>
      </c>
      <c r="G1989" s="12" t="inlineStr">
        <is>
          <t>진행하면서 약간 문제가 있었지만 그건 당연한거야.</t>
        </is>
      </c>
      <c r="H1989" s="9">
        <f>HYPERLINK("https://www.youtube.com/watch?v=PsBVUFrTv8Y", "영상 보기 ▶")</f>
        <v/>
      </c>
    </row>
    <row r="1990" ht="26" customHeight="1">
      <c r="A1990" s="2" t="n">
        <v>1989</v>
      </c>
      <c r="B1990" s="3" t="inlineStr">
        <is>
          <t>총정리 40탄</t>
        </is>
      </c>
      <c r="C1990" s="3" t="inlineStr">
        <is>
          <t>실전회화/표현</t>
        </is>
      </c>
      <c r="D1990" s="4" t="inlineStr">
        <is>
          <t>Kudos to you!</t>
        </is>
      </c>
      <c r="E1990" s="11" t="inlineStr">
        <is>
          <t>정말 잘했네.</t>
        </is>
      </c>
      <c r="F1990" s="11" t="inlineStr">
        <is>
          <t>Kudos to you!</t>
        </is>
      </c>
      <c r="G1990" s="11" t="inlineStr">
        <is>
          <t>정말 잘했네.</t>
        </is>
      </c>
      <c r="H1990" s="5">
        <f>HYPERLINK("https://www.youtube.com/watch?v=PsBVUFrTv8Y", "영상 보기 ▶")</f>
        <v/>
      </c>
    </row>
    <row r="1991" ht="26" customHeight="1">
      <c r="A1991" s="6" t="n">
        <v>1990</v>
      </c>
      <c r="B1991" s="7" t="inlineStr">
        <is>
          <t>총정리 40탄</t>
        </is>
      </c>
      <c r="C1991" s="7" t="inlineStr">
        <is>
          <t>실전회화/표현</t>
        </is>
      </c>
      <c r="D1991" s="8" t="inlineStr">
        <is>
          <t>wise ~</t>
        </is>
      </c>
      <c r="E1991" s="12" t="inlineStr">
        <is>
          <t>에 관하여, 면에서는</t>
        </is>
      </c>
      <c r="F1991" s="12" t="inlineStr">
        <is>
          <t>Things are great, business-wise.</t>
        </is>
      </c>
      <c r="G1991" s="12" t="inlineStr">
        <is>
          <t>사업면에서 잘 되고 있어.</t>
        </is>
      </c>
      <c r="H1991" s="9">
        <f>HYPERLINK("https://www.youtube.com/watch?v=PsBVUFrTv8Y", "영상 보기 ▶")</f>
        <v/>
      </c>
    </row>
    <row r="1992" ht="26" customHeight="1">
      <c r="A1992" s="2" t="n">
        <v>1991</v>
      </c>
      <c r="B1992" s="3" t="inlineStr">
        <is>
          <t>총정리 40탄</t>
        </is>
      </c>
      <c r="C1992" s="3" t="inlineStr">
        <is>
          <t>실전회화/표현</t>
        </is>
      </c>
      <c r="D1992" s="4" t="inlineStr">
        <is>
          <t>otherwise ~</t>
        </is>
      </c>
      <c r="E1992" s="11" t="inlineStr">
        <is>
          <t>와는 다른 방식으로, 달리</t>
        </is>
      </c>
      <c r="F1992" s="11" t="inlineStr">
        <is>
          <t>The instruction say otherwise.</t>
        </is>
      </c>
      <c r="G1992" s="11" t="inlineStr">
        <is>
          <t>설명서에는 다르게 나와있는데.</t>
        </is>
      </c>
      <c r="H1992" s="5">
        <f>HYPERLINK("https://www.youtube.com/watch?v=PsBVUFrTv8Y", "영상 보기 ▶")</f>
        <v/>
      </c>
    </row>
    <row r="1993" ht="26" customHeight="1">
      <c r="A1993" s="6" t="n">
        <v>1992</v>
      </c>
      <c r="B1993" s="7" t="inlineStr">
        <is>
          <t>총정리 40탄</t>
        </is>
      </c>
      <c r="C1993" s="7" t="inlineStr">
        <is>
          <t>실전회화/표현</t>
        </is>
      </c>
      <c r="D1993" s="8" t="inlineStr">
        <is>
          <t>have a chip on one’s shoulder</t>
        </is>
      </c>
      <c r="E1993" s="12" t="inlineStr">
        <is>
          <t>예민하게 굴다</t>
        </is>
      </c>
      <c r="F1993" s="12" t="inlineStr">
        <is>
          <t>Why do you have a chip on your shoulder?</t>
        </is>
      </c>
      <c r="G1993" s="12" t="inlineStr">
        <is>
          <t>왜 그렇게 불평불만인거야?</t>
        </is>
      </c>
      <c r="H1993" s="9">
        <f>HYPERLINK("https://www.youtube.com/watch?v=PsBVUFrTv8Y", "영상 보기 ▶")</f>
        <v/>
      </c>
    </row>
    <row r="1994" ht="26" customHeight="1">
      <c r="A1994" s="2" t="n">
        <v>1993</v>
      </c>
      <c r="B1994" s="3" t="inlineStr">
        <is>
          <t>총정리 40탄</t>
        </is>
      </c>
      <c r="C1994" s="3" t="inlineStr">
        <is>
          <t>실전회화/표현</t>
        </is>
      </c>
      <c r="D1994" s="4" t="inlineStr">
        <is>
          <t>reservations</t>
        </is>
      </c>
      <c r="E1994" s="11" t="inlineStr">
        <is>
          <t>거리낌, 의구심</t>
        </is>
      </c>
      <c r="F1994" s="11" t="inlineStr">
        <is>
          <t>I’m sensing some reservations here.</t>
        </is>
      </c>
      <c r="G1994" s="11" t="inlineStr">
        <is>
          <t>주저하는게 느껴지네요.</t>
        </is>
      </c>
      <c r="H1994" s="5">
        <f>HYPERLINK("https://www.youtube.com/watch?v=PsBVUFrTv8Y", "영상 보기 ▶")</f>
        <v/>
      </c>
    </row>
    <row r="1995" ht="26" customHeight="1">
      <c r="A1995" s="6" t="n">
        <v>1994</v>
      </c>
      <c r="B1995" s="7" t="inlineStr">
        <is>
          <t>총정리 40탄</t>
        </is>
      </c>
      <c r="C1995" s="7" t="inlineStr">
        <is>
          <t>실전회화/표현</t>
        </is>
      </c>
      <c r="D1995" s="8" t="inlineStr">
        <is>
          <t>to say the least</t>
        </is>
      </c>
      <c r="E1995" s="12" t="inlineStr">
        <is>
          <t>좋게 말해서</t>
        </is>
      </c>
      <c r="F1995" s="12" t="inlineStr">
        <is>
          <t>The food was disappointing, to say the least.</t>
        </is>
      </c>
      <c r="G1995" s="12" t="inlineStr">
        <is>
          <t>정말 형편없었지만 이쯤할게.</t>
        </is>
      </c>
      <c r="H1995" s="9">
        <f>HYPERLINK("https://www.youtube.com/watch?v=PsBVUFrTv8Y", "영상 보기 ▶")</f>
        <v/>
      </c>
    </row>
    <row r="1996" ht="26" customHeight="1">
      <c r="A1996" s="2" t="n">
        <v>1995</v>
      </c>
      <c r="B1996" s="3" t="inlineStr">
        <is>
          <t>총정리 40탄</t>
        </is>
      </c>
      <c r="C1996" s="3" t="inlineStr">
        <is>
          <t>실전회화/표현</t>
        </is>
      </c>
      <c r="D1996" s="4" t="inlineStr">
        <is>
          <t>relative</t>
        </is>
      </c>
      <c r="E1996" s="11" t="inlineStr">
        <is>
          <t>상대적인, 비교적인</t>
        </is>
      </c>
      <c r="F1996" s="11" t="inlineStr">
        <is>
          <t>A: It’s too expensive.</t>
        </is>
      </c>
      <c r="G1996" s="11" t="inlineStr">
        <is>
          <t>너무 비싼데.</t>
        </is>
      </c>
      <c r="H1996" s="5">
        <f>HYPERLINK("https://www.youtube.com/watch?v=PsBVUFrTv8Y", "영상 보기 ▶")</f>
        <v/>
      </c>
    </row>
    <row r="1997" ht="26" customHeight="1">
      <c r="A1997" s="6" t="n">
        <v>1996</v>
      </c>
      <c r="B1997" s="7" t="inlineStr">
        <is>
          <t>총정리 40탄</t>
        </is>
      </c>
      <c r="C1997" s="7" t="inlineStr">
        <is>
          <t>실전회화/표현</t>
        </is>
      </c>
      <c r="D1997" s="8" t="inlineStr">
        <is>
          <t>It’s a matter of ~ ~</t>
        </is>
      </c>
      <c r="E1997" s="12" t="inlineStr">
        <is>
          <t>의 문제야.</t>
        </is>
      </c>
      <c r="F1997" s="12" t="inlineStr">
        <is>
          <t>It’s a matter of perspective.</t>
        </is>
      </c>
      <c r="G1997" s="12" t="inlineStr">
        <is>
          <t>관점에 따라 다르지.</t>
        </is>
      </c>
      <c r="H1997" s="9">
        <f>HYPERLINK("https://www.youtube.com/watch?v=PsBVUFrTv8Y", "영상 보기 ▶")</f>
        <v/>
      </c>
    </row>
    <row r="1998" ht="26" customHeight="1">
      <c r="A1998" s="2" t="n">
        <v>1997</v>
      </c>
      <c r="B1998" s="3" t="inlineStr">
        <is>
          <t>총정리 40탄</t>
        </is>
      </c>
      <c r="C1998" s="3" t="inlineStr">
        <is>
          <t>실전회화/표현</t>
        </is>
      </c>
      <c r="D1998" s="4" t="inlineStr">
        <is>
          <t>rub off on ~</t>
        </is>
      </c>
      <c r="E1998" s="11" t="inlineStr">
        <is>
          <t>에게 영향을 주다, 물들다</t>
        </is>
      </c>
      <c r="F1998" s="11" t="inlineStr">
        <is>
          <t>You’re rubbing off on me.</t>
        </is>
      </c>
      <c r="G1998" s="11" t="inlineStr">
        <is>
          <t>너한테 물들어가나봐.</t>
        </is>
      </c>
      <c r="H1998" s="5">
        <f>HYPERLINK("https://www.youtube.com/watch?v=PsBVUFrTv8Y", "영상 보기 ▶")</f>
        <v/>
      </c>
    </row>
    <row r="1999" ht="26" customHeight="1">
      <c r="A1999" s="6" t="n">
        <v>1998</v>
      </c>
      <c r="B1999" s="7" t="inlineStr">
        <is>
          <t>총정리 40탄</t>
        </is>
      </c>
      <c r="C1999" s="7" t="inlineStr">
        <is>
          <t>실전회화/표현</t>
        </is>
      </c>
      <c r="D1999" s="8" t="inlineStr">
        <is>
          <t>contagious</t>
        </is>
      </c>
      <c r="E1999" s="12" t="inlineStr">
        <is>
          <t>전염되는, 전염성의</t>
        </is>
      </c>
      <c r="F1999" s="12" t="inlineStr">
        <is>
          <t>Your enthusiasm is contagious.</t>
        </is>
      </c>
      <c r="G1999" s="12" t="inlineStr">
        <is>
          <t>네 열정이 모두를 열정적으로 만들어.</t>
        </is>
      </c>
      <c r="H1999" s="9">
        <f>HYPERLINK("https://www.youtube.com/watch?v=PsBVUFrTv8Y", "영상 보기 ▶")</f>
        <v/>
      </c>
    </row>
    <row r="2000" ht="26" customHeight="1">
      <c r="A2000" s="2" t="n">
        <v>1999</v>
      </c>
      <c r="B2000" s="3" t="inlineStr">
        <is>
          <t>총정리 40탄</t>
        </is>
      </c>
      <c r="C2000" s="3" t="inlineStr">
        <is>
          <t>실전회화/표현</t>
        </is>
      </c>
      <c r="D2000" s="4" t="inlineStr">
        <is>
          <t>It’s been a while.</t>
        </is>
      </c>
      <c r="E2000" s="11" t="inlineStr">
        <is>
          <t>오랜만이야.</t>
        </is>
      </c>
      <c r="F2000" s="11" t="inlineStr">
        <is>
          <t>It’s been a while since our last meeting.</t>
        </is>
      </c>
      <c r="G2000" s="11" t="inlineStr">
        <is>
          <t>지난 미팅 이후로 오랜만에 뵈어요.</t>
        </is>
      </c>
      <c r="H2000" s="5">
        <f>HYPERLINK("https://www.youtube.com/watch?v=PsBVUFrTv8Y", "영상 보기 ▶")</f>
        <v/>
      </c>
    </row>
    <row r="2001" ht="26" customHeight="1">
      <c r="A2001" s="6" t="n">
        <v>2000</v>
      </c>
      <c r="B2001" s="7" t="inlineStr">
        <is>
          <t>총정리 40탄</t>
        </is>
      </c>
      <c r="C2001" s="7" t="inlineStr">
        <is>
          <t>실전회화/표현</t>
        </is>
      </c>
      <c r="D2001" s="8" t="inlineStr">
        <is>
          <t>It can’t be!</t>
        </is>
      </c>
      <c r="E2001" s="12" t="inlineStr">
        <is>
          <t>말도 안 돼! 그럴 리가 없어!</t>
        </is>
      </c>
      <c r="F2001" s="12" t="inlineStr">
        <is>
          <t>Did we really lose the contract? It can’t be!</t>
        </is>
      </c>
      <c r="G2001" s="12" t="inlineStr">
        <is>
          <t>우리가 정말 계약을 놓쳤다고요? 말도 안 돼요, 그럴 리가 없어요!</t>
        </is>
      </c>
      <c r="H2001" s="9">
        <f>HYPERLINK("https://www.youtube.com/watch?v=PsBVUFrTv8Y", "영상 보기 ▶")</f>
        <v/>
      </c>
    </row>
    <row r="2002" ht="26" customHeight="1">
      <c r="A2002" s="2" t="n">
        <v>2001</v>
      </c>
      <c r="B2002" s="3" t="inlineStr">
        <is>
          <t>총정리 41탄</t>
        </is>
      </c>
      <c r="C2002" s="3" t="inlineStr">
        <is>
          <t>실전회화/표현</t>
        </is>
      </c>
      <c r="D2002" s="4" t="inlineStr">
        <is>
          <t>get the ball rolling</t>
        </is>
      </c>
      <c r="E2002" s="11" t="inlineStr">
        <is>
          <t>일을 시작하다, 본격적으로 진행하다</t>
        </is>
      </c>
      <c r="F2002" s="11" t="inlineStr">
        <is>
          <t>I’ll go first to get the ball rolling.</t>
        </is>
      </c>
      <c r="G2002" s="11" t="inlineStr">
        <is>
          <t>그럼 일단 제가 먼저 할게요.</t>
        </is>
      </c>
      <c r="H2002" s="5">
        <f>HYPERLINK("https://www.youtube.com/watch?v=ZLgM3yMlrCQ", "영상 보기 ▶")</f>
        <v/>
      </c>
    </row>
    <row r="2003" ht="26" customHeight="1">
      <c r="A2003" s="6" t="n">
        <v>2002</v>
      </c>
      <c r="B2003" s="7" t="inlineStr">
        <is>
          <t>총정리 41탄</t>
        </is>
      </c>
      <c r="C2003" s="7" t="inlineStr">
        <is>
          <t>공감/감정</t>
        </is>
      </c>
      <c r="D2003" s="8" t="inlineStr">
        <is>
          <t>luxury</t>
        </is>
      </c>
      <c r="E2003" s="12" t="inlineStr">
        <is>
          <t>호화로움, 사치, 여유</t>
        </is>
      </c>
      <c r="F2003" s="12" t="inlineStr">
        <is>
          <t>Wo don’t have that luxury.</t>
        </is>
      </c>
      <c r="G2003" s="12" t="inlineStr">
        <is>
          <t>그럴 여유가 없어.</t>
        </is>
      </c>
      <c r="H2003" s="9">
        <f>HYPERLINK("https://www.youtube.com/watch?v=ZLgM3yMlrCQ", "영상 보기 ▶")</f>
        <v/>
      </c>
    </row>
    <row r="2004" ht="26" customHeight="1">
      <c r="A2004" s="2" t="n">
        <v>2003</v>
      </c>
      <c r="B2004" s="3" t="inlineStr">
        <is>
          <t>총정리 41탄</t>
        </is>
      </c>
      <c r="C2004" s="3" t="inlineStr">
        <is>
          <t>실전회화/표현</t>
        </is>
      </c>
      <c r="D2004" s="4" t="inlineStr">
        <is>
          <t>bandwidth</t>
        </is>
      </c>
      <c r="E2004" s="11" t="inlineStr">
        <is>
          <t>일을 감당할 수 있는 여력, 여유, 능력</t>
        </is>
      </c>
      <c r="F2004" s="11" t="inlineStr">
        <is>
          <t>Do you have the bandwidth?</t>
        </is>
      </c>
      <c r="G2004" s="11" t="inlineStr">
        <is>
          <t>이걸 할 여력이 있어?</t>
        </is>
      </c>
      <c r="H2004" s="5">
        <f>HYPERLINK("https://www.youtube.com/watch?v=ZLgM3yMlrCQ", "영상 보기 ▶")</f>
        <v/>
      </c>
    </row>
    <row r="2005" ht="26" customHeight="1">
      <c r="A2005" s="6" t="n">
        <v>2004</v>
      </c>
      <c r="B2005" s="7" t="inlineStr">
        <is>
          <t>총정리 41탄</t>
        </is>
      </c>
      <c r="C2005" s="7" t="inlineStr">
        <is>
          <t>실전회화/표현</t>
        </is>
      </c>
      <c r="D2005" s="8" t="inlineStr">
        <is>
          <t>be prone to</t>
        </is>
      </c>
      <c r="E2005" s="12" t="inlineStr">
        <is>
          <t>걸핏하면 ~해, ~하는 경향이 있어</t>
        </is>
      </c>
      <c r="F2005" s="12" t="inlineStr">
        <is>
          <t>I’m prone to headaches.</t>
        </is>
      </c>
      <c r="G2005" s="12" t="inlineStr">
        <is>
          <t>난 뭐만 하면 머리가 아파.</t>
        </is>
      </c>
      <c r="H2005" s="9">
        <f>HYPERLINK("https://www.youtube.com/watch?v=ZLgM3yMlrCQ", "영상 보기 ▶")</f>
        <v/>
      </c>
    </row>
    <row r="2006" ht="26" customHeight="1">
      <c r="A2006" s="2" t="n">
        <v>2005</v>
      </c>
      <c r="B2006" s="3" t="inlineStr">
        <is>
          <t>총정리 41탄</t>
        </is>
      </c>
      <c r="C2006" s="3" t="inlineStr">
        <is>
          <t>실전회화/표현</t>
        </is>
      </c>
      <c r="D2006" s="4" t="inlineStr">
        <is>
          <t>take off (</t>
        </is>
      </c>
      <c r="E2006" s="11" t="inlineStr">
        <is>
          <t>갑자기) 인기를 끌다, 유행하다, 성공하다</t>
        </is>
      </c>
      <c r="F2006" s="11" t="inlineStr">
        <is>
          <t>It just took off.</t>
        </is>
      </c>
      <c r="G2006" s="11" t="inlineStr">
        <is>
          <t>갑자기 확 성장했어.</t>
        </is>
      </c>
      <c r="H2006" s="5">
        <f>HYPERLINK("https://www.youtube.com/watch?v=ZLgM3yMlrCQ", "영상 보기 ▶")</f>
        <v/>
      </c>
    </row>
    <row r="2007" ht="26" customHeight="1">
      <c r="A2007" s="6" t="n">
        <v>2006</v>
      </c>
      <c r="B2007" s="7" t="inlineStr">
        <is>
          <t>총정리 41탄</t>
        </is>
      </c>
      <c r="C2007" s="7" t="inlineStr">
        <is>
          <t>실전회화/표현</t>
        </is>
      </c>
      <c r="D2007" s="8" t="inlineStr">
        <is>
          <t>It’s about time.</t>
        </is>
      </c>
      <c r="E2007" s="12" t="inlineStr">
        <is>
          <t>그럴 때가 됐지.</t>
        </is>
      </c>
      <c r="F2007" s="12" t="inlineStr">
        <is>
          <t>It’s about time.</t>
        </is>
      </c>
      <c r="G2007" s="12" t="inlineStr">
        <is>
          <t>그럴 때가 됐지.</t>
        </is>
      </c>
      <c r="H2007" s="9">
        <f>HYPERLINK("https://www.youtube.com/watch?v=ZLgM3yMlrCQ", "영상 보기 ▶")</f>
        <v/>
      </c>
    </row>
    <row r="2008" ht="26" customHeight="1">
      <c r="A2008" s="2" t="n">
        <v>2007</v>
      </c>
      <c r="B2008" s="3" t="inlineStr">
        <is>
          <t>총정리 41탄</t>
        </is>
      </c>
      <c r="C2008" s="3" t="inlineStr">
        <is>
          <t>실전회화/표현</t>
        </is>
      </c>
      <c r="D2008" s="4" t="inlineStr">
        <is>
          <t>be about ~</t>
        </is>
      </c>
      <c r="E2008" s="11" t="inlineStr">
        <is>
          <t>가 중요해, 핵심이야</t>
        </is>
      </c>
      <c r="F2008" s="11" t="inlineStr">
        <is>
          <t>It’s about the journey, not the destination.</t>
        </is>
      </c>
      <c r="G2008" s="11" t="inlineStr">
        <is>
          <t>결과보다 과정이 중요해.</t>
        </is>
      </c>
      <c r="H2008" s="5">
        <f>HYPERLINK("https://www.youtube.com/watch?v=ZLgM3yMlrCQ", "영상 보기 ▶")</f>
        <v/>
      </c>
    </row>
    <row r="2009" ht="26" customHeight="1">
      <c r="A2009" s="6" t="n">
        <v>2008</v>
      </c>
      <c r="B2009" s="7" t="inlineStr">
        <is>
          <t>총정리 41탄</t>
        </is>
      </c>
      <c r="C2009" s="7" t="inlineStr">
        <is>
          <t>의견/의사결정</t>
        </is>
      </c>
      <c r="D2009" s="8" t="inlineStr">
        <is>
          <t>I’m all about ~</t>
        </is>
      </c>
      <c r="E2009" s="12" t="inlineStr">
        <is>
          <t>를 가장 중요하게 생각해</t>
        </is>
      </c>
      <c r="F2009" s="12" t="inlineStr">
        <is>
          <t>I’m all about family.</t>
        </is>
      </c>
      <c r="G2009" s="12" t="inlineStr">
        <is>
          <t>난 가족이 항상 우선이야.</t>
        </is>
      </c>
      <c r="H2009" s="9">
        <f>HYPERLINK("https://www.youtube.com/watch?v=ZLgM3yMlrCQ", "영상 보기 ▶")</f>
        <v/>
      </c>
    </row>
    <row r="2010" ht="26" customHeight="1">
      <c r="A2010" s="2" t="n">
        <v>2009</v>
      </c>
      <c r="B2010" s="3" t="inlineStr">
        <is>
          <t>총정리 41탄</t>
        </is>
      </c>
      <c r="C2010" s="3" t="inlineStr">
        <is>
          <t>실전회화/표현</t>
        </is>
      </c>
      <c r="D2010" s="4" t="inlineStr">
        <is>
          <t>settle</t>
        </is>
      </c>
      <c r="E2010" s="11" t="inlineStr">
        <is>
          <t>합의하다, 해결하다, 끝내다</t>
        </is>
      </c>
      <c r="F2010" s="11" t="inlineStr">
        <is>
          <t>We need to settle this.</t>
        </is>
      </c>
      <c r="G2010" s="11" t="inlineStr">
        <is>
          <t>이 일을 끝내야해.</t>
        </is>
      </c>
      <c r="H2010" s="5">
        <f>HYPERLINK("https://www.youtube.com/watch?v=ZLgM3yMlrCQ", "영상 보기 ▶")</f>
        <v/>
      </c>
    </row>
    <row r="2011" ht="26" customHeight="1">
      <c r="A2011" s="6" t="n">
        <v>2010</v>
      </c>
      <c r="B2011" s="7" t="inlineStr">
        <is>
          <t>총정리 41탄</t>
        </is>
      </c>
      <c r="C2011" s="7" t="inlineStr">
        <is>
          <t>실전회화/표현</t>
        </is>
      </c>
      <c r="D2011" s="8" t="inlineStr">
        <is>
          <t>slip out</t>
        </is>
      </c>
      <c r="E2011" s="12" t="inlineStr">
        <is>
          <t>무심코 내뱉다</t>
        </is>
      </c>
      <c r="F2011" s="12" t="inlineStr">
        <is>
          <t>I wasn’t supposed to say that. It just slipped out.</t>
        </is>
      </c>
      <c r="G2011" s="12" t="inlineStr">
        <is>
          <t>그 얘기를 하면 안됐는데. 모르고 말 해버렸지 뭐야.</t>
        </is>
      </c>
      <c r="H2011" s="9">
        <f>HYPERLINK("https://www.youtube.com/watch?v=ZLgM3yMlrCQ", "영상 보기 ▶")</f>
        <v/>
      </c>
    </row>
    <row r="2012" ht="26" customHeight="1">
      <c r="A2012" s="2" t="n">
        <v>2011</v>
      </c>
      <c r="B2012" s="3" t="inlineStr">
        <is>
          <t>총정리 41탄</t>
        </is>
      </c>
      <c r="C2012" s="3" t="inlineStr">
        <is>
          <t>실전회화/표현</t>
        </is>
      </c>
      <c r="D2012" s="4" t="inlineStr">
        <is>
          <t>It slipped my mind.</t>
        </is>
      </c>
      <c r="E2012" s="11" t="inlineStr">
        <is>
          <t>깜빡했어.</t>
        </is>
      </c>
      <c r="F2012" s="11" t="inlineStr">
        <is>
          <t>It slipped my mind.</t>
        </is>
      </c>
      <c r="G2012" s="11" t="inlineStr">
        <is>
          <t>깜빡했어.</t>
        </is>
      </c>
      <c r="H2012" s="5">
        <f>HYPERLINK("https://www.youtube.com/watch?v=ZLgM3yMlrCQ", "영상 보기 ▶")</f>
        <v/>
      </c>
    </row>
    <row r="2013" ht="26" customHeight="1">
      <c r="A2013" s="6" t="n">
        <v>2012</v>
      </c>
      <c r="B2013" s="7" t="inlineStr">
        <is>
          <t>총정리 41탄</t>
        </is>
      </c>
      <c r="C2013" s="7" t="inlineStr">
        <is>
          <t>실전회화/표현</t>
        </is>
      </c>
      <c r="D2013" s="8" t="inlineStr">
        <is>
          <t>as well</t>
        </is>
      </c>
      <c r="E2013" s="12" t="inlineStr">
        <is>
          <t>또한, ~도</t>
        </is>
      </c>
      <c r="F2013" s="12" t="inlineStr">
        <is>
          <t>I’ll have salad as well.</t>
        </is>
      </c>
      <c r="G2013" s="12" t="inlineStr">
        <is>
          <t>저도 샐러드로 할게요.</t>
        </is>
      </c>
      <c r="H2013" s="9">
        <f>HYPERLINK("https://www.youtube.com/watch?v=ZLgM3yMlrCQ", "영상 보기 ▶")</f>
        <v/>
      </c>
    </row>
    <row r="2014" ht="26" customHeight="1">
      <c r="A2014" s="2" t="n">
        <v>2013</v>
      </c>
      <c r="B2014" s="3" t="inlineStr">
        <is>
          <t>총정리 41탄</t>
        </is>
      </c>
      <c r="C2014" s="3" t="inlineStr">
        <is>
          <t>실전회화/표현</t>
        </is>
      </c>
      <c r="D2014" s="4" t="inlineStr">
        <is>
          <t>on my radar</t>
        </is>
      </c>
      <c r="E2014" s="11" t="inlineStr">
        <is>
          <t>내 관심 대상인, 신경쓰고 있는</t>
        </is>
      </c>
      <c r="F2014" s="11" t="inlineStr">
        <is>
          <t>A: We need to fix this ASAP.</t>
        </is>
      </c>
      <c r="G2014" s="11" t="inlineStr">
        <is>
          <t>이거 최대한 빨리 고쳐야 해.</t>
        </is>
      </c>
      <c r="H2014" s="5">
        <f>HYPERLINK("https://www.youtube.com/watch?v=ZLgM3yMlrCQ", "영상 보기 ▶")</f>
        <v/>
      </c>
    </row>
    <row r="2015" ht="26" customHeight="1">
      <c r="A2015" s="6" t="n">
        <v>2014</v>
      </c>
      <c r="B2015" s="7" t="inlineStr">
        <is>
          <t>총정리 41탄</t>
        </is>
      </c>
      <c r="C2015" s="7" t="inlineStr">
        <is>
          <t>실전회화/표현</t>
        </is>
      </c>
      <c r="D2015" s="8" t="inlineStr">
        <is>
          <t>under the radar</t>
        </is>
      </c>
      <c r="E2015" s="12" t="inlineStr">
        <is>
          <t>눈에 띄지 않게, 조용히</t>
        </is>
      </c>
      <c r="F2015" s="12" t="inlineStr">
        <is>
          <t>We need to keep this under the radar.</t>
        </is>
      </c>
      <c r="G2015" s="12" t="inlineStr">
        <is>
          <t>눈에 띄지 않게 조용히 진행해야해.</t>
        </is>
      </c>
      <c r="H2015" s="9">
        <f>HYPERLINK("https://www.youtube.com/watch?v=ZLgM3yMlrCQ", "영상 보기 ▶")</f>
        <v/>
      </c>
    </row>
    <row r="2016" ht="26" customHeight="1">
      <c r="A2016" s="2" t="n">
        <v>2015</v>
      </c>
      <c r="B2016" s="3" t="inlineStr">
        <is>
          <t>총정리 41탄</t>
        </is>
      </c>
      <c r="C2016" s="3" t="inlineStr">
        <is>
          <t>공감/감정</t>
        </is>
      </c>
      <c r="D2016" s="4" t="inlineStr">
        <is>
          <t>icing on the cake</t>
        </is>
      </c>
      <c r="E2016" s="11" t="inlineStr">
        <is>
          <t>금상첨화</t>
        </is>
      </c>
      <c r="F2016" s="11" t="inlineStr">
        <is>
          <t>It’s been a great year career-wise, and getting married was the icing on the cake.</t>
        </is>
      </c>
      <c r="G2016" s="11" t="inlineStr">
        <is>
          <t>직장에서도 정말 좋은 한해였는데, 결혼까지 하니 더할나위 없어.</t>
        </is>
      </c>
      <c r="H2016" s="5">
        <f>HYPERLINK("https://www.youtube.com/watch?v=ZLgM3yMlrCQ", "영상 보기 ▶")</f>
        <v/>
      </c>
    </row>
    <row r="2017" ht="26" customHeight="1">
      <c r="A2017" s="6" t="n">
        <v>2016</v>
      </c>
      <c r="B2017" s="7" t="inlineStr">
        <is>
          <t>총정리 41탄</t>
        </is>
      </c>
      <c r="C2017" s="7" t="inlineStr">
        <is>
          <t>실전회화/표현</t>
        </is>
      </c>
      <c r="D2017" s="8" t="inlineStr">
        <is>
          <t>uneasy</t>
        </is>
      </c>
      <c r="E2017" s="12" t="inlineStr">
        <is>
          <t>불안한, 불편한</t>
        </is>
      </c>
      <c r="F2017" s="12" t="inlineStr">
        <is>
          <t>I feel uneasy.</t>
        </is>
      </c>
      <c r="G2017" s="12" t="inlineStr">
        <is>
          <t>마음이 불편해.</t>
        </is>
      </c>
      <c r="H2017" s="9">
        <f>HYPERLINK("https://www.youtube.com/watch?v=ZLgM3yMlrCQ", "영상 보기 ▶")</f>
        <v/>
      </c>
    </row>
    <row r="2018" ht="26" customHeight="1">
      <c r="A2018" s="2" t="n">
        <v>2017</v>
      </c>
      <c r="B2018" s="3" t="inlineStr">
        <is>
          <t>총정리 41탄</t>
        </is>
      </c>
      <c r="C2018" s="3" t="inlineStr">
        <is>
          <t>실전회화/표현</t>
        </is>
      </c>
      <c r="D2018" s="4" t="inlineStr">
        <is>
          <t>settle down</t>
        </is>
      </c>
      <c r="E2018" s="11" t="inlineStr">
        <is>
          <t>진정하다, 정착하다</t>
        </is>
      </c>
      <c r="F2018" s="11" t="inlineStr">
        <is>
          <t>Let’s settle down.</t>
        </is>
      </c>
      <c r="G2018" s="11" t="inlineStr">
        <is>
          <t>진정하자.</t>
        </is>
      </c>
      <c r="H2018" s="5">
        <f>HYPERLINK("https://www.youtube.com/watch?v=ZLgM3yMlrCQ", "영상 보기 ▶")</f>
        <v/>
      </c>
    </row>
    <row r="2019" ht="26" customHeight="1">
      <c r="A2019" s="6" t="n">
        <v>2018</v>
      </c>
      <c r="B2019" s="7" t="inlineStr">
        <is>
          <t>총정리 41탄</t>
        </is>
      </c>
      <c r="C2019" s="7" t="inlineStr">
        <is>
          <t>실전회화/표현</t>
        </is>
      </c>
      <c r="D2019" s="8" t="inlineStr">
        <is>
          <t>settle for ~</t>
        </is>
      </c>
      <c r="E2019" s="12" t="inlineStr">
        <is>
          <t>로 만족하다, 받아들이다</t>
        </is>
      </c>
      <c r="F2019" s="12" t="inlineStr">
        <is>
          <t>Let’s settle for that for now.</t>
        </is>
      </c>
      <c r="G2019" s="12" t="inlineStr">
        <is>
          <t>일단 그걸로 만족하자.</t>
        </is>
      </c>
      <c r="H2019" s="9">
        <f>HYPERLINK("https://www.youtube.com/watch?v=ZLgM3yMlrCQ", "영상 보기 ▶")</f>
        <v/>
      </c>
    </row>
    <row r="2020" ht="26" customHeight="1">
      <c r="A2020" s="2" t="n">
        <v>2019</v>
      </c>
      <c r="B2020" s="3" t="inlineStr">
        <is>
          <t>총정리 41탄</t>
        </is>
      </c>
      <c r="C2020" s="3" t="inlineStr">
        <is>
          <t>실전회화/표현</t>
        </is>
      </c>
      <c r="D2020" s="4" t="inlineStr">
        <is>
          <t>Please take it away.</t>
        </is>
      </c>
      <c r="E2020" s="11" t="inlineStr">
        <is>
          <t>진행해주세요.</t>
        </is>
      </c>
      <c r="F2020" s="11" t="inlineStr">
        <is>
          <t>Please take it away.</t>
        </is>
      </c>
      <c r="G2020" s="11" t="inlineStr">
        <is>
          <t>진행해주세요.</t>
        </is>
      </c>
      <c r="H2020" s="5">
        <f>HYPERLINK("https://www.youtube.com/watch?v=ZLgM3yMlrCQ", "영상 보기 ▶")</f>
        <v/>
      </c>
    </row>
    <row r="2021" ht="26" customHeight="1">
      <c r="A2021" s="6" t="n">
        <v>2020</v>
      </c>
      <c r="B2021" s="7" t="inlineStr">
        <is>
          <t>총정리 41탄</t>
        </is>
      </c>
      <c r="C2021" s="7" t="inlineStr">
        <is>
          <t>실전회화/표현</t>
        </is>
      </c>
      <c r="D2021" s="8" t="inlineStr">
        <is>
          <t>at all</t>
        </is>
      </c>
      <c r="E2021" s="12" t="inlineStr">
        <is>
          <t>조금이라도</t>
        </is>
      </c>
      <c r="F2021" s="12" t="inlineStr">
        <is>
          <t>Do you like it at all?</t>
        </is>
      </c>
      <c r="G2021" s="12" t="inlineStr">
        <is>
          <t>조금이라도 마음에 들어?</t>
        </is>
      </c>
      <c r="H2021" s="9">
        <f>HYPERLINK("https://www.youtube.com/watch?v=ZLgM3yMlrCQ", "영상 보기 ▶")</f>
        <v/>
      </c>
    </row>
    <row r="2022" ht="26" customHeight="1">
      <c r="A2022" s="2" t="n">
        <v>2021</v>
      </c>
      <c r="B2022" s="3" t="inlineStr">
        <is>
          <t>총정리 41탄</t>
        </is>
      </c>
      <c r="C2022" s="3" t="inlineStr">
        <is>
          <t>실전회화/표현</t>
        </is>
      </c>
      <c r="D2022" s="4" t="inlineStr">
        <is>
          <t>not at all</t>
        </is>
      </c>
      <c r="E2022" s="11" t="inlineStr">
        <is>
          <t>전혀 ~가 아닌</t>
        </is>
      </c>
      <c r="F2022" s="11" t="inlineStr">
        <is>
          <t>It’s no problem at all.</t>
        </is>
      </c>
      <c r="G2022" s="11" t="inlineStr">
        <is>
          <t>전혀 문제가 안돼.</t>
        </is>
      </c>
      <c r="H2022" s="5">
        <f>HYPERLINK("https://www.youtube.com/watch?v=ZLgM3yMlrCQ", "영상 보기 ▶")</f>
        <v/>
      </c>
    </row>
    <row r="2023" ht="26" customHeight="1">
      <c r="A2023" s="6" t="n">
        <v>2022</v>
      </c>
      <c r="B2023" s="7" t="inlineStr">
        <is>
          <t>총정리 41탄</t>
        </is>
      </c>
      <c r="C2023" s="7" t="inlineStr">
        <is>
          <t>실전회화/표현</t>
        </is>
      </c>
      <c r="D2023" s="8" t="inlineStr">
        <is>
          <t>take off one’s plate ~</t>
        </is>
      </c>
      <c r="E2023" s="12" t="inlineStr">
        <is>
          <t>의 일을 덜어주다, 부담을 줄여주다</t>
        </is>
      </c>
      <c r="F2023" s="12" t="inlineStr">
        <is>
          <t>Let me take that off your plate.</t>
        </is>
      </c>
      <c r="G2023" s="12" t="inlineStr">
        <is>
          <t>그거 내가 대신 처리해줄게.</t>
        </is>
      </c>
      <c r="H2023" s="9">
        <f>HYPERLINK("https://www.youtube.com/watch?v=ZLgM3yMlrCQ", "영상 보기 ▶")</f>
        <v/>
      </c>
    </row>
    <row r="2024" ht="26" customHeight="1">
      <c r="A2024" s="2" t="n">
        <v>2023</v>
      </c>
      <c r="B2024" s="3" t="inlineStr">
        <is>
          <t>총정리 41탄</t>
        </is>
      </c>
      <c r="C2024" s="3" t="inlineStr">
        <is>
          <t>실전회화/표현</t>
        </is>
      </c>
      <c r="D2024" s="4" t="inlineStr">
        <is>
          <t>sticky</t>
        </is>
      </c>
      <c r="E2024" s="11" t="inlineStr">
        <is>
          <t>끈적거리는, 불쾌한, 까다로운</t>
        </is>
      </c>
      <c r="F2024" s="11" t="inlineStr">
        <is>
          <t>It’s a sticky situation.</t>
        </is>
      </c>
      <c r="G2024" s="11" t="inlineStr">
        <is>
          <t>골치아픈 상황이네.</t>
        </is>
      </c>
      <c r="H2024" s="5">
        <f>HYPERLINK("https://www.youtube.com/watch?v=ZLgM3yMlrCQ", "영상 보기 ▶")</f>
        <v/>
      </c>
    </row>
    <row r="2025" ht="26" customHeight="1">
      <c r="A2025" s="6" t="n">
        <v>2024</v>
      </c>
      <c r="B2025" s="7" t="inlineStr">
        <is>
          <t>총정리 41탄</t>
        </is>
      </c>
      <c r="C2025" s="7" t="inlineStr">
        <is>
          <t>실전회화/표현</t>
        </is>
      </c>
      <c r="D2025" s="8" t="inlineStr">
        <is>
          <t>stick to</t>
        </is>
      </c>
      <c r="E2025" s="12" t="inlineStr">
        <is>
          <t>굳게 지키다, ~을 계속하다</t>
        </is>
      </c>
      <c r="F2025" s="12" t="inlineStr">
        <is>
          <t>It takes time. You have to stick to it.</t>
        </is>
      </c>
      <c r="G2025" s="12" t="inlineStr">
        <is>
          <t>시간이 걸리니 포기하지 말고 버텨.</t>
        </is>
      </c>
      <c r="H2025" s="9">
        <f>HYPERLINK("https://www.youtube.com/watch?v=ZLgM3yMlrCQ", "영상 보기 ▶")</f>
        <v/>
      </c>
    </row>
    <row r="2026" ht="26" customHeight="1">
      <c r="A2026" s="2" t="n">
        <v>2025</v>
      </c>
      <c r="B2026" s="3" t="inlineStr">
        <is>
          <t>총정리 41탄</t>
        </is>
      </c>
      <c r="C2026" s="3" t="inlineStr">
        <is>
          <t>실전회화/표현</t>
        </is>
      </c>
      <c r="D2026" s="4" t="inlineStr">
        <is>
          <t>stick with ~</t>
        </is>
      </c>
      <c r="E2026" s="11" t="inlineStr">
        <is>
          <t>를 계속하다, ~의 곁에 머물다/함께하다</t>
        </is>
      </c>
      <c r="F2026" s="11" t="inlineStr">
        <is>
          <t>A: Would you like a glass of wine?</t>
        </is>
      </c>
      <c r="G2026" s="11" t="inlineStr">
        <is>
          <t>와인 한 잔 드실래요?</t>
        </is>
      </c>
      <c r="H2026" s="5">
        <f>HYPERLINK("https://www.youtube.com/watch?v=ZLgM3yMlrCQ", "영상 보기 ▶")</f>
        <v/>
      </c>
    </row>
    <row r="2027" ht="26" customHeight="1">
      <c r="A2027" s="6" t="n">
        <v>2026</v>
      </c>
      <c r="B2027" s="7" t="inlineStr">
        <is>
          <t>총정리 41탄</t>
        </is>
      </c>
      <c r="C2027" s="7" t="inlineStr">
        <is>
          <t>실전회화/표현</t>
        </is>
      </c>
      <c r="D2027" s="8" t="inlineStr">
        <is>
          <t>know of ~</t>
        </is>
      </c>
      <c r="E2027" s="12" t="inlineStr">
        <is>
          <t>에 대해 들어봐서 알아</t>
        </is>
      </c>
      <c r="F2027" s="12" t="inlineStr">
        <is>
          <t>I know of him, but I don’t know him personally.</t>
        </is>
      </c>
      <c r="G2027" s="12" t="inlineStr">
        <is>
          <t>그에 대해 들어본적은 있는데 개인적으로는 몰라.</t>
        </is>
      </c>
      <c r="H2027" s="9">
        <f>HYPERLINK("https://www.youtube.com/watch?v=ZLgM3yMlrCQ", "영상 보기 ▶")</f>
        <v/>
      </c>
    </row>
    <row r="2028" ht="26" customHeight="1">
      <c r="A2028" s="2" t="n">
        <v>2027</v>
      </c>
      <c r="B2028" s="3" t="inlineStr">
        <is>
          <t>총정리 41탄</t>
        </is>
      </c>
      <c r="C2028" s="3" t="inlineStr">
        <is>
          <t>실전회화/표현</t>
        </is>
      </c>
      <c r="D2028" s="4" t="inlineStr">
        <is>
          <t>time-consuming</t>
        </is>
      </c>
      <c r="E2028" s="11" t="inlineStr">
        <is>
          <t>시간을 잡아먹는</t>
        </is>
      </c>
      <c r="F2028" s="11" t="inlineStr">
        <is>
          <t>It’s very time-consuming.</t>
        </is>
      </c>
      <c r="G2028" s="11" t="inlineStr">
        <is>
          <t>시간이 오래 걸리는 일이야.</t>
        </is>
      </c>
      <c r="H2028" s="5">
        <f>HYPERLINK("https://www.youtube.com/watch?v=ZLgM3yMlrCQ", "영상 보기 ▶")</f>
        <v/>
      </c>
    </row>
    <row r="2029" ht="26" customHeight="1">
      <c r="A2029" s="6" t="n">
        <v>2028</v>
      </c>
      <c r="B2029" s="7" t="inlineStr">
        <is>
          <t>총정리 41탄</t>
        </is>
      </c>
      <c r="C2029" s="7" t="inlineStr">
        <is>
          <t>공감/감정</t>
        </is>
      </c>
      <c r="D2029" s="8" t="inlineStr">
        <is>
          <t>all-consuming</t>
        </is>
      </c>
      <c r="E2029" s="12" t="inlineStr">
        <is>
          <t>온 마음을 다 뺏기는</t>
        </is>
      </c>
      <c r="F2029" s="12" t="inlineStr">
        <is>
          <t>My work is all-consuming.</t>
        </is>
      </c>
      <c r="G2029" s="12" t="inlineStr">
        <is>
          <t>일 하느라 다른 건 신경쓸 겨를이 없어요.</t>
        </is>
      </c>
      <c r="H2029" s="9">
        <f>HYPERLINK("https://www.youtube.com/watch?v=ZLgM3yMlrCQ", "영상 보기 ▶")</f>
        <v/>
      </c>
    </row>
    <row r="2030" ht="26" customHeight="1">
      <c r="A2030" s="2" t="n">
        <v>2029</v>
      </c>
      <c r="B2030" s="3" t="inlineStr">
        <is>
          <t>총정리 41탄</t>
        </is>
      </c>
      <c r="C2030" s="3" t="inlineStr">
        <is>
          <t>실전회화/표현</t>
        </is>
      </c>
      <c r="D2030" s="4" t="inlineStr">
        <is>
          <t>drop the ball</t>
        </is>
      </c>
      <c r="E2030" s="11" t="inlineStr">
        <is>
          <t>망치다, 실수하다</t>
        </is>
      </c>
      <c r="F2030" s="11" t="inlineStr">
        <is>
          <t>Sorry, I dropped the ball.</t>
        </is>
      </c>
      <c r="G2030" s="11" t="inlineStr">
        <is>
          <t>미안, 내가 실수해서 망쳤어.</t>
        </is>
      </c>
      <c r="H2030" s="5">
        <f>HYPERLINK("https://www.youtube.com/watch?v=ZLgM3yMlrCQ", "영상 보기 ▶")</f>
        <v/>
      </c>
    </row>
    <row r="2031" ht="26" customHeight="1">
      <c r="A2031" s="6" t="n">
        <v>2030</v>
      </c>
      <c r="B2031" s="7" t="inlineStr">
        <is>
          <t>총정리 41탄</t>
        </is>
      </c>
      <c r="C2031" s="7" t="inlineStr">
        <is>
          <t>실전회화/표현</t>
        </is>
      </c>
      <c r="D2031" s="8" t="inlineStr">
        <is>
          <t>I had a ball. / I had a great time.</t>
        </is>
      </c>
      <c r="E2031" s="12" t="inlineStr">
        <is>
          <t>정말이지 너무너무 즐겁고 유쾌한 시간을 보냈어</t>
        </is>
      </c>
      <c r="F2031" s="12" t="inlineStr">
        <is>
          <t>Thank you for the party; I had an absolute ball!</t>
        </is>
      </c>
      <c r="G2031" s="12" t="inlineStr">
        <is>
          <t>파티 초대해 줘서 고마워, 정말 시간 가는 줄 모르고 너무 즐거웠어!</t>
        </is>
      </c>
      <c r="H2031" s="9">
        <f>HYPERLINK("https://www.youtube.com/watch?v=ZLgM3yMlrCQ", "영상 보기 ▶")</f>
        <v/>
      </c>
    </row>
    <row r="2032" ht="26" customHeight="1">
      <c r="A2032" s="2" t="n">
        <v>2031</v>
      </c>
      <c r="B2032" s="3" t="inlineStr">
        <is>
          <t>총정리 41탄</t>
        </is>
      </c>
      <c r="C2032" s="3" t="inlineStr">
        <is>
          <t>실전회화/표현</t>
        </is>
      </c>
      <c r="D2032" s="4" t="inlineStr">
        <is>
          <t>in order</t>
        </is>
      </c>
      <c r="E2032" s="11" t="inlineStr">
        <is>
          <t>순서대로</t>
        </is>
      </c>
      <c r="F2032" s="11" t="inlineStr">
        <is>
          <t>They are in alphabetical order.</t>
        </is>
      </c>
      <c r="G2032" s="11" t="inlineStr">
        <is>
          <t>알파벳 순으로 되어있어요.</t>
        </is>
      </c>
      <c r="H2032" s="5">
        <f>HYPERLINK("https://www.youtube.com/watch?v=ZLgM3yMlrCQ", "영상 보기 ▶")</f>
        <v/>
      </c>
    </row>
    <row r="2033" ht="26" customHeight="1">
      <c r="A2033" s="6" t="n">
        <v>2032</v>
      </c>
      <c r="B2033" s="7" t="inlineStr">
        <is>
          <t>총정리 41탄</t>
        </is>
      </c>
      <c r="C2033" s="7" t="inlineStr">
        <is>
          <t>실전회화/표현</t>
        </is>
      </c>
      <c r="D2033" s="8" t="inlineStr">
        <is>
          <t>in order</t>
        </is>
      </c>
      <c r="E2033" s="12" t="inlineStr">
        <is>
          <t>제대로 된</t>
        </is>
      </c>
      <c r="F2033" s="12" t="inlineStr">
        <is>
          <t>Everything’s in order.</t>
        </is>
      </c>
      <c r="G2033" s="12" t="inlineStr">
        <is>
          <t>다 문제없이 진행되고 있어요.</t>
        </is>
      </c>
      <c r="H2033" s="9">
        <f>HYPERLINK("https://www.youtube.com/watch?v=ZLgM3yMlrCQ", "영상 보기 ▶")</f>
        <v/>
      </c>
    </row>
    <row r="2034" ht="26" customHeight="1">
      <c r="A2034" s="2" t="n">
        <v>2033</v>
      </c>
      <c r="B2034" s="3" t="inlineStr">
        <is>
          <t>총정리 41탄</t>
        </is>
      </c>
      <c r="C2034" s="3" t="inlineStr">
        <is>
          <t>실전회화/표현</t>
        </is>
      </c>
      <c r="D2034" s="4" t="inlineStr">
        <is>
          <t>I hear congratulations are in order.</t>
        </is>
      </c>
      <c r="E2034" s="11" t="inlineStr">
        <is>
          <t>축하할 일이 있다고 들었어요.</t>
        </is>
      </c>
      <c r="F2034" s="11" t="inlineStr">
        <is>
          <t>I hear congratulations are in order.</t>
        </is>
      </c>
      <c r="G2034" s="11" t="inlineStr">
        <is>
          <t>축하할 일이 있다고 들었어요.</t>
        </is>
      </c>
      <c r="H2034" s="5">
        <f>HYPERLINK("https://www.youtube.com/watch?v=ZLgM3yMlrCQ", "영상 보기 ▶")</f>
        <v/>
      </c>
    </row>
    <row r="2035" ht="26" customHeight="1">
      <c r="A2035" s="6" t="n">
        <v>2034</v>
      </c>
      <c r="B2035" s="7" t="inlineStr">
        <is>
          <t>총정리 41탄</t>
        </is>
      </c>
      <c r="C2035" s="7" t="inlineStr">
        <is>
          <t>실전회화/표현</t>
        </is>
      </c>
      <c r="D2035" s="8" t="inlineStr">
        <is>
          <t>put to bed (</t>
        </is>
      </c>
      <c r="E2035" s="12" t="inlineStr">
        <is>
          <t>문제를) 해결짓다, 마무리짓다</t>
        </is>
      </c>
      <c r="F2035" s="12" t="inlineStr">
        <is>
          <t>Let’s put this issue to bed.</t>
        </is>
      </c>
      <c r="G2035" s="12" t="inlineStr">
        <is>
          <t>이 문제를 확실히 종결짓자.</t>
        </is>
      </c>
      <c r="H2035" s="9">
        <f>HYPERLINK("https://www.youtube.com/watch?v=ZLgM3yMlrCQ", "영상 보기 ▶")</f>
        <v/>
      </c>
    </row>
    <row r="2036" ht="26" customHeight="1">
      <c r="A2036" s="2" t="n">
        <v>2035</v>
      </c>
      <c r="B2036" s="3" t="inlineStr">
        <is>
          <t>총정리 41탄</t>
        </is>
      </c>
      <c r="C2036" s="3" t="inlineStr">
        <is>
          <t>실전회화/표현</t>
        </is>
      </c>
      <c r="D2036" s="4" t="inlineStr">
        <is>
          <t>be stuck (~</t>
        </is>
      </c>
      <c r="E2036" s="11" t="inlineStr">
        <is>
          <t>에 갇혀) 꼼짝 못하다</t>
        </is>
      </c>
      <c r="F2036" s="11" t="inlineStr">
        <is>
          <t>I’m stuck on #2.</t>
        </is>
      </c>
      <c r="G2036" s="11" t="inlineStr">
        <is>
          <t>2번 질문에서 막혔어.</t>
        </is>
      </c>
      <c r="H2036" s="5">
        <f>HYPERLINK("https://www.youtube.com/watch?v=ZLgM3yMlrCQ", "영상 보기 ▶")</f>
        <v/>
      </c>
    </row>
    <row r="2037" ht="26" customHeight="1">
      <c r="A2037" s="6" t="n">
        <v>2036</v>
      </c>
      <c r="B2037" s="7" t="inlineStr">
        <is>
          <t>총정리 41탄</t>
        </is>
      </c>
      <c r="C2037" s="7" t="inlineStr">
        <is>
          <t>실전회화/표현</t>
        </is>
      </c>
      <c r="D2037" s="8" t="inlineStr">
        <is>
          <t>sitck around (</t>
        </is>
      </c>
      <c r="E2037" s="12" t="inlineStr">
        <is>
          <t>가지 않고) 머무르다</t>
        </is>
      </c>
      <c r="F2037" s="12" t="inlineStr">
        <is>
          <t>Can you stick around afterwards? I need to talk to you.</t>
        </is>
      </c>
      <c r="G2037" s="12" t="inlineStr">
        <is>
          <t>끝나고 남아줄 수 있어? 할 말이 있어서.</t>
        </is>
      </c>
      <c r="H2037" s="9">
        <f>HYPERLINK("https://www.youtube.com/watch?v=ZLgM3yMlrCQ", "영상 보기 ▶")</f>
        <v/>
      </c>
    </row>
    <row r="2038" ht="26" customHeight="1">
      <c r="A2038" s="2" t="n">
        <v>2037</v>
      </c>
      <c r="B2038" s="3" t="inlineStr">
        <is>
          <t>총정리 41탄</t>
        </is>
      </c>
      <c r="C2038" s="3" t="inlineStr">
        <is>
          <t>실전회화/표현</t>
        </is>
      </c>
      <c r="D2038" s="4" t="inlineStr">
        <is>
          <t>Way to go!</t>
        </is>
      </c>
      <c r="E2038" s="11" t="inlineStr">
        <is>
          <t>칭찬할 때, way to</t>
        </is>
      </c>
      <c r="F2038" s="11" t="inlineStr">
        <is>
          <t>Way to handle that situation!</t>
        </is>
      </c>
      <c r="G2038" s="11" t="inlineStr">
        <is>
          <t>그 상황을 잘 처리했어.</t>
        </is>
      </c>
      <c r="H2038" s="5">
        <f>HYPERLINK("https://www.youtube.com/watch?v=ZLgM3yMlrCQ", "영상 보기 ▶")</f>
        <v/>
      </c>
    </row>
    <row r="2039" ht="26" customHeight="1">
      <c r="A2039" s="6" t="n">
        <v>2038</v>
      </c>
      <c r="B2039" s="7" t="inlineStr">
        <is>
          <t>총정리 41탄</t>
        </is>
      </c>
      <c r="C2039" s="7" t="inlineStr">
        <is>
          <t>실전회화/표현</t>
        </is>
      </c>
      <c r="D2039" s="8" t="inlineStr">
        <is>
          <t>across the board</t>
        </is>
      </c>
      <c r="E2039" s="12" t="inlineStr">
        <is>
          <t>전반적으로, 전체적으로</t>
        </is>
      </c>
      <c r="F2039" s="12" t="inlineStr">
        <is>
          <t>The prices are gonna go up across the board.</t>
        </is>
      </c>
      <c r="G2039" s="12" t="inlineStr">
        <is>
          <t>모든 상품의 가격이 오를거야.</t>
        </is>
      </c>
      <c r="H2039" s="9">
        <f>HYPERLINK("https://www.youtube.com/watch?v=ZLgM3yMlrCQ", "영상 보기 ▶")</f>
        <v/>
      </c>
    </row>
    <row r="2040" ht="26" customHeight="1">
      <c r="A2040" s="2" t="n">
        <v>2039</v>
      </c>
      <c r="B2040" s="3" t="inlineStr">
        <is>
          <t>총정리 41탄</t>
        </is>
      </c>
      <c r="C2040" s="3" t="inlineStr">
        <is>
          <t>실전회화/표현</t>
        </is>
      </c>
      <c r="D2040" s="4" t="inlineStr">
        <is>
          <t>on the surface</t>
        </is>
      </c>
      <c r="E2040" s="11" t="inlineStr">
        <is>
          <t>겉보기에는</t>
        </is>
      </c>
      <c r="F2040" s="11" t="inlineStr">
        <is>
          <t>Everything looks good on the surface, but it's actually not.</t>
        </is>
      </c>
      <c r="G2040" s="11" t="inlineStr">
        <is>
          <t>겉보기엔 다 좋아보여도 실제로는 그렇지 않아.</t>
        </is>
      </c>
      <c r="H2040" s="5">
        <f>HYPERLINK("https://www.youtube.com/watch?v=ZLgM3yMlrCQ", "영상 보기 ▶")</f>
        <v/>
      </c>
    </row>
    <row r="2041" ht="26" customHeight="1">
      <c r="A2041" s="6" t="n">
        <v>2040</v>
      </c>
      <c r="B2041" s="7" t="inlineStr">
        <is>
          <t>총정리 41탄</t>
        </is>
      </c>
      <c r="C2041" s="7" t="inlineStr">
        <is>
          <t>실전회화/표현</t>
        </is>
      </c>
      <c r="D2041" s="8" t="inlineStr">
        <is>
          <t>on paper</t>
        </is>
      </c>
      <c r="E2041" s="12" t="inlineStr">
        <is>
          <t>서류상, 이론상으로는</t>
        </is>
      </c>
      <c r="F2041" s="12" t="inlineStr">
        <is>
          <t>He looks perfect on paper.</t>
        </is>
      </c>
      <c r="G2041" s="12" t="inlineStr">
        <is>
          <t>조건만 봐서는 완벽해.</t>
        </is>
      </c>
      <c r="H2041" s="9">
        <f>HYPERLINK("https://www.youtube.com/watch?v=ZLgM3yMlrCQ", "영상 보기 ▶")</f>
        <v/>
      </c>
    </row>
    <row r="2042" ht="26" customHeight="1">
      <c r="A2042" s="2" t="n">
        <v>2041</v>
      </c>
      <c r="B2042" s="3" t="inlineStr">
        <is>
          <t>총정리 41탄</t>
        </is>
      </c>
      <c r="C2042" s="3" t="inlineStr">
        <is>
          <t>실전회화/표현</t>
        </is>
      </c>
      <c r="D2042" s="4" t="inlineStr">
        <is>
          <t>pull some strings</t>
        </is>
      </c>
      <c r="E2042" s="11" t="inlineStr">
        <is>
          <t>인맥을 동원하다</t>
        </is>
      </c>
      <c r="F2042" s="11" t="inlineStr">
        <is>
          <t>A: How did you get these tickets?</t>
        </is>
      </c>
      <c r="G2042" s="11" t="inlineStr">
        <is>
          <t>표를 어떻게 구한거야?</t>
        </is>
      </c>
      <c r="H2042" s="5">
        <f>HYPERLINK("https://www.youtube.com/watch?v=ZLgM3yMlrCQ", "영상 보기 ▶")</f>
        <v/>
      </c>
    </row>
    <row r="2043" ht="26" customHeight="1">
      <c r="A2043" s="6" t="n">
        <v>2042</v>
      </c>
      <c r="B2043" s="7" t="inlineStr">
        <is>
          <t>총정리 41탄</t>
        </is>
      </c>
      <c r="C2043" s="7" t="inlineStr">
        <is>
          <t>실전회화/표현</t>
        </is>
      </c>
      <c r="D2043" s="8" t="inlineStr">
        <is>
          <t>wonder</t>
        </is>
      </c>
      <c r="E2043" s="12" t="inlineStr">
        <is>
          <t>궁금해하다</t>
        </is>
      </c>
      <c r="F2043" s="12" t="inlineStr">
        <is>
          <t>It’s nice to hear from you. I was wondering about you.</t>
        </is>
      </c>
      <c r="G2043" s="12" t="inlineStr">
        <is>
          <t>안 그래도 어떻게 지내는지 궁금했는데 소식 들으니 좋다.</t>
        </is>
      </c>
      <c r="H2043" s="9">
        <f>HYPERLINK("https://www.youtube.com/watch?v=ZLgM3yMlrCQ", "영상 보기 ▶")</f>
        <v/>
      </c>
    </row>
    <row r="2044" ht="26" customHeight="1">
      <c r="A2044" s="2" t="n">
        <v>2043</v>
      </c>
      <c r="B2044" s="3" t="inlineStr">
        <is>
          <t>총정리 41탄</t>
        </is>
      </c>
      <c r="C2044" s="3" t="inlineStr">
        <is>
          <t>실전회화/표현</t>
        </is>
      </c>
      <c r="D2044" s="4" t="inlineStr">
        <is>
          <t>wander</t>
        </is>
      </c>
      <c r="E2044" s="11" t="inlineStr">
        <is>
          <t>돌아다니다, 거닐다</t>
        </is>
      </c>
      <c r="F2044" s="11" t="inlineStr">
        <is>
          <t>A: What arr you gonna do in New York?</t>
        </is>
      </c>
      <c r="G2044" s="11" t="inlineStr">
        <is>
          <t>뉴욕에 가서 뭐할거야?</t>
        </is>
      </c>
      <c r="H2044" s="5">
        <f>HYPERLINK("https://www.youtube.com/watch?v=ZLgM3yMlrCQ", "영상 보기 ▶")</f>
        <v/>
      </c>
    </row>
    <row r="2045" ht="26" customHeight="1">
      <c r="A2045" s="6" t="n">
        <v>2044</v>
      </c>
      <c r="B2045" s="7" t="inlineStr">
        <is>
          <t>총정리 41탄</t>
        </is>
      </c>
      <c r="C2045" s="7" t="inlineStr">
        <is>
          <t>실전회화/표현</t>
        </is>
      </c>
      <c r="D2045" s="8" t="inlineStr">
        <is>
          <t>My mind’s wandering.</t>
        </is>
      </c>
      <c r="E2045" s="12" t="inlineStr">
        <is>
          <t>집중이 안 되네.</t>
        </is>
      </c>
      <c r="F2045" s="12" t="inlineStr">
        <is>
          <t>My mind’s wandering.</t>
        </is>
      </c>
      <c r="G2045" s="12" t="inlineStr">
        <is>
          <t>집중이 안 되네.</t>
        </is>
      </c>
      <c r="H2045" s="9">
        <f>HYPERLINK("https://www.youtube.com/watch?v=ZLgM3yMlrCQ", "영상 보기 ▶")</f>
        <v/>
      </c>
    </row>
    <row r="2046" ht="26" customHeight="1">
      <c r="A2046" s="2" t="n">
        <v>2045</v>
      </c>
      <c r="B2046" s="3" t="inlineStr">
        <is>
          <t>총정리 41탄</t>
        </is>
      </c>
      <c r="C2046" s="3" t="inlineStr">
        <is>
          <t>실전회화/표현</t>
        </is>
      </c>
      <c r="D2046" s="4" t="inlineStr">
        <is>
          <t>be good at ~</t>
        </is>
      </c>
      <c r="E2046" s="11" t="inlineStr">
        <is>
          <t>를 잘 하다</t>
        </is>
      </c>
      <c r="F2046" s="11" t="inlineStr">
        <is>
          <t>I’ve gotten good at presenting.</t>
        </is>
      </c>
      <c r="G2046" s="11" t="inlineStr">
        <is>
          <t>이제는 발표를 잘 하게 됐어.</t>
        </is>
      </c>
      <c r="H2046" s="5">
        <f>HYPERLINK("https://www.youtube.com/watch?v=ZLgM3yMlrCQ", "영상 보기 ▶")</f>
        <v/>
      </c>
    </row>
    <row r="2047" ht="26" customHeight="1">
      <c r="A2047" s="6" t="n">
        <v>2046</v>
      </c>
      <c r="B2047" s="7" t="inlineStr">
        <is>
          <t>총정리 41탄</t>
        </is>
      </c>
      <c r="C2047" s="7" t="inlineStr">
        <is>
          <t>실전회화/표현</t>
        </is>
      </c>
      <c r="D2047" s="8" t="inlineStr">
        <is>
          <t>be good with ~</t>
        </is>
      </c>
      <c r="E2047" s="12" t="inlineStr">
        <is>
          <t>를 잘 다루다/어울리다</t>
        </is>
      </c>
      <c r="F2047" s="12" t="inlineStr">
        <is>
          <t>I’m not good with names.</t>
        </is>
      </c>
      <c r="G2047" s="12" t="inlineStr">
        <is>
          <t>내가 이름을 잘 못 외워.</t>
        </is>
      </c>
      <c r="H2047" s="9">
        <f>HYPERLINK("https://www.youtube.com/watch?v=ZLgM3yMlrCQ", "영상 보기 ▶")</f>
        <v/>
      </c>
    </row>
    <row r="2048" ht="26" customHeight="1">
      <c r="A2048" s="2" t="n">
        <v>2047</v>
      </c>
      <c r="B2048" s="3" t="inlineStr">
        <is>
          <t>총정리 41탄</t>
        </is>
      </c>
      <c r="C2048" s="3" t="inlineStr">
        <is>
          <t>실전회화/표현</t>
        </is>
      </c>
      <c r="D2048" s="4" t="inlineStr">
        <is>
          <t>encourage</t>
        </is>
      </c>
      <c r="E2048" s="11" t="inlineStr">
        <is>
          <t>용기를 북돋다, 권장하다</t>
        </is>
      </c>
      <c r="F2048" s="11" t="inlineStr">
        <is>
          <t>It’s a great program. I encourage everyone to check it out.</t>
        </is>
      </c>
      <c r="G2048" s="11" t="inlineStr">
        <is>
          <t>정말 좋은 프로그램이니 모두 한번 확인해보시는 걸 권해요.</t>
        </is>
      </c>
      <c r="H2048" s="5">
        <f>HYPERLINK("https://www.youtube.com/watch?v=ZLgM3yMlrCQ", "영상 보기 ▶")</f>
        <v/>
      </c>
    </row>
    <row r="2049" ht="26" customHeight="1">
      <c r="A2049" s="6" t="n">
        <v>2048</v>
      </c>
      <c r="B2049" s="7" t="inlineStr">
        <is>
          <t>총정리 41탄</t>
        </is>
      </c>
      <c r="C2049" s="7" t="inlineStr">
        <is>
          <t>실전회화/표현</t>
        </is>
      </c>
      <c r="D2049" s="8" t="inlineStr">
        <is>
          <t>encouraging</t>
        </is>
      </c>
      <c r="E2049" s="12" t="inlineStr">
        <is>
          <t>힘 나게 하는, 고무적인</t>
        </is>
      </c>
      <c r="F2049" s="12" t="inlineStr">
        <is>
          <t>A: We’re seeing some positive results.</t>
        </is>
      </c>
      <c r="G2049" s="12" t="inlineStr">
        <is>
          <t>좋은 결과가 보여.</t>
        </is>
      </c>
      <c r="H2049" s="9">
        <f>HYPERLINK("https://www.youtube.com/watch?v=ZLgM3yMlrCQ", "영상 보기 ▶")</f>
        <v/>
      </c>
    </row>
    <row r="2050" ht="26" customHeight="1">
      <c r="A2050" s="2" t="n">
        <v>2049</v>
      </c>
      <c r="B2050" s="3" t="inlineStr">
        <is>
          <t>총정리 41탄</t>
        </is>
      </c>
      <c r="C2050" s="3" t="inlineStr">
        <is>
          <t>실전회화/표현</t>
        </is>
      </c>
      <c r="D2050" s="4" t="inlineStr">
        <is>
          <t>discourage</t>
        </is>
      </c>
      <c r="E2050" s="11" t="inlineStr">
        <is>
          <t>의욕을 꺾다, 단념하게 만들다</t>
        </is>
      </c>
      <c r="F2050" s="11" t="inlineStr">
        <is>
          <t>That’t discouraging.</t>
        </is>
      </c>
      <c r="G2050" s="11" t="inlineStr">
        <is>
          <t>어우 힘빠져.</t>
        </is>
      </c>
      <c r="H2050" s="5">
        <f>HYPERLINK("https://www.youtube.com/watch?v=ZLgM3yMlrCQ", "영상 보기 ▶")</f>
        <v/>
      </c>
    </row>
    <row r="2051" ht="26" customHeight="1">
      <c r="A2051" s="6" t="n">
        <v>2050</v>
      </c>
      <c r="B2051" s="7" t="inlineStr">
        <is>
          <t>총정리 41탄</t>
        </is>
      </c>
      <c r="C2051" s="7" t="inlineStr">
        <is>
          <t>실전회화/표현</t>
        </is>
      </c>
      <c r="D2051" s="8" t="inlineStr">
        <is>
          <t>worthwhile ~</t>
        </is>
      </c>
      <c r="E2051" s="12" t="inlineStr">
        <is>
          <t>할 가치가 있는</t>
        </is>
      </c>
      <c r="F2051" s="12" t="inlineStr">
        <is>
          <t>This trip was worthwhile.</t>
        </is>
      </c>
      <c r="G2051" s="12" t="inlineStr">
        <is>
          <t>여기까지 온 보람이 있네.</t>
        </is>
      </c>
      <c r="H2051" s="9">
        <f>HYPERLINK("https://www.youtube.com/watch?v=ZLgM3yMlrCQ", "영상 보기 ▶")</f>
        <v/>
      </c>
    </row>
    <row r="2052" ht="26" customHeight="1">
      <c r="A2052" s="2" t="n">
        <v>2051</v>
      </c>
      <c r="B2052" s="3" t="inlineStr">
        <is>
          <t>총정리 42탄</t>
        </is>
      </c>
      <c r="C2052" s="3" t="inlineStr">
        <is>
          <t>실전회화/표현</t>
        </is>
      </c>
      <c r="D2052" s="4" t="inlineStr">
        <is>
          <t>odd</t>
        </is>
      </c>
      <c r="E2052" s="11" t="inlineStr">
        <is>
          <t>이상한, 특이한</t>
        </is>
      </c>
      <c r="F2052" s="11" t="inlineStr">
        <is>
          <t>odd</t>
        </is>
      </c>
      <c r="G2052" s="11" t="inlineStr">
        <is>
          <t>이상한, 특이한</t>
        </is>
      </c>
      <c r="H2052" s="5">
        <f>HYPERLINK("https://www.youtube.com/watch?v=EJGdAlhCjj0", "영상 보기 ▶")</f>
        <v/>
      </c>
    </row>
    <row r="2053" ht="26" customHeight="1">
      <c r="A2053" s="6" t="n">
        <v>2052</v>
      </c>
      <c r="B2053" s="7" t="inlineStr">
        <is>
          <t>총정리 42탄</t>
        </is>
      </c>
      <c r="C2053" s="7" t="inlineStr">
        <is>
          <t>실전회화/표현</t>
        </is>
      </c>
      <c r="D2053" s="8" t="inlineStr">
        <is>
          <t>odds</t>
        </is>
      </c>
      <c r="E2053" s="12" t="inlineStr">
        <is>
          <t>확률/가능성</t>
        </is>
      </c>
      <c r="F2053" s="12" t="inlineStr">
        <is>
          <t>- What are the odds?</t>
        </is>
      </c>
      <c r="G2053" s="12" t="inlineStr">
        <is>
          <t>그럴 확률이 얼마나 돼?/이런 우연이 있나/말도 안 돼</t>
        </is>
      </c>
      <c r="H2053" s="9">
        <f>HYPERLINK("https://www.youtube.com/watch?v=EJGdAlhCjj0", "영상 보기 ▶")</f>
        <v/>
      </c>
    </row>
    <row r="2054" ht="26" customHeight="1">
      <c r="A2054" s="2" t="n">
        <v>2053</v>
      </c>
      <c r="B2054" s="3" t="inlineStr">
        <is>
          <t>총정리 42탄</t>
        </is>
      </c>
      <c r="C2054" s="3" t="inlineStr">
        <is>
          <t>실전회화/표현</t>
        </is>
      </c>
      <c r="D2054" s="4" t="inlineStr">
        <is>
          <t>defy the odds</t>
        </is>
      </c>
      <c r="E2054" s="11" t="inlineStr">
        <is>
          <t>예상을 깨다, 불리한 상황을 극복하다</t>
        </is>
      </c>
      <c r="F2054" s="11" t="inlineStr">
        <is>
          <t>- They defied the odds and won the game.</t>
        </is>
      </c>
      <c r="G2054" s="11" t="inlineStr">
        <is>
          <t>불리한 상황을 뚫고 이겼다.</t>
        </is>
      </c>
      <c r="H2054" s="5">
        <f>HYPERLINK("https://www.youtube.com/watch?v=EJGdAlhCjj0", "영상 보기 ▶")</f>
        <v/>
      </c>
    </row>
    <row r="2055" ht="26" customHeight="1">
      <c r="A2055" s="6" t="n">
        <v>2054</v>
      </c>
      <c r="B2055" s="7" t="inlineStr">
        <is>
          <t>총정리 42탄</t>
        </is>
      </c>
      <c r="C2055" s="7" t="inlineStr">
        <is>
          <t>실전회화/표현</t>
        </is>
      </c>
      <c r="D2055" s="8" t="inlineStr">
        <is>
          <t>for now</t>
        </is>
      </c>
      <c r="E2055" s="12" t="inlineStr">
        <is>
          <t>지금으로선, 일단은</t>
        </is>
      </c>
      <c r="F2055" s="12" t="inlineStr">
        <is>
          <t>B: We're good for now.</t>
        </is>
      </c>
      <c r="G2055" s="12" t="inlineStr">
        <is>
          <t>지금은 필요한 거 없이 괜찮아요.</t>
        </is>
      </c>
      <c r="H2055" s="9">
        <f>HYPERLINK("https://www.youtube.com/watch?v=EJGdAlhCjj0", "영상 보기 ▶")</f>
        <v/>
      </c>
    </row>
    <row r="2056" ht="26" customHeight="1">
      <c r="A2056" s="2" t="n">
        <v>2055</v>
      </c>
      <c r="B2056" s="3" t="inlineStr">
        <is>
          <t>총정리 42탄</t>
        </is>
      </c>
      <c r="C2056" s="3" t="inlineStr">
        <is>
          <t>실전회화/표현</t>
        </is>
      </c>
      <c r="D2056" s="4" t="inlineStr">
        <is>
          <t>by choice</t>
        </is>
      </c>
      <c r="E2056" s="11" t="inlineStr">
        <is>
          <t>원해서, 자발적으로</t>
        </is>
      </c>
      <c r="F2056" s="11" t="inlineStr">
        <is>
          <t>- I'm not here by choice.</t>
        </is>
      </c>
      <c r="G2056" s="11" t="inlineStr">
        <is>
          <t>내가 원해서 여기 있는 게 아니야.</t>
        </is>
      </c>
      <c r="H2056" s="5">
        <f>HYPERLINK("https://www.youtube.com/watch?v=EJGdAlhCjj0", "영상 보기 ▶")</f>
        <v/>
      </c>
    </row>
    <row r="2057" ht="26" customHeight="1">
      <c r="A2057" s="6" t="n">
        <v>2056</v>
      </c>
      <c r="B2057" s="7" t="inlineStr">
        <is>
          <t>총정리 42탄</t>
        </is>
      </c>
      <c r="C2057" s="7" t="inlineStr">
        <is>
          <t>실전회화/표현</t>
        </is>
      </c>
      <c r="D2057" s="8" t="inlineStr">
        <is>
          <t>unbearable</t>
        </is>
      </c>
      <c r="E2057" s="12" t="inlineStr">
        <is>
          <t>참을 수 없는, 견딜 수 없는</t>
        </is>
      </c>
      <c r="F2057" s="12" t="inlineStr">
        <is>
          <t>- This heat is unbearable.</t>
        </is>
      </c>
      <c r="G2057" s="12" t="inlineStr">
        <is>
          <t>진짜 너무 덥다.</t>
        </is>
      </c>
      <c r="H2057" s="9">
        <f>HYPERLINK("https://www.youtube.com/watch?v=EJGdAlhCjj0", "영상 보기 ▶")</f>
        <v/>
      </c>
    </row>
    <row r="2058" ht="26" customHeight="1">
      <c r="A2058" s="2" t="n">
        <v>2057</v>
      </c>
      <c r="B2058" s="3" t="inlineStr">
        <is>
          <t>총정리 42탄</t>
        </is>
      </c>
      <c r="C2058" s="3" t="inlineStr">
        <is>
          <t>실전회화/표현</t>
        </is>
      </c>
      <c r="D2058" s="4" t="inlineStr">
        <is>
          <t>hang in there</t>
        </is>
      </c>
      <c r="E2058" s="11" t="inlineStr">
        <is>
          <t>버티다, 견뎌내다</t>
        </is>
      </c>
      <c r="F2058" s="11" t="inlineStr">
        <is>
          <t>- I know it's tough, but hang in there.</t>
        </is>
      </c>
      <c r="G2058" s="11" t="inlineStr">
        <is>
          <t>힘든 거 아는데 그래도 조금만 버텨봐.</t>
        </is>
      </c>
      <c r="H2058" s="5">
        <f>HYPERLINK("https://www.youtube.com/watch?v=EJGdAlhCjj0", "영상 보기 ▶")</f>
        <v/>
      </c>
    </row>
    <row r="2059" ht="26" customHeight="1">
      <c r="A2059" s="6" t="n">
        <v>2058</v>
      </c>
      <c r="B2059" s="7" t="inlineStr">
        <is>
          <t>총정리 42탄</t>
        </is>
      </c>
      <c r="C2059" s="7" t="inlineStr">
        <is>
          <t>실전회화/표현</t>
        </is>
      </c>
      <c r="D2059" s="8" t="inlineStr">
        <is>
          <t>in the zone</t>
        </is>
      </c>
      <c r="E2059" s="12" t="inlineStr">
        <is>
          <t>완전히 집중한/몰입한</t>
        </is>
      </c>
      <c r="F2059" s="12" t="inlineStr">
        <is>
          <t>- Sorry, I was in the zone and didn't hear what you said.</t>
        </is>
      </c>
      <c r="G2059" s="12" t="inlineStr">
        <is>
          <t>미안 여기에 집중하느라 뭐라 하는지 못 들었어.</t>
        </is>
      </c>
      <c r="H2059" s="9">
        <f>HYPERLINK("https://www.youtube.com/watch?v=EJGdAlhCjj0", "영상 보기 ▶")</f>
        <v/>
      </c>
    </row>
    <row r="2060" ht="26" customHeight="1">
      <c r="A2060" s="2" t="n">
        <v>2059</v>
      </c>
      <c r="B2060" s="3" t="inlineStr">
        <is>
          <t>총정리 42탄</t>
        </is>
      </c>
      <c r="C2060" s="3" t="inlineStr">
        <is>
          <t>실전회화/표현</t>
        </is>
      </c>
      <c r="D2060" s="4" t="inlineStr">
        <is>
          <t>zone out</t>
        </is>
      </c>
      <c r="E2060" s="11" t="inlineStr">
        <is>
          <t>멍 때리다</t>
        </is>
      </c>
      <c r="F2060" s="11" t="inlineStr">
        <is>
          <t>- I'm sorry. I zoned out for a second.</t>
        </is>
      </c>
      <c r="G2060" s="11" t="inlineStr">
        <is>
          <t>미안. 순간 멍 때렸어.</t>
        </is>
      </c>
      <c r="H2060" s="5">
        <f>HYPERLINK("https://www.youtube.com/watch?v=EJGdAlhCjj0", "영상 보기 ▶")</f>
        <v/>
      </c>
    </row>
    <row r="2061" ht="26" customHeight="1">
      <c r="A2061" s="6" t="n">
        <v>2060</v>
      </c>
      <c r="B2061" s="7" t="inlineStr">
        <is>
          <t>총정리 42탄</t>
        </is>
      </c>
      <c r="C2061" s="7" t="inlineStr">
        <is>
          <t>의견/의사결정</t>
        </is>
      </c>
      <c r="D2061" s="8" t="inlineStr">
        <is>
          <t>I'm in the friend zone.</t>
        </is>
      </c>
      <c r="E2061" s="12" t="inlineStr">
        <is>
          <t>걘 날 친구로만 생각해.</t>
        </is>
      </c>
      <c r="F2061" s="12" t="inlineStr">
        <is>
          <t>I'm in the friend zone.</t>
        </is>
      </c>
      <c r="G2061" s="12" t="inlineStr">
        <is>
          <t>걘 날 친구로만 생각해.</t>
        </is>
      </c>
      <c r="H2061" s="9">
        <f>HYPERLINK("https://www.youtube.com/watch?v=EJGdAlhCjj0", "영상 보기 ▶")</f>
        <v/>
      </c>
    </row>
    <row r="2062" ht="26" customHeight="1">
      <c r="A2062" s="2" t="n">
        <v>2061</v>
      </c>
      <c r="B2062" s="3" t="inlineStr">
        <is>
          <t>총정리 42탄</t>
        </is>
      </c>
      <c r="C2062" s="3" t="inlineStr">
        <is>
          <t>실전회화/표현</t>
        </is>
      </c>
      <c r="D2062" s="4" t="inlineStr">
        <is>
          <t>comfort zone</t>
        </is>
      </c>
      <c r="E2062" s="11" t="inlineStr">
        <is>
          <t>(심리적) 안전지대</t>
        </is>
      </c>
      <c r="F2062" s="11" t="inlineStr">
        <is>
          <t>- You need to step out of your comfort zone.</t>
        </is>
      </c>
      <c r="G2062" s="11" t="inlineStr">
        <is>
          <t>쉽지 않더라도 도전해 봐/불편하고 어색하더라도 시도해 봐.</t>
        </is>
      </c>
      <c r="H2062" s="5">
        <f>HYPERLINK("https://www.youtube.com/watch?v=EJGdAlhCjj0", "영상 보기 ▶")</f>
        <v/>
      </c>
    </row>
    <row r="2063" ht="26" customHeight="1">
      <c r="A2063" s="6" t="n">
        <v>2062</v>
      </c>
      <c r="B2063" s="7" t="inlineStr">
        <is>
          <t>총정리 42탄</t>
        </is>
      </c>
      <c r="C2063" s="7" t="inlineStr">
        <is>
          <t>실전회화/표현</t>
        </is>
      </c>
      <c r="D2063" s="8" t="inlineStr">
        <is>
          <t>sit well with</t>
        </is>
      </c>
      <c r="E2063" s="12" t="inlineStr">
        <is>
          <t>잘 받아들여지다, 납득이 되다</t>
        </is>
      </c>
      <c r="F2063" s="12" t="inlineStr">
        <is>
          <t>- It doesn't sit well with me.</t>
        </is>
      </c>
      <c r="G2063" s="12" t="inlineStr">
        <is>
          <t>그게 마음에 안 들어/납득이 안돼/찜찜해.</t>
        </is>
      </c>
      <c r="H2063" s="9">
        <f>HYPERLINK("https://www.youtube.com/watch?v=EJGdAlhCjj0", "영상 보기 ▶")</f>
        <v/>
      </c>
    </row>
    <row r="2064" ht="26" customHeight="1">
      <c r="A2064" s="2" t="n">
        <v>2063</v>
      </c>
      <c r="B2064" s="3" t="inlineStr">
        <is>
          <t>총정리 42탄</t>
        </is>
      </c>
      <c r="C2064" s="3" t="inlineStr">
        <is>
          <t>실전회화/표현</t>
        </is>
      </c>
      <c r="D2064" s="4" t="inlineStr">
        <is>
          <t>명사 favor</t>
        </is>
      </c>
      <c r="E2064" s="11" t="inlineStr">
        <is>
          <t>부탁, 호의</t>
        </is>
      </c>
      <c r="F2064" s="11" t="inlineStr">
        <is>
          <t>- Can I ask you a favor?</t>
        </is>
      </c>
      <c r="G2064" s="11" t="inlineStr">
        <is>
          <t>부탁 하나만 해도 될까?</t>
        </is>
      </c>
      <c r="H2064" s="5">
        <f>HYPERLINK("https://www.youtube.com/watch?v=EJGdAlhCjj0", "영상 보기 ▶")</f>
        <v/>
      </c>
    </row>
    <row r="2065" ht="26" customHeight="1">
      <c r="A2065" s="6" t="n">
        <v>2064</v>
      </c>
      <c r="B2065" s="7" t="inlineStr">
        <is>
          <t>총정리 42탄</t>
        </is>
      </c>
      <c r="C2065" s="7" t="inlineStr">
        <is>
          <t>실전회화/표현</t>
        </is>
      </c>
      <c r="D2065" s="8" t="inlineStr">
        <is>
          <t>in one's favor</t>
        </is>
      </c>
      <c r="E2065" s="12" t="inlineStr">
        <is>
          <t>~에게 유리하게</t>
        </is>
      </c>
      <c r="F2065" s="12" t="inlineStr">
        <is>
          <t>- The math is in our favor.</t>
        </is>
      </c>
      <c r="G2065" s="12" t="inlineStr">
        <is>
          <t>계산해 보면 우리가 유리해, 수학은 우리 편이야</t>
        </is>
      </c>
      <c r="H2065" s="9">
        <f>HYPERLINK("https://www.youtube.com/watch?v=EJGdAlhCjj0", "영상 보기 ▶")</f>
        <v/>
      </c>
    </row>
    <row r="2066" ht="26" customHeight="1">
      <c r="A2066" s="2" t="n">
        <v>2065</v>
      </c>
      <c r="B2066" s="3" t="inlineStr">
        <is>
          <t>총정리 42탄</t>
        </is>
      </c>
      <c r="C2066" s="3" t="inlineStr">
        <is>
          <t>의견/의사결정</t>
        </is>
      </c>
      <c r="D2066" s="4" t="inlineStr">
        <is>
          <t>in favor of</t>
        </is>
      </c>
      <c r="E2066" s="11" t="inlineStr">
        <is>
          <t>~에 찬성/지지하여</t>
        </is>
      </c>
      <c r="F2066" s="11" t="inlineStr">
        <is>
          <t>in favor of</t>
        </is>
      </c>
      <c r="G2066" s="11" t="inlineStr">
        <is>
          <t>~에 찬성/지지하여</t>
        </is>
      </c>
      <c r="H2066" s="5">
        <f>HYPERLINK("https://www.youtube.com/watch?v=EJGdAlhCjj0", "영상 보기 ▶")</f>
        <v/>
      </c>
    </row>
    <row r="2067" ht="26" customHeight="1">
      <c r="A2067" s="6" t="n">
        <v>2066</v>
      </c>
      <c r="B2067" s="7" t="inlineStr">
        <is>
          <t>총정리 42탄</t>
        </is>
      </c>
      <c r="C2067" s="7" t="inlineStr">
        <is>
          <t>의견/의사결정</t>
        </is>
      </c>
      <c r="D2067" s="8" t="inlineStr">
        <is>
          <t>be all for</t>
        </is>
      </c>
      <c r="E2067" s="12" t="inlineStr">
        <is>
          <t>~에 대찬성이야/전적으로 동의, 지지해</t>
        </is>
      </c>
      <c r="F2067" s="12" t="inlineStr">
        <is>
          <t>be all for</t>
        </is>
      </c>
      <c r="G2067" s="12" t="inlineStr">
        <is>
          <t>~에 대찬성이야/전적으로 동의, 지지해</t>
        </is>
      </c>
      <c r="H2067" s="9">
        <f>HYPERLINK("https://www.youtube.com/watch?v=EJGdAlhCjj0", "영상 보기 ▶")</f>
        <v/>
      </c>
    </row>
    <row r="2068" ht="26" customHeight="1">
      <c r="A2068" s="2" t="n">
        <v>2067</v>
      </c>
      <c r="B2068" s="3" t="inlineStr">
        <is>
          <t>총정리 42탄</t>
        </is>
      </c>
      <c r="C2068" s="3" t="inlineStr">
        <is>
          <t>실전회화/표현</t>
        </is>
      </c>
      <c r="D2068" s="4" t="inlineStr">
        <is>
          <t>unanimous</t>
        </is>
      </c>
      <c r="E2068" s="11" t="inlineStr">
        <is>
          <t>만장일치의</t>
        </is>
      </c>
      <c r="F2068" s="11" t="inlineStr">
        <is>
          <t>- It was a unanimous yes.</t>
        </is>
      </c>
      <c r="G2068" s="11" t="inlineStr">
        <is>
          <t>다들 동의했어.</t>
        </is>
      </c>
      <c r="H2068" s="5">
        <f>HYPERLINK("https://www.youtube.com/watch?v=EJGdAlhCjj0", "영상 보기 ▶")</f>
        <v/>
      </c>
    </row>
    <row r="2069" ht="26" customHeight="1">
      <c r="A2069" s="6" t="n">
        <v>2068</v>
      </c>
      <c r="B2069" s="7" t="inlineStr">
        <is>
          <t>총정리 42탄</t>
        </is>
      </c>
      <c r="C2069" s="7" t="inlineStr">
        <is>
          <t>실전회화/표현</t>
        </is>
      </c>
      <c r="D2069" s="8" t="inlineStr">
        <is>
          <t>동사 favor</t>
        </is>
      </c>
      <c r="E2069" s="12" t="inlineStr">
        <is>
          <t>~를 선호하다</t>
        </is>
      </c>
      <c r="F2069" s="12" t="inlineStr">
        <is>
          <t>- I don't favor that approach.</t>
        </is>
      </c>
      <c r="G2069" s="12" t="inlineStr">
        <is>
          <t>난 그 방식을 선호하진 않아.</t>
        </is>
      </c>
      <c r="H2069" s="9">
        <f>HYPERLINK("https://www.youtube.com/watch?v=EJGdAlhCjj0", "영상 보기 ▶")</f>
        <v/>
      </c>
    </row>
    <row r="2070" ht="26" customHeight="1">
      <c r="A2070" s="2" t="n">
        <v>2069</v>
      </c>
      <c r="B2070" s="3" t="inlineStr">
        <is>
          <t>총정리 42탄</t>
        </is>
      </c>
      <c r="C2070" s="3" t="inlineStr">
        <is>
          <t>실전회화/표현</t>
        </is>
      </c>
      <c r="D2070" s="4" t="inlineStr">
        <is>
          <t>play favorites</t>
        </is>
      </c>
      <c r="E2070" s="11" t="inlineStr">
        <is>
          <t>편애하다</t>
        </is>
      </c>
      <c r="F2070" s="11" t="inlineStr">
        <is>
          <t>- I can't play favorites.</t>
        </is>
      </c>
      <c r="G2070" s="11" t="inlineStr">
        <is>
          <t>내가 누구만 편애할 순 없잖아.</t>
        </is>
      </c>
      <c r="H2070" s="5">
        <f>HYPERLINK("https://www.youtube.com/watch?v=EJGdAlhCjj0", "영상 보기 ▶")</f>
        <v/>
      </c>
    </row>
    <row r="2071" ht="26" customHeight="1">
      <c r="A2071" s="6" t="n">
        <v>2070</v>
      </c>
      <c r="B2071" s="7" t="inlineStr">
        <is>
          <t>총정리 42탄</t>
        </is>
      </c>
      <c r="C2071" s="7" t="inlineStr">
        <is>
          <t>실전회화/표현</t>
        </is>
      </c>
      <c r="D2071" s="8" t="inlineStr">
        <is>
          <t>disinterested</t>
        </is>
      </c>
      <c r="E2071" s="12" t="inlineStr">
        <is>
          <t>객관적인, 사심 없는, 공평한 (unbiased)</t>
        </is>
      </c>
      <c r="F2071" s="12" t="inlineStr">
        <is>
          <t>- He's a disinterested judge.</t>
        </is>
      </c>
      <c r="G2071" s="12" t="inlineStr">
        <is>
          <t>그는 공정한 판사/심판관이야.</t>
        </is>
      </c>
      <c r="H2071" s="9">
        <f>HYPERLINK("https://www.youtube.com/watch?v=EJGdAlhCjj0", "영상 보기 ▶")</f>
        <v/>
      </c>
    </row>
    <row r="2072" ht="26" customHeight="1">
      <c r="A2072" s="2" t="n">
        <v>2071</v>
      </c>
      <c r="B2072" s="3" t="inlineStr">
        <is>
          <t>총정리 42탄</t>
        </is>
      </c>
      <c r="C2072" s="3" t="inlineStr">
        <is>
          <t>실전회화/표현</t>
        </is>
      </c>
      <c r="D2072" s="4" t="inlineStr">
        <is>
          <t>uninterested</t>
        </is>
      </c>
      <c r="E2072" s="11" t="inlineStr">
        <is>
          <t>흥미/관심 없는</t>
        </is>
      </c>
      <c r="F2072" s="11" t="inlineStr">
        <is>
          <t>uninterested</t>
        </is>
      </c>
      <c r="G2072" s="11" t="inlineStr">
        <is>
          <t>흥미/관심 없는</t>
        </is>
      </c>
      <c r="H2072" s="5">
        <f>HYPERLINK("https://www.youtube.com/watch?v=EJGdAlhCjj0", "영상 보기 ▶")</f>
        <v/>
      </c>
    </row>
    <row r="2073" ht="26" customHeight="1">
      <c r="A2073" s="6" t="n">
        <v>2072</v>
      </c>
      <c r="B2073" s="7" t="inlineStr">
        <is>
          <t>총정리 42탄</t>
        </is>
      </c>
      <c r="C2073" s="7" t="inlineStr">
        <is>
          <t>실전회화/표현</t>
        </is>
      </c>
      <c r="D2073" s="8" t="inlineStr">
        <is>
          <t>play out</t>
        </is>
      </c>
      <c r="E2073" s="12" t="inlineStr">
        <is>
          <t>(상황이 특정 방식으로) 전개/진행되다</t>
        </is>
      </c>
      <c r="F2073" s="12" t="inlineStr">
        <is>
          <t>- Let's see how things play out.</t>
        </is>
      </c>
      <c r="G2073" s="12" t="inlineStr">
        <is>
          <t>어떻게 상황이 전개되는지 봐보자</t>
        </is>
      </c>
      <c r="H2073" s="9">
        <f>HYPERLINK("https://www.youtube.com/watch?v=EJGdAlhCjj0", "영상 보기 ▶")</f>
        <v/>
      </c>
    </row>
    <row r="2074" ht="26" customHeight="1">
      <c r="A2074" s="2" t="n">
        <v>2073</v>
      </c>
      <c r="B2074" s="3" t="inlineStr">
        <is>
          <t>총정리 42탄</t>
        </is>
      </c>
      <c r="C2074" s="3" t="inlineStr">
        <is>
          <t>실전회화/표현</t>
        </is>
      </c>
      <c r="D2074" s="4" t="inlineStr">
        <is>
          <t>pan out</t>
        </is>
      </c>
      <c r="E2074" s="11" t="inlineStr">
        <is>
          <t>(상황이 특정 방식으로) 전개/진행되다</t>
        </is>
      </c>
      <c r="F2074" s="11" t="inlineStr">
        <is>
          <t>- I hope this investment pans out.</t>
        </is>
      </c>
      <c r="G2074" s="11" t="inlineStr">
        <is>
          <t>이 투자가 결과적으로 잘 되면 좋겠다.</t>
        </is>
      </c>
      <c r="H2074" s="5">
        <f>HYPERLINK("https://www.youtube.com/watch?v=EJGdAlhCjj0", "영상 보기 ▶")</f>
        <v/>
      </c>
    </row>
    <row r="2075" ht="26" customHeight="1">
      <c r="A2075" s="6" t="n">
        <v>2074</v>
      </c>
      <c r="B2075" s="7" t="inlineStr">
        <is>
          <t>총정리 42탄</t>
        </is>
      </c>
      <c r="C2075" s="7" t="inlineStr">
        <is>
          <t>실전회화/표현</t>
        </is>
      </c>
      <c r="D2075" s="8" t="inlineStr">
        <is>
          <t>take a chance</t>
        </is>
      </c>
      <c r="E2075" s="12" t="inlineStr">
        <is>
          <t>(성공 가능성을 믿고) 시도해 보다, 용기 내 도전하다</t>
        </is>
      </c>
      <c r="F2075" s="12" t="inlineStr">
        <is>
          <t>- You should take a chance.</t>
        </is>
      </c>
      <c r="G2075" s="12" t="inlineStr">
        <is>
          <t>운에 맡기고 한번 해봐. 모험 삼아 해봐 잘될 수도 있잖아.</t>
        </is>
      </c>
      <c r="H2075" s="9">
        <f>HYPERLINK("https://www.youtube.com/watch?v=EJGdAlhCjj0", "영상 보기 ▶")</f>
        <v/>
      </c>
    </row>
    <row r="2076" ht="26" customHeight="1">
      <c r="A2076" s="2" t="n">
        <v>2075</v>
      </c>
      <c r="B2076" s="3" t="inlineStr">
        <is>
          <t>총정리 42탄</t>
        </is>
      </c>
      <c r="C2076" s="3" t="inlineStr">
        <is>
          <t>실전회화/표현</t>
        </is>
      </c>
      <c r="D2076" s="4" t="inlineStr">
        <is>
          <t>profound</t>
        </is>
      </c>
      <c r="E2076" s="11" t="inlineStr">
        <is>
          <t>심오한, 엄청난, 깊이 있는</t>
        </is>
      </c>
      <c r="F2076" s="11" t="inlineStr">
        <is>
          <t>profound</t>
        </is>
      </c>
      <c r="G2076" s="11" t="inlineStr">
        <is>
          <t>심오한, 엄청난, 깊이 있는</t>
        </is>
      </c>
      <c r="H2076" s="5">
        <f>HYPERLINK("https://www.youtube.com/watch?v=EJGdAlhCjj0", "영상 보기 ▶")</f>
        <v/>
      </c>
    </row>
    <row r="2077" ht="26" customHeight="1">
      <c r="A2077" s="6" t="n">
        <v>2076</v>
      </c>
      <c r="B2077" s="7" t="inlineStr">
        <is>
          <t>총정리 42탄</t>
        </is>
      </c>
      <c r="C2077" s="7" t="inlineStr">
        <is>
          <t>실전회화/표현</t>
        </is>
      </c>
      <c r="D2077" s="8" t="inlineStr">
        <is>
          <t>up to par</t>
        </is>
      </c>
      <c r="E2077" s="12" t="inlineStr">
        <is>
          <t>기대에 부응하는, 표준/평균 수준에 도달하는</t>
        </is>
      </c>
      <c r="F2077" s="12" t="inlineStr">
        <is>
          <t>- The food wasn't up to par.</t>
        </is>
      </c>
      <c r="G2077" s="12" t="inlineStr">
        <is>
          <t>음식이 기대보다 별로였어.</t>
        </is>
      </c>
      <c r="H2077" s="9">
        <f>HYPERLINK("https://www.youtube.com/watch?v=EJGdAlhCjj0", "영상 보기 ▶")</f>
        <v/>
      </c>
    </row>
    <row r="2078" ht="26" customHeight="1">
      <c r="A2078" s="2" t="n">
        <v>2077</v>
      </c>
      <c r="B2078" s="3" t="inlineStr">
        <is>
          <t>총정리 42탄</t>
        </is>
      </c>
      <c r="C2078" s="3" t="inlineStr">
        <is>
          <t>실전회화/표현</t>
        </is>
      </c>
      <c r="D2078" s="4" t="inlineStr">
        <is>
          <t>raise the bar</t>
        </is>
      </c>
      <c r="E2078" s="11" t="inlineStr">
        <is>
          <t>기대치/기준을 높이다</t>
        </is>
      </c>
      <c r="F2078" s="11" t="inlineStr">
        <is>
          <t>- You gotta raise the bar.</t>
        </is>
      </c>
      <c r="G2078" s="11" t="inlineStr">
        <is>
          <t>넌 눈 좀 높여야 해.</t>
        </is>
      </c>
      <c r="H2078" s="5">
        <f>HYPERLINK("https://www.youtube.com/watch?v=EJGdAlhCjj0", "영상 보기 ▶")</f>
        <v/>
      </c>
    </row>
    <row r="2079" ht="26" customHeight="1">
      <c r="A2079" s="6" t="n">
        <v>2078</v>
      </c>
      <c r="B2079" s="7" t="inlineStr">
        <is>
          <t>총정리 42탄</t>
        </is>
      </c>
      <c r="C2079" s="7" t="inlineStr">
        <is>
          <t>실전회화/표현</t>
        </is>
      </c>
      <c r="D2079" s="8" t="inlineStr">
        <is>
          <t>lower the bar</t>
        </is>
      </c>
      <c r="E2079" s="12" t="inlineStr">
        <is>
          <t>기대치/기준을 낮추다</t>
        </is>
      </c>
      <c r="F2079" s="12" t="inlineStr">
        <is>
          <t>- Do you think I should lower the bar?</t>
        </is>
      </c>
      <c r="G2079" s="12" t="inlineStr">
        <is>
          <t>나 현실적으로 눈을 좀 낮춰야 될까?</t>
        </is>
      </c>
      <c r="H2079" s="9">
        <f>HYPERLINK("https://www.youtube.com/watch?v=EJGdAlhCjj0", "영상 보기 ▶")</f>
        <v/>
      </c>
    </row>
    <row r="2080" ht="26" customHeight="1">
      <c r="A2080" s="2" t="n">
        <v>2079</v>
      </c>
      <c r="B2080" s="3" t="inlineStr">
        <is>
          <t>총정리 42탄</t>
        </is>
      </c>
      <c r="C2080" s="3" t="inlineStr">
        <is>
          <t>실전회화/표현</t>
        </is>
      </c>
      <c r="D2080" s="4" t="inlineStr">
        <is>
          <t>shed light on</t>
        </is>
      </c>
      <c r="E2080" s="11" t="inlineStr">
        <is>
          <t>~을 비추다, 설명하다, 명확하게 해주다</t>
        </is>
      </c>
      <c r="F2080" s="11" t="inlineStr">
        <is>
          <t>- Can you shed some light on what happened?</t>
        </is>
      </c>
      <c r="G2080" s="11" t="inlineStr">
        <is>
          <t>무슨 일이 있던 건지 좀 설명해 줄 수 있어?</t>
        </is>
      </c>
      <c r="H2080" s="5">
        <f>HYPERLINK("https://www.youtube.com/watch?v=EJGdAlhCjj0", "영상 보기 ▶")</f>
        <v/>
      </c>
    </row>
    <row r="2081" ht="26" customHeight="1">
      <c r="A2081" s="6" t="n">
        <v>2080</v>
      </c>
      <c r="B2081" s="7" t="inlineStr">
        <is>
          <t>총정리 42탄</t>
        </is>
      </c>
      <c r="C2081" s="7" t="inlineStr">
        <is>
          <t>공감/감정</t>
        </is>
      </c>
      <c r="D2081" s="8" t="inlineStr">
        <is>
          <t>envision</t>
        </is>
      </c>
      <c r="E2081" s="12" t="inlineStr">
        <is>
          <t>~를 마음속에 그리다, 구상하다</t>
        </is>
      </c>
      <c r="F2081" s="12" t="inlineStr">
        <is>
          <t>- Can you tell me what you envision?</t>
        </is>
      </c>
      <c r="G2081" s="12" t="inlineStr">
        <is>
          <t>네가 구상하고 있는걸/생각하고 있는 걸 말해줄래?</t>
        </is>
      </c>
      <c r="H2081" s="9">
        <f>HYPERLINK("https://www.youtube.com/watch?v=EJGdAlhCjj0", "영상 보기 ▶")</f>
        <v/>
      </c>
    </row>
    <row r="2082" ht="26" customHeight="1">
      <c r="A2082" s="2" t="n">
        <v>2081</v>
      </c>
      <c r="B2082" s="3" t="inlineStr">
        <is>
          <t>총정리 42탄</t>
        </is>
      </c>
      <c r="C2082" s="3" t="inlineStr">
        <is>
          <t>실전회화/표현</t>
        </is>
      </c>
      <c r="D2082" s="4" t="inlineStr">
        <is>
          <t>make a difference</t>
        </is>
      </c>
      <c r="E2082" s="11" t="inlineStr">
        <is>
          <t>영향을 미치다, 도움이 되다, 중요하다</t>
        </is>
      </c>
      <c r="F2082" s="11" t="inlineStr">
        <is>
          <t>- It all adds up. It'll eventually make a difference.</t>
        </is>
      </c>
      <c r="G2082" s="11" t="inlineStr">
        <is>
          <t>그게 다 쌓여서 결국 도움이 될 거야.</t>
        </is>
      </c>
      <c r="H2082" s="5">
        <f>HYPERLINK("https://www.youtube.com/watch?v=EJGdAlhCjj0", "영상 보기 ▶")</f>
        <v/>
      </c>
    </row>
    <row r="2083" ht="26" customHeight="1">
      <c r="A2083" s="6" t="n">
        <v>2082</v>
      </c>
      <c r="B2083" s="7" t="inlineStr">
        <is>
          <t>총정리 42탄</t>
        </is>
      </c>
      <c r="C2083" s="7" t="inlineStr">
        <is>
          <t>실전회화/표현</t>
        </is>
      </c>
      <c r="D2083" s="8" t="inlineStr">
        <is>
          <t>in one's best interests</t>
        </is>
      </c>
      <c r="E2083" s="12" t="inlineStr">
        <is>
          <t>~에게 가장 유리하게/이롭게</t>
        </is>
      </c>
      <c r="F2083" s="12" t="inlineStr">
        <is>
          <t>- It's in your best interests.</t>
        </is>
      </c>
      <c r="G2083" s="12" t="inlineStr">
        <is>
          <t>그러는 게 네게 여러모로 좋아.</t>
        </is>
      </c>
      <c r="H2083" s="9">
        <f>HYPERLINK("https://www.youtube.com/watch?v=EJGdAlhCjj0", "영상 보기 ▶")</f>
        <v/>
      </c>
    </row>
    <row r="2084" ht="26" customHeight="1">
      <c r="A2084" s="2" t="n">
        <v>2083</v>
      </c>
      <c r="B2084" s="3" t="inlineStr">
        <is>
          <t>총정리 42탄</t>
        </is>
      </c>
      <c r="C2084" s="3" t="inlineStr">
        <is>
          <t>실전회화/표현</t>
        </is>
      </c>
      <c r="D2084" s="4" t="inlineStr">
        <is>
          <t>At the end of the day</t>
        </is>
      </c>
      <c r="E2084" s="11" t="inlineStr">
        <is>
          <t>결국</t>
        </is>
      </c>
      <c r="F2084" s="11" t="inlineStr">
        <is>
          <t>they have my best interests at heart.</t>
        </is>
      </c>
      <c r="G2084" s="11" t="inlineStr">
        <is>
          <t>결국 날 진심으로 생각해서 그런다는 걸 알아.</t>
        </is>
      </c>
      <c r="H2084" s="5">
        <f>HYPERLINK("https://www.youtube.com/watch?v=EJGdAlhCjj0", "영상 보기 ▶")</f>
        <v/>
      </c>
    </row>
    <row r="2085" ht="26" customHeight="1">
      <c r="A2085" s="6" t="n">
        <v>2084</v>
      </c>
      <c r="B2085" s="7" t="inlineStr">
        <is>
          <t>총정리 42탄</t>
        </is>
      </c>
      <c r="C2085" s="7" t="inlineStr">
        <is>
          <t>실전회화/표현</t>
        </is>
      </c>
      <c r="D2085" s="8" t="inlineStr">
        <is>
          <t>- That's such a relief.</t>
        </is>
      </c>
      <c r="E2085" s="12" t="inlineStr">
        <is>
          <t>강조할 때 such (아주, 정말)</t>
        </is>
      </c>
      <c r="F2085" s="12" t="inlineStr">
        <is>
          <t>- That was such a waste of time.</t>
        </is>
      </c>
      <c r="G2085" s="12" t="inlineStr">
        <is>
          <t>그건 정말 시간 낭비였어.</t>
        </is>
      </c>
      <c r="H2085" s="9">
        <f>HYPERLINK("https://www.youtube.com/watch?v=EJGdAlhCjj0", "영상 보기 ▶")</f>
        <v/>
      </c>
    </row>
    <row r="2086" ht="26" customHeight="1">
      <c r="A2086" s="2" t="n">
        <v>2085</v>
      </c>
      <c r="B2086" s="3" t="inlineStr">
        <is>
          <t>총정리 42탄</t>
        </is>
      </c>
      <c r="C2086" s="3" t="inlineStr">
        <is>
          <t>실전회화/표현</t>
        </is>
      </c>
      <c r="D2086" s="4" t="inlineStr">
        <is>
          <t>- Such behavior is unacceptable. 그런 행동은 용납되지 않아!</t>
        </is>
      </c>
      <c r="E2086" s="11" t="inlineStr">
        <is>
          <t>가리킬 때의 such (그런, 그러한)</t>
        </is>
      </c>
      <c r="F2086" s="11" t="inlineStr">
        <is>
          <t>- There's no such thing as a free lunch.</t>
        </is>
      </c>
      <c r="G2086" s="11" t="inlineStr">
        <is>
          <t>공짜 점심 같은 건 없어.</t>
        </is>
      </c>
      <c r="H2086" s="5">
        <f>HYPERLINK("https://www.youtube.com/watch?v=EJGdAlhCjj0", "영상 보기 ▶")</f>
        <v/>
      </c>
    </row>
    <row r="2087" ht="26" customHeight="1">
      <c r="A2087" s="6" t="n">
        <v>2086</v>
      </c>
      <c r="B2087" s="7" t="inlineStr">
        <is>
          <t>총정리 42탄</t>
        </is>
      </c>
      <c r="C2087" s="7" t="inlineStr">
        <is>
          <t>실전회화/표현</t>
        </is>
      </c>
      <c r="D2087" s="8" t="inlineStr">
        <is>
          <t>- Why are you in such a good mood?</t>
        </is>
      </c>
      <c r="E2087" s="12" t="inlineStr">
        <is>
          <t>정도를 강조할 때 such (그렇게, 그 정도로)</t>
        </is>
      </c>
      <c r="F2087" s="12" t="inlineStr">
        <is>
          <t>- Why are you in such a good mood?</t>
        </is>
      </c>
      <c r="G2087" s="12" t="inlineStr">
        <is>
          <t>정도를 강조할 때 such (그렇게, 그 정도로)</t>
        </is>
      </c>
      <c r="H2087" s="9">
        <f>HYPERLINK("https://www.youtube.com/watch?v=EJGdAlhCjj0", "영상 보기 ▶")</f>
        <v/>
      </c>
    </row>
    <row r="2088" ht="26" customHeight="1">
      <c r="A2088" s="2" t="n">
        <v>2087</v>
      </c>
      <c r="B2088" s="3" t="inlineStr">
        <is>
          <t>총정리 42탄</t>
        </is>
      </c>
      <c r="C2088" s="3" t="inlineStr">
        <is>
          <t>실전회화/표현</t>
        </is>
      </c>
      <c r="D2088" s="4" t="inlineStr">
        <is>
          <t>It's a shame.</t>
        </is>
      </c>
      <c r="E2088" s="11" t="inlineStr">
        <is>
          <t>아쉬워/안타까워.</t>
        </is>
      </c>
      <c r="F2088" s="11" t="inlineStr">
        <is>
          <t>- It's such a shame that you can't make it.</t>
        </is>
      </c>
      <c r="G2088" s="11" t="inlineStr">
        <is>
          <t>네가 못 온다니 정말 아쉽다.</t>
        </is>
      </c>
      <c r="H2088" s="5">
        <f>HYPERLINK("https://www.youtube.com/watch?v=EJGdAlhCjj0", "영상 보기 ▶")</f>
        <v/>
      </c>
    </row>
    <row r="2089" ht="26" customHeight="1">
      <c r="A2089" s="6" t="n">
        <v>2088</v>
      </c>
      <c r="B2089" s="7" t="inlineStr">
        <is>
          <t>총정리 42탄</t>
        </is>
      </c>
      <c r="C2089" s="7" t="inlineStr">
        <is>
          <t>실전회화/표현</t>
        </is>
      </c>
      <c r="D2089" s="8" t="inlineStr">
        <is>
          <t>mess up</t>
        </is>
      </c>
      <c r="E2089" s="12" t="inlineStr">
        <is>
          <t>망치다, 엉망으로 만들다</t>
        </is>
      </c>
      <c r="F2089" s="12" t="inlineStr">
        <is>
          <t>- Sorry, I messed up.</t>
        </is>
      </c>
      <c r="G2089" s="12" t="inlineStr">
        <is>
          <t>미안해, 내가 망쳤어/일을 그르쳤어</t>
        </is>
      </c>
      <c r="H2089" s="9">
        <f>HYPERLINK("https://www.youtube.com/watch?v=EJGdAlhCjj0", "영상 보기 ▶")</f>
        <v/>
      </c>
    </row>
    <row r="2090" ht="26" customHeight="1">
      <c r="A2090" s="2" t="n">
        <v>2089</v>
      </c>
      <c r="B2090" s="3" t="inlineStr">
        <is>
          <t>총정리 42탄</t>
        </is>
      </c>
      <c r="C2090" s="3" t="inlineStr">
        <is>
          <t>실전회화/표현</t>
        </is>
      </c>
      <c r="D2090" s="4" t="inlineStr">
        <is>
          <t>That's messed up.</t>
        </is>
      </c>
      <c r="E2090" s="11" t="inlineStr">
        <is>
          <t>(엉망진창인 상태) 그건 진짜 아니야, 너무했어</t>
        </is>
      </c>
      <c r="F2090" s="11" t="inlineStr">
        <is>
          <t>That's messed up.</t>
        </is>
      </c>
      <c r="G2090" s="11" t="inlineStr">
        <is>
          <t>(엉망진창인 상태) 그건 진짜 아니야, 너무했어</t>
        </is>
      </c>
      <c r="H2090" s="5">
        <f>HYPERLINK("https://www.youtube.com/watch?v=EJGdAlhCjj0", "영상 보기 ▶")</f>
        <v/>
      </c>
    </row>
    <row r="2091" ht="26" customHeight="1">
      <c r="A2091" s="6" t="n">
        <v>2090</v>
      </c>
      <c r="B2091" s="7" t="inlineStr">
        <is>
          <t>총정리 42탄</t>
        </is>
      </c>
      <c r="C2091" s="7" t="inlineStr">
        <is>
          <t>실전회화/표현</t>
        </is>
      </c>
      <c r="D2091" s="8" t="inlineStr">
        <is>
          <t>messy</t>
        </is>
      </c>
      <c r="E2091" s="12" t="inlineStr">
        <is>
          <t>엉망인, 골치 아픈</t>
        </is>
      </c>
      <c r="F2091" s="12" t="inlineStr">
        <is>
          <t>- It's messy, but we'll figure it out.</t>
        </is>
      </c>
      <c r="G2091" s="12" t="inlineStr">
        <is>
          <t>상황이 복잡하긴 한데 어떻게든 잘 해결할 거야.</t>
        </is>
      </c>
      <c r="H2091" s="9">
        <f>HYPERLINK("https://www.youtube.com/watch?v=EJGdAlhCjj0", "영상 보기 ▶")</f>
        <v/>
      </c>
    </row>
    <row r="2092" ht="26" customHeight="1">
      <c r="A2092" s="2" t="n">
        <v>2091</v>
      </c>
      <c r="B2092" s="3" t="inlineStr">
        <is>
          <t>총정리 42탄</t>
        </is>
      </c>
      <c r="C2092" s="3" t="inlineStr">
        <is>
          <t>실전회화/표현</t>
        </is>
      </c>
      <c r="D2092" s="4" t="inlineStr">
        <is>
          <t>명사 mess</t>
        </is>
      </c>
      <c r="E2092" s="11" t="inlineStr">
        <is>
          <t>엉망진창인 상태</t>
        </is>
      </c>
      <c r="F2092" s="11" t="inlineStr">
        <is>
          <t>- Sorry about the mess.</t>
        </is>
      </c>
      <c r="G2092" s="11" t="inlineStr">
        <is>
          <t>좀 정리가 안돼서 미안해.</t>
        </is>
      </c>
      <c r="H2092" s="5">
        <f>HYPERLINK("https://www.youtube.com/watch?v=EJGdAlhCjj0", "영상 보기 ▶")</f>
        <v/>
      </c>
    </row>
    <row r="2093" ht="26" customHeight="1">
      <c r="A2093" s="6" t="n">
        <v>2092</v>
      </c>
      <c r="B2093" s="7" t="inlineStr">
        <is>
          <t>총정리 42탄</t>
        </is>
      </c>
      <c r="C2093" s="7" t="inlineStr">
        <is>
          <t>실전회화/표현</t>
        </is>
      </c>
      <c r="D2093" s="8" t="inlineStr">
        <is>
          <t>mess with 사람</t>
        </is>
      </c>
      <c r="E2093" s="12" t="inlineStr">
        <is>
          <t>~을 건드리다</t>
        </is>
      </c>
      <c r="F2093" s="12" t="inlineStr">
        <is>
          <t>- Don't mess with me.</t>
        </is>
      </c>
      <c r="G2093" s="12" t="inlineStr">
        <is>
          <t>나 건드리지 마</t>
        </is>
      </c>
      <c r="H2093" s="9">
        <f>HYPERLINK("https://www.youtube.com/watch?v=EJGdAlhCjj0", "영상 보기 ▶")</f>
        <v/>
      </c>
    </row>
    <row r="2094" ht="26" customHeight="1">
      <c r="A2094" s="2" t="n">
        <v>2093</v>
      </c>
      <c r="B2094" s="3" t="inlineStr">
        <is>
          <t>총정리 42탄</t>
        </is>
      </c>
      <c r="C2094" s="3" t="inlineStr">
        <is>
          <t>실전회화/표현</t>
        </is>
      </c>
      <c r="D2094" s="4" t="inlineStr">
        <is>
          <t>surreal</t>
        </is>
      </c>
      <c r="E2094" s="11" t="inlineStr">
        <is>
          <t>비현실적인, 꿈같은</t>
        </is>
      </c>
      <c r="F2094" s="11" t="inlineStr">
        <is>
          <t>- I can't believe I'm in Paris. It's surreal.</t>
        </is>
      </c>
      <c r="G2094" s="11" t="inlineStr">
        <is>
          <t>내가 파리에 있다니 정말 꿈만 같아.</t>
        </is>
      </c>
      <c r="H2094" s="5">
        <f>HYPERLINK("https://www.youtube.com/watch?v=EJGdAlhCjj0", "영상 보기 ▶")</f>
        <v/>
      </c>
    </row>
    <row r="2095" ht="26" customHeight="1">
      <c r="A2095" s="6" t="n">
        <v>2094</v>
      </c>
      <c r="B2095" s="7" t="inlineStr">
        <is>
          <t>총정리 42탄</t>
        </is>
      </c>
      <c r="C2095" s="7" t="inlineStr">
        <is>
          <t>실전회화/표현</t>
        </is>
      </c>
      <c r="D2095" s="8" t="inlineStr">
        <is>
          <t>lose sleep over</t>
        </is>
      </c>
      <c r="E2095" s="12" t="inlineStr">
        <is>
          <t>~으로 애태우다/잠을 설치며 걱정하다</t>
        </is>
      </c>
      <c r="F2095" s="12" t="inlineStr">
        <is>
          <t>- I wouldn't lose any sleep over it.</t>
        </is>
      </c>
      <c r="G2095" s="12" t="inlineStr">
        <is>
          <t>나라면 그리 걱정하지 않을 거야.</t>
        </is>
      </c>
      <c r="H2095" s="9">
        <f>HYPERLINK("https://www.youtube.com/watch?v=EJGdAlhCjj0", "영상 보기 ▶")</f>
        <v/>
      </c>
    </row>
    <row r="2096" ht="26" customHeight="1">
      <c r="A2096" s="2" t="n">
        <v>2095</v>
      </c>
      <c r="B2096" s="3" t="inlineStr">
        <is>
          <t>총정리 42탄</t>
        </is>
      </c>
      <c r="C2096" s="3" t="inlineStr">
        <is>
          <t>실전회화/표현</t>
        </is>
      </c>
      <c r="D2096" s="4" t="inlineStr">
        <is>
          <t>Don't go there.</t>
        </is>
      </c>
      <c r="E2096" s="11" t="inlineStr">
        <is>
          <t>그 얘긴 꺼내지도 마, 거기까지만 하자 (예민한 주제 회피)</t>
        </is>
      </c>
      <c r="F2096" s="11" t="inlineStr">
        <is>
          <t>Please don't go there; that's far too personal.</t>
        </is>
      </c>
      <c r="G2096" s="11" t="inlineStr">
        <is>
          <t>제발 그 얘기는 꺼내지도 마세요, 너무 사적인 영역이잖아요.</t>
        </is>
      </c>
      <c r="H2096" s="5">
        <f>HYPERLINK("https://www.youtube.com/watch?v=EJGdAlhCjj0", "영상 보기 ▶")</f>
        <v/>
      </c>
    </row>
    <row r="2097" ht="26" customHeight="1">
      <c r="A2097" s="6" t="n">
        <v>2096</v>
      </c>
      <c r="B2097" s="7" t="inlineStr">
        <is>
          <t>총정리 42탄</t>
        </is>
      </c>
      <c r="C2097" s="7" t="inlineStr">
        <is>
          <t>실전회화/표현</t>
        </is>
      </c>
      <c r="D2097" s="8" t="inlineStr">
        <is>
          <t>I wouldn't go that far.</t>
        </is>
      </c>
      <c r="E2097" s="12" t="inlineStr">
        <is>
          <t>그 정도까진 아니야/좀 과한 것 같아.</t>
        </is>
      </c>
      <c r="F2097" s="12" t="inlineStr">
        <is>
          <t>I wouldn't go that far.</t>
        </is>
      </c>
      <c r="G2097" s="12" t="inlineStr">
        <is>
          <t>그 정도까진 아니야/좀 과한 것 같아.</t>
        </is>
      </c>
      <c r="H2097" s="9">
        <f>HYPERLINK("https://www.youtube.com/watch?v=EJGdAlhCjj0", "영상 보기 ▶")</f>
        <v/>
      </c>
    </row>
    <row r="2098" ht="26" customHeight="1">
      <c r="A2098" s="2" t="n">
        <v>2097</v>
      </c>
      <c r="B2098" s="3" t="inlineStr">
        <is>
          <t>총정리 42탄</t>
        </is>
      </c>
      <c r="C2098" s="3" t="inlineStr">
        <is>
          <t>실전회화/표현</t>
        </is>
      </c>
      <c r="D2098" s="4" t="inlineStr">
        <is>
          <t>be obsessed with</t>
        </is>
      </c>
      <c r="E2098" s="11" t="inlineStr">
        <is>
          <t>~에 집착하다/집착하다시피 좋아하다</t>
        </is>
      </c>
      <c r="F2098" s="11" t="inlineStr">
        <is>
          <t>B: Well, I wouldn't go that far, but it's a great show.</t>
        </is>
      </c>
      <c r="G2098" s="11" t="inlineStr">
        <is>
          <t>그 정도까진 아닌데 재미있긴 해.</t>
        </is>
      </c>
      <c r="H2098" s="5">
        <f>HYPERLINK("https://www.youtube.com/watch?v=EJGdAlhCjj0", "영상 보기 ▶")</f>
        <v/>
      </c>
    </row>
    <row r="2099" ht="26" customHeight="1">
      <c r="A2099" s="6" t="n">
        <v>2098</v>
      </c>
      <c r="B2099" s="7" t="inlineStr">
        <is>
          <t>총정리 42탄</t>
        </is>
      </c>
      <c r="C2099" s="7" t="inlineStr">
        <is>
          <t>실전회화/표현</t>
        </is>
      </c>
      <c r="D2099" s="8" t="inlineStr">
        <is>
          <t>on such short notice</t>
        </is>
      </c>
      <c r="E2099" s="12" t="inlineStr">
        <is>
          <t>그렇게나 짧은 공지에도, 갑작스러운 요청에도</t>
        </is>
      </c>
      <c r="F2099" s="12" t="inlineStr">
        <is>
          <t>- Thank you for coming on such short notice.</t>
        </is>
      </c>
      <c r="G2099" s="12" t="inlineStr">
        <is>
          <t>갑자기 잡힌 일정에도 이렇게 와주셔서 고맙습니다.</t>
        </is>
      </c>
      <c r="H2099" s="9">
        <f>HYPERLINK("https://www.youtube.com/watch?v=EJGdAlhCjj0", "영상 보기 ▶")</f>
        <v/>
      </c>
    </row>
    <row r="2100" ht="26" customHeight="1">
      <c r="A2100" s="2" t="n">
        <v>2099</v>
      </c>
      <c r="B2100" s="3" t="inlineStr">
        <is>
          <t>총정리 42탄</t>
        </is>
      </c>
      <c r="C2100" s="3" t="inlineStr">
        <is>
          <t>실전회화/표현</t>
        </is>
      </c>
      <c r="D2100" s="4" t="inlineStr">
        <is>
          <t>동사 table</t>
        </is>
      </c>
      <c r="E2100" s="11" t="inlineStr">
        <is>
          <t>(특히 논의를) 미루다/연기하다/보류하다</t>
        </is>
      </c>
      <c r="F2100" s="11" t="inlineStr">
        <is>
          <t>- Let's table this for now.</t>
        </is>
      </c>
      <c r="G2100" s="11" t="inlineStr">
        <is>
          <t>일단 이 얘기는 나중에 다시 하자.</t>
        </is>
      </c>
      <c r="H2100" s="5">
        <f>HYPERLINK("https://www.youtube.com/watch?v=EJGdAlhCjj0", "영상 보기 ▶")</f>
        <v/>
      </c>
    </row>
    <row r="2101" ht="26" customHeight="1">
      <c r="A2101" s="6" t="n">
        <v>2100</v>
      </c>
      <c r="B2101" s="7" t="inlineStr">
        <is>
          <t>총정리 42탄</t>
        </is>
      </c>
      <c r="C2101" s="7" t="inlineStr">
        <is>
          <t>실전회화/표현</t>
        </is>
      </c>
      <c r="D2101" s="8" t="inlineStr">
        <is>
          <t>I suppose</t>
        </is>
      </c>
      <c r="E2101" s="12" t="inlineStr">
        <is>
          <t>그렇다고 볼 수도 있겠네, 아마 그럴 것 같아</t>
        </is>
      </c>
      <c r="F2101" s="12" t="inlineStr">
        <is>
          <t>- He didn't answer the phone, so I suppose he's busy.</t>
        </is>
      </c>
      <c r="G2101" s="12" t="inlineStr">
        <is>
          <t>전화 안 받은 걸 보니 아마 바쁜가 봐.</t>
        </is>
      </c>
      <c r="H2101" s="9">
        <f>HYPERLINK("https://www.youtube.com/watch?v=EJGdAlhCjj0", "영상 보기 ▶")</f>
        <v/>
      </c>
    </row>
    <row r="2102" ht="26" customHeight="1">
      <c r="A2102" s="2" t="n">
        <v>2101</v>
      </c>
      <c r="B2102" s="3" t="inlineStr">
        <is>
          <t>총정리 43탄</t>
        </is>
      </c>
      <c r="C2102" s="3" t="inlineStr">
        <is>
          <t>실전회화/표현</t>
        </is>
      </c>
      <c r="D2102" s="4" t="inlineStr">
        <is>
          <t>as long as</t>
        </is>
      </c>
      <c r="E2102" s="11" t="inlineStr">
        <is>
          <t>~하는 한</t>
        </is>
      </c>
      <c r="F2102" s="11" t="inlineStr">
        <is>
          <t>I'm on board as long as you're okay with it.</t>
        </is>
      </c>
      <c r="G2102" s="11" t="inlineStr">
        <is>
          <t>너만 괜찮다면 나도 할게</t>
        </is>
      </c>
      <c r="H2102" s="5">
        <f>HYPERLINK("https://www.youtube.com/watch?v=RT0XpmQr7WU", "영상 보기 ▶")</f>
        <v/>
      </c>
    </row>
    <row r="2103" ht="26" customHeight="1">
      <c r="A2103" s="6" t="n">
        <v>2102</v>
      </c>
      <c r="B2103" s="7" t="inlineStr">
        <is>
          <t>총정리 43탄</t>
        </is>
      </c>
      <c r="C2103" s="7" t="inlineStr">
        <is>
          <t>실전회화/표현</t>
        </is>
      </c>
      <c r="D2103" s="8" t="inlineStr">
        <is>
          <t>unless</t>
        </is>
      </c>
      <c r="E2103" s="12" t="inlineStr">
        <is>
          <t>~하지 않는 한</t>
        </is>
      </c>
      <c r="F2103" s="12" t="inlineStr">
        <is>
          <t>Let's wrap up unless anyone has any questions</t>
        </is>
      </c>
      <c r="G2103" s="12" t="inlineStr">
        <is>
          <t>질문 있으신분 없으면 마무리할게요</t>
        </is>
      </c>
      <c r="H2103" s="9">
        <f>HYPERLINK("https://www.youtube.com/watch?v=RT0XpmQr7WU", "영상 보기 ▶")</f>
        <v/>
      </c>
    </row>
    <row r="2104" ht="26" customHeight="1">
      <c r="A2104" s="2" t="n">
        <v>2103</v>
      </c>
      <c r="B2104" s="3" t="inlineStr">
        <is>
          <t>총정리 43탄</t>
        </is>
      </c>
      <c r="C2104" s="3" t="inlineStr">
        <is>
          <t>실전회화/표현</t>
        </is>
      </c>
      <c r="D2104" s="4" t="inlineStr">
        <is>
          <t>as long as (시간)</t>
        </is>
      </c>
      <c r="E2104" s="11" t="inlineStr">
        <is>
          <t>~하는 동안 내내, ~만큼이나 오래</t>
        </is>
      </c>
      <c r="F2104" s="11" t="inlineStr">
        <is>
          <t>Take as long as you need to review the contract.</t>
        </is>
      </c>
      <c r="G2104" s="11" t="inlineStr">
        <is>
          <t>계약서를 검토하는 데 필요한 만큼 천천히 충분한 시간을 가지세요.</t>
        </is>
      </c>
      <c r="H2104" s="5">
        <f>HYPERLINK("https://www.youtube.com/watch?v=RT0XpmQr7WU", "영상 보기 ▶")</f>
        <v/>
      </c>
    </row>
    <row r="2105" ht="26" customHeight="1">
      <c r="A2105" s="6" t="n">
        <v>2104</v>
      </c>
      <c r="B2105" s="7" t="inlineStr">
        <is>
          <t>총정리 43탄</t>
        </is>
      </c>
      <c r="C2105" s="7" t="inlineStr">
        <is>
          <t>실전회화/표현</t>
        </is>
      </c>
      <c r="D2105" s="8" t="inlineStr">
        <is>
          <t>for as long as I can remember</t>
        </is>
      </c>
      <c r="E2105" s="12" t="inlineStr">
        <is>
          <t>내가 기억하는 한</t>
        </is>
      </c>
      <c r="F2105" s="12" t="inlineStr">
        <is>
          <t>I've known him for as long as I can remember.</t>
        </is>
      </c>
      <c r="G2105" s="12" t="inlineStr">
        <is>
          <t>그와 정말 오랫동안 알고 지낸 사이야</t>
        </is>
      </c>
      <c r="H2105" s="9">
        <f>HYPERLINK("https://www.youtube.com/watch?v=RT0XpmQr7WU", "영상 보기 ▶")</f>
        <v/>
      </c>
    </row>
    <row r="2106" ht="26" customHeight="1">
      <c r="A2106" s="2" t="n">
        <v>2105</v>
      </c>
      <c r="B2106" s="3" t="inlineStr">
        <is>
          <t>총정리 43탄</t>
        </is>
      </c>
      <c r="C2106" s="3" t="inlineStr">
        <is>
          <t>실전회화/표현</t>
        </is>
      </c>
      <c r="D2106" s="4" t="inlineStr">
        <is>
          <t>I'm in the same boat.</t>
        </is>
      </c>
      <c r="E2106" s="11" t="inlineStr">
        <is>
          <t>나도 너랑 똑같은 처지야, 같은 어려움을 겪고 있어</t>
        </is>
      </c>
      <c r="F2106" s="11" t="inlineStr">
        <is>
          <t>You're stressed about layoffs? I'm in the same boat.</t>
        </is>
      </c>
      <c r="G2106" s="11" t="inlineStr">
        <is>
          <t>구조조정 때문에 스트레스받아? 나도 너랑 완전히 똑같은 처지야.</t>
        </is>
      </c>
      <c r="H2106" s="5">
        <f>HYPERLINK("https://www.youtube.com/watch?v=RT0XpmQr7WU", "영상 보기 ▶")</f>
        <v/>
      </c>
    </row>
    <row r="2107" ht="26" customHeight="1">
      <c r="A2107" s="6" t="n">
        <v>2106</v>
      </c>
      <c r="B2107" s="7" t="inlineStr">
        <is>
          <t>총정리 43탄</t>
        </is>
      </c>
      <c r="C2107" s="7" t="inlineStr">
        <is>
          <t>의견/의사결정</t>
        </is>
      </c>
      <c r="D2107" s="8" t="inlineStr">
        <is>
          <t>It's your call. / not my call</t>
        </is>
      </c>
      <c r="E2107" s="12" t="inlineStr">
        <is>
          <t>네가 결정할 몫이야 / 내가 결정할 권한이 아니야</t>
        </is>
      </c>
      <c r="F2107" s="12" t="inlineStr">
        <is>
          <t>Should we launch today? - It's your call, boss.</t>
        </is>
      </c>
      <c r="G2107" s="12" t="inlineStr">
        <is>
          <t>오늘 출시할까요? - 보스, 결정은 당신의 몫입니다.</t>
        </is>
      </c>
      <c r="H2107" s="9">
        <f>HYPERLINK("https://www.youtube.com/watch?v=RT0XpmQr7WU", "영상 보기 ▶")</f>
        <v/>
      </c>
    </row>
    <row r="2108" ht="26" customHeight="1">
      <c r="A2108" s="2" t="n">
        <v>2107</v>
      </c>
      <c r="B2108" s="3" t="inlineStr">
        <is>
          <t>총정리 43탄</t>
        </is>
      </c>
      <c r="C2108" s="3" t="inlineStr">
        <is>
          <t>의견/의사결정</t>
        </is>
      </c>
      <c r="D2108" s="4" t="inlineStr">
        <is>
          <t>choosy</t>
        </is>
      </c>
      <c r="E2108" s="11" t="inlineStr">
        <is>
          <t>(신중하게 선택해서) 까다로운</t>
        </is>
      </c>
      <c r="F2108" s="11" t="inlineStr">
        <is>
          <t>He's choosy about his clothes.</t>
        </is>
      </c>
      <c r="G2108" s="11" t="inlineStr">
        <is>
          <t>그는 옷 고르는데 있어 까다로워</t>
        </is>
      </c>
      <c r="H2108" s="5">
        <f>HYPERLINK("https://www.youtube.com/watch?v=RT0XpmQr7WU", "영상 보기 ▶")</f>
        <v/>
      </c>
    </row>
    <row r="2109" ht="26" customHeight="1">
      <c r="A2109" s="6" t="n">
        <v>2108</v>
      </c>
      <c r="B2109" s="7" t="inlineStr">
        <is>
          <t>총정리 43탄</t>
        </is>
      </c>
      <c r="C2109" s="7" t="inlineStr">
        <is>
          <t>실전회화/표현</t>
        </is>
      </c>
      <c r="D2109" s="8" t="inlineStr">
        <is>
          <t>particular</t>
        </is>
      </c>
      <c r="E2109" s="12" t="inlineStr">
        <is>
          <t>까다로운</t>
        </is>
      </c>
      <c r="F2109" s="12" t="inlineStr">
        <is>
          <t>She's very particular.</t>
        </is>
      </c>
      <c r="G2109" s="12" t="inlineStr">
        <is>
          <t>그녀는 매우 까다로워</t>
        </is>
      </c>
      <c r="H2109" s="9">
        <f>HYPERLINK("https://www.youtube.com/watch?v=RT0XpmQr7WU", "영상 보기 ▶")</f>
        <v/>
      </c>
    </row>
    <row r="2110" ht="26" customHeight="1">
      <c r="A2110" s="2" t="n">
        <v>2109</v>
      </c>
      <c r="B2110" s="3" t="inlineStr">
        <is>
          <t>총정리 43탄</t>
        </is>
      </c>
      <c r="C2110" s="3" t="inlineStr">
        <is>
          <t>실전회화/표현</t>
        </is>
      </c>
      <c r="D2110" s="4" t="inlineStr">
        <is>
          <t>presentable</t>
        </is>
      </c>
      <c r="E2110" s="11" t="inlineStr">
        <is>
          <t>남에게 보여도 부끄럽지 않은/그럭저럭 괜찮은</t>
        </is>
      </c>
      <c r="F2110" s="11" t="inlineStr">
        <is>
          <t>I wanna look presentable.</t>
        </is>
      </c>
      <c r="G2110" s="11" t="inlineStr">
        <is>
          <t>그래도 말끔해보여야 하니 옷 갈아입고 올게</t>
        </is>
      </c>
      <c r="H2110" s="5">
        <f>HYPERLINK("https://www.youtube.com/watch?v=RT0XpmQr7WU", "영상 보기 ▶")</f>
        <v/>
      </c>
    </row>
    <row r="2111" ht="26" customHeight="1">
      <c r="A2111" s="6" t="n">
        <v>2110</v>
      </c>
      <c r="B2111" s="7" t="inlineStr">
        <is>
          <t>총정리 43탄</t>
        </is>
      </c>
      <c r="C2111" s="7" t="inlineStr">
        <is>
          <t>실전회화/표현</t>
        </is>
      </c>
      <c r="D2111" s="8" t="inlineStr">
        <is>
          <t>Time will tell.</t>
        </is>
      </c>
      <c r="E2111" s="12" t="inlineStr">
        <is>
          <t>시간이 지나면 알게 되겠지</t>
        </is>
      </c>
      <c r="F2111" s="12" t="inlineStr">
        <is>
          <t>A: Did it work?</t>
        </is>
      </c>
      <c r="G2111" s="12" t="inlineStr">
        <is>
          <t>효과가 있었어?</t>
        </is>
      </c>
      <c r="H2111" s="9">
        <f>HYPERLINK("https://www.youtube.com/watch?v=RT0XpmQr7WU", "영상 보기 ▶")</f>
        <v/>
      </c>
    </row>
    <row r="2112" ht="26" customHeight="1">
      <c r="A2112" s="2" t="n">
        <v>2111</v>
      </c>
      <c r="B2112" s="3" t="inlineStr">
        <is>
          <t>총정리 43탄</t>
        </is>
      </c>
      <c r="C2112" s="3" t="inlineStr">
        <is>
          <t>실전회화/표현</t>
        </is>
      </c>
      <c r="D2112" s="4" t="inlineStr">
        <is>
          <t>company</t>
        </is>
      </c>
      <c r="E2112" s="11" t="inlineStr">
        <is>
          <t>함께 있음,일행</t>
        </is>
      </c>
      <c r="F2112" s="11" t="inlineStr">
        <is>
          <t>I have company.</t>
        </is>
      </c>
      <c r="G2112" s="11" t="inlineStr">
        <is>
          <t>지금 손님이 와 있어/혼자가 아니라 누구랑 같이있어</t>
        </is>
      </c>
      <c r="H2112" s="5">
        <f>HYPERLINK("https://www.youtube.com/watch?v=RT0XpmQr7WU", "영상 보기 ▶")</f>
        <v/>
      </c>
    </row>
    <row r="2113" ht="26" customHeight="1">
      <c r="A2113" s="6" t="n">
        <v>2112</v>
      </c>
      <c r="B2113" s="7" t="inlineStr">
        <is>
          <t>총정리 43탄</t>
        </is>
      </c>
      <c r="C2113" s="7" t="inlineStr">
        <is>
          <t>실전회화/표현</t>
        </is>
      </c>
      <c r="D2113" s="8" t="inlineStr">
        <is>
          <t>I figured.</t>
        </is>
      </c>
      <c r="E2113" s="12" t="inlineStr">
        <is>
          <t>그럴줄 알았어/예상했어/이미 짐작했어</t>
        </is>
      </c>
      <c r="F2113" s="12" t="inlineStr">
        <is>
          <t>B: I figured.</t>
        </is>
      </c>
      <c r="G2113" s="12" t="inlineStr">
        <is>
          <t>A: She's not coming tonight. 안온대</t>
        </is>
      </c>
      <c r="H2113" s="9">
        <f>HYPERLINK("https://www.youtube.com/watch?v=RT0XpmQr7WU", "영상 보기 ▶")</f>
        <v/>
      </c>
    </row>
    <row r="2114" ht="26" customHeight="1">
      <c r="A2114" s="2" t="n">
        <v>2113</v>
      </c>
      <c r="B2114" s="3" t="inlineStr">
        <is>
          <t>총정리 43탄</t>
        </is>
      </c>
      <c r="C2114" s="3" t="inlineStr">
        <is>
          <t>실전회화/표현</t>
        </is>
      </c>
      <c r="D2114" s="4" t="inlineStr">
        <is>
          <t>You have good taste.</t>
        </is>
      </c>
      <c r="E2114" s="11" t="inlineStr">
        <is>
          <t>취향의 taste</t>
        </is>
      </c>
      <c r="F2114" s="11" t="inlineStr">
        <is>
          <t>We have the same taste in music.</t>
        </is>
      </c>
      <c r="G2114" s="11" t="inlineStr">
        <is>
          <t>우리 음악 취향이 같아</t>
        </is>
      </c>
      <c r="H2114" s="5">
        <f>HYPERLINK("https://www.youtube.com/watch?v=RT0XpmQr7WU", "영상 보기 ▶")</f>
        <v/>
      </c>
    </row>
    <row r="2115" ht="26" customHeight="1">
      <c r="A2115" s="6" t="n">
        <v>2114</v>
      </c>
      <c r="B2115" s="7" t="inlineStr">
        <is>
          <t>총정리 43탄</t>
        </is>
      </c>
      <c r="C2115" s="7" t="inlineStr">
        <is>
          <t>실전회화/표현</t>
        </is>
      </c>
      <c r="D2115" s="8" t="inlineStr">
        <is>
          <t>tasteful</t>
        </is>
      </c>
      <c r="E2115" s="12" t="inlineStr">
        <is>
          <t>취향이 좋은, 세련된, 감각 있는</t>
        </is>
      </c>
      <c r="F2115" s="12" t="inlineStr">
        <is>
          <t>It's very tasteful.</t>
        </is>
      </c>
      <c r="G2115" s="12" t="inlineStr">
        <is>
          <t>취향이 좋네요/감각 있으시네요/안목이 좋으세요</t>
        </is>
      </c>
      <c r="H2115" s="9">
        <f>HYPERLINK("https://www.youtube.com/watch?v=RT0XpmQr7WU", "영상 보기 ▶")</f>
        <v/>
      </c>
    </row>
    <row r="2116" ht="26" customHeight="1">
      <c r="A2116" s="2" t="n">
        <v>2115</v>
      </c>
      <c r="B2116" s="3" t="inlineStr">
        <is>
          <t>총정리 43탄</t>
        </is>
      </c>
      <c r="C2116" s="3" t="inlineStr">
        <is>
          <t>실전회화/표현</t>
        </is>
      </c>
      <c r="D2116" s="4" t="inlineStr">
        <is>
          <t>questionable</t>
        </is>
      </c>
      <c r="E2116" s="11" t="inlineStr">
        <is>
          <t>의문의 여지가 있는</t>
        </is>
      </c>
      <c r="F2116" s="11" t="inlineStr">
        <is>
          <t>She has questionable taste in movies.</t>
        </is>
      </c>
      <c r="G2116" s="11" t="inlineStr">
        <is>
          <t>왜 그런 영화를 좋아하는지 모르겠어</t>
        </is>
      </c>
      <c r="H2116" s="5">
        <f>HYPERLINK("https://www.youtube.com/watch?v=RT0XpmQr7WU", "영상 보기 ▶")</f>
        <v/>
      </c>
    </row>
    <row r="2117" ht="26" customHeight="1">
      <c r="A2117" s="6" t="n">
        <v>2116</v>
      </c>
      <c r="B2117" s="7" t="inlineStr">
        <is>
          <t>총정리 43탄</t>
        </is>
      </c>
      <c r="C2117" s="7" t="inlineStr">
        <is>
          <t>실전회화/표현</t>
        </is>
      </c>
      <c r="D2117" s="8" t="inlineStr">
        <is>
          <t>go out of one's way</t>
        </is>
      </c>
      <c r="E2117" s="12" t="inlineStr">
        <is>
          <t>특별히 신경쓰다/수고를 마다하지 않다</t>
        </is>
      </c>
      <c r="F2117" s="12" t="inlineStr">
        <is>
          <t>Wouldn't that be going out of your way?</t>
        </is>
      </c>
      <c r="G2117" s="12" t="inlineStr">
        <is>
          <t>너한테 번거로운거 아니야/</t>
        </is>
      </c>
      <c r="H2117" s="9">
        <f>HYPERLINK("https://www.youtube.com/watch?v=RT0XpmQr7WU", "영상 보기 ▶")</f>
        <v/>
      </c>
    </row>
    <row r="2118" ht="26" customHeight="1">
      <c r="A2118" s="2" t="n">
        <v>2117</v>
      </c>
      <c r="B2118" s="3" t="inlineStr">
        <is>
          <t>총정리 43탄</t>
        </is>
      </c>
      <c r="C2118" s="3" t="inlineStr">
        <is>
          <t>실전회화/표현</t>
        </is>
      </c>
      <c r="D2118" s="4" t="inlineStr">
        <is>
          <t>bend over backwards</t>
        </is>
      </c>
      <c r="E2118" s="11" t="inlineStr">
        <is>
          <t>엄청 노력하다/애쓰다</t>
        </is>
      </c>
      <c r="F2118" s="11" t="inlineStr">
        <is>
          <t>I think you're bending over backwards.</t>
        </is>
      </c>
      <c r="G2118" s="11" t="inlineStr">
        <is>
          <t>너 너무 지나치다시피 애쓰는것 같아</t>
        </is>
      </c>
      <c r="H2118" s="5">
        <f>HYPERLINK("https://www.youtube.com/watch?v=RT0XpmQr7WU", "영상 보기 ▶")</f>
        <v/>
      </c>
    </row>
    <row r="2119" ht="26" customHeight="1">
      <c r="A2119" s="6" t="n">
        <v>2118</v>
      </c>
      <c r="B2119" s="7" t="inlineStr">
        <is>
          <t>총정리 43탄</t>
        </is>
      </c>
      <c r="C2119" s="7" t="inlineStr">
        <is>
          <t>의견/의사결정</t>
        </is>
      </c>
      <c r="D2119" s="8" t="inlineStr">
        <is>
          <t>out of options</t>
        </is>
      </c>
      <c r="E2119" s="12" t="inlineStr">
        <is>
          <t>선택의 여지가 없는</t>
        </is>
      </c>
      <c r="F2119" s="12" t="inlineStr">
        <is>
          <t>We can't be choosy.</t>
        </is>
      </c>
      <c r="G2119" s="12" t="inlineStr">
        <is>
          <t>선택할수 있는 옵션이 없는데 까다롭게 굴면 안돼</t>
        </is>
      </c>
      <c r="H2119" s="9">
        <f>HYPERLINK("https://www.youtube.com/watch?v=RT0XpmQr7WU", "영상 보기 ▶")</f>
        <v/>
      </c>
    </row>
    <row r="2120" ht="26" customHeight="1">
      <c r="A2120" s="2" t="n">
        <v>2119</v>
      </c>
      <c r="B2120" s="3" t="inlineStr">
        <is>
          <t>총정리 43탄</t>
        </is>
      </c>
      <c r="C2120" s="3" t="inlineStr">
        <is>
          <t>실전회화/표현</t>
        </is>
      </c>
      <c r="D2120" s="4" t="inlineStr">
        <is>
          <t>out of town</t>
        </is>
      </c>
      <c r="E2120" s="11" t="inlineStr">
        <is>
          <t>(이 도시를 떠나)여기에 없는,다른 지역에 있는</t>
        </is>
      </c>
      <c r="F2120" s="11" t="inlineStr">
        <is>
          <t>He's out of town this week.</t>
        </is>
      </c>
      <c r="G2120" s="11" t="inlineStr">
        <is>
          <t>이번주에 여기 안계세요/자리를 비우셨어요</t>
        </is>
      </c>
      <c r="H2120" s="5">
        <f>HYPERLINK("https://www.youtube.com/watch?v=RT0XpmQr7WU", "영상 보기 ▶")</f>
        <v/>
      </c>
    </row>
    <row r="2121" ht="26" customHeight="1">
      <c r="A2121" s="6" t="n">
        <v>2120</v>
      </c>
      <c r="B2121" s="7" t="inlineStr">
        <is>
          <t>총정리 43탄</t>
        </is>
      </c>
      <c r="C2121" s="7" t="inlineStr">
        <is>
          <t>실전회화/표현</t>
        </is>
      </c>
      <c r="D2121" s="8" t="inlineStr">
        <is>
          <t>in town</t>
        </is>
      </c>
      <c r="E2121" s="12" t="inlineStr">
        <is>
          <t>(잠시) 방문중인, (이 도시/지역) 여기에 있는</t>
        </is>
      </c>
      <c r="F2121" s="12" t="inlineStr">
        <is>
          <t>Are you in town for business?</t>
        </is>
      </c>
      <c r="G2121" s="12" t="inlineStr">
        <is>
          <t>출장/사업차 방문중이신건가요 ?</t>
        </is>
      </c>
      <c r="H2121" s="9">
        <f>HYPERLINK("https://www.youtube.com/watch?v=RT0XpmQr7WU", "영상 보기 ▶")</f>
        <v/>
      </c>
    </row>
    <row r="2122" ht="26" customHeight="1">
      <c r="A2122" s="2" t="n">
        <v>2121</v>
      </c>
      <c r="B2122" s="3" t="inlineStr">
        <is>
          <t>총정리 43탄</t>
        </is>
      </c>
      <c r="C2122" s="3" t="inlineStr">
        <is>
          <t>실전회화/표현</t>
        </is>
      </c>
      <c r="D2122" s="4" t="inlineStr">
        <is>
          <t>best in town</t>
        </is>
      </c>
      <c r="E2122" s="11" t="inlineStr">
        <is>
          <t>이 동네에서 가장 최고인</t>
        </is>
      </c>
      <c r="F2122" s="11" t="inlineStr">
        <is>
          <t>They have the best pizza in town.</t>
        </is>
      </c>
      <c r="G2122" s="11" t="inlineStr">
        <is>
          <t>이 동네 가장 맛있는 피자집이야</t>
        </is>
      </c>
      <c r="H2122" s="5">
        <f>HYPERLINK("https://www.youtube.com/watch?v=RT0XpmQr7WU", "영상 보기 ▶")</f>
        <v/>
      </c>
    </row>
    <row r="2123" ht="26" customHeight="1">
      <c r="A2123" s="6" t="n">
        <v>2122</v>
      </c>
      <c r="B2123" s="7" t="inlineStr">
        <is>
          <t>총정리 43탄</t>
        </is>
      </c>
      <c r="C2123" s="7" t="inlineStr">
        <is>
          <t>실전회화/표현</t>
        </is>
      </c>
      <c r="D2123" s="8" t="inlineStr">
        <is>
          <t>problematic</t>
        </is>
      </c>
      <c r="E2123" s="12" t="inlineStr">
        <is>
          <t>문제가 있는,해결하기 어려운, 곤란한</t>
        </is>
      </c>
      <c r="F2123" s="12" t="inlineStr">
        <is>
          <t>It's a problematic situation.</t>
        </is>
      </c>
      <c r="G2123" s="12" t="inlineStr">
        <is>
          <t>문제 있는 상황이야</t>
        </is>
      </c>
      <c r="H2123" s="9">
        <f>HYPERLINK("https://www.youtube.com/watch?v=RT0XpmQr7WU", "영상 보기 ▶")</f>
        <v/>
      </c>
    </row>
    <row r="2124" ht="26" customHeight="1">
      <c r="A2124" s="2" t="n">
        <v>2123</v>
      </c>
      <c r="B2124" s="3" t="inlineStr">
        <is>
          <t>총정리 43탄</t>
        </is>
      </c>
      <c r="C2124" s="3" t="inlineStr">
        <is>
          <t>실전회화/표현</t>
        </is>
      </c>
      <c r="D2124" s="4" t="inlineStr">
        <is>
          <t>be tired of</t>
        </is>
      </c>
      <c r="E2124" s="11" t="inlineStr">
        <is>
          <t>~가 지긋지긋 해/진절 머리나</t>
        </is>
      </c>
      <c r="F2124" s="11" t="inlineStr">
        <is>
          <t>I'm tired of bending over backwards for them.</t>
        </is>
      </c>
      <c r="G2124" s="11" t="inlineStr">
        <is>
          <t>걔들 도와주려고 애쓰는 것도 지긋지긋해</t>
        </is>
      </c>
      <c r="H2124" s="5">
        <f>HYPERLINK("https://www.youtube.com/watch?v=RT0XpmQr7WU", "영상 보기 ▶")</f>
        <v/>
      </c>
    </row>
    <row r="2125" ht="26" customHeight="1">
      <c r="A2125" s="6" t="n">
        <v>2124</v>
      </c>
      <c r="B2125" s="7" t="inlineStr">
        <is>
          <t>총정리 43탄</t>
        </is>
      </c>
      <c r="C2125" s="7" t="inlineStr">
        <is>
          <t>실전회화/표현</t>
        </is>
      </c>
      <c r="D2125" s="8" t="inlineStr">
        <is>
          <t>do</t>
        </is>
      </c>
      <c r="E2125" s="12" t="inlineStr">
        <is>
          <t>사람 good</t>
        </is>
      </c>
      <c r="F2125" s="12" t="inlineStr">
        <is>
          <t>Let's go grab a bite. Food will do us good.</t>
        </is>
      </c>
      <c r="G2125" s="12" t="inlineStr">
        <is>
          <t>뭐좀 먹는게 좋을것 같을 때</t>
        </is>
      </c>
      <c r="H2125" s="9">
        <f>HYPERLINK("https://www.youtube.com/watch?v=RT0XpmQr7WU", "영상 보기 ▶")</f>
        <v/>
      </c>
    </row>
    <row r="2126" ht="26" customHeight="1">
      <c r="A2126" s="2" t="n">
        <v>2125</v>
      </c>
      <c r="B2126" s="3" t="inlineStr">
        <is>
          <t>총정리 43탄</t>
        </is>
      </c>
      <c r="C2126" s="3" t="inlineStr">
        <is>
          <t>실전회화/표현</t>
        </is>
      </c>
      <c r="D2126" s="4" t="inlineStr">
        <is>
          <t>under the weather</t>
        </is>
      </c>
      <c r="E2126" s="11" t="inlineStr">
        <is>
          <t>몸 상태/컨디션이 안 좋은</t>
        </is>
      </c>
      <c r="F2126" s="11" t="inlineStr">
        <is>
          <t>I'm feeling a little under the weather today.</t>
        </is>
      </c>
      <c r="G2126" s="11" t="inlineStr">
        <is>
          <t>오늘 컨디션이 안 좋아서 다음에 만나도 될까?</t>
        </is>
      </c>
      <c r="H2126" s="5">
        <f>HYPERLINK("https://www.youtube.com/watch?v=RT0XpmQr7WU", "영상 보기 ▶")</f>
        <v/>
      </c>
    </row>
    <row r="2127" ht="26" customHeight="1">
      <c r="A2127" s="6" t="n">
        <v>2126</v>
      </c>
      <c r="B2127" s="7" t="inlineStr">
        <is>
          <t>총정리 43탄</t>
        </is>
      </c>
      <c r="C2127" s="7" t="inlineStr">
        <is>
          <t>실전회화/표현</t>
        </is>
      </c>
      <c r="D2127" s="8" t="inlineStr">
        <is>
          <t>the best of both worlds</t>
        </is>
      </c>
      <c r="E2127" s="12" t="inlineStr">
        <is>
          <t>양쪽의 장점만 다 누리는 상황</t>
        </is>
      </c>
      <c r="F2127" s="12" t="inlineStr">
        <is>
          <t>It's the best of both worlds.</t>
        </is>
      </c>
      <c r="G2127" s="12" t="inlineStr">
        <is>
          <t>칼로리는 낮은데 엄청 맛있어서</t>
        </is>
      </c>
      <c r="H2127" s="9">
        <f>HYPERLINK("https://www.youtube.com/watch?v=RT0XpmQr7WU", "영상 보기 ▶")</f>
        <v/>
      </c>
    </row>
    <row r="2128" ht="26" customHeight="1">
      <c r="A2128" s="2" t="n">
        <v>2127</v>
      </c>
      <c r="B2128" s="3" t="inlineStr">
        <is>
          <t>총정리 43탄</t>
        </is>
      </c>
      <c r="C2128" s="3" t="inlineStr">
        <is>
          <t>공감/감정</t>
        </is>
      </c>
      <c r="D2128" s="4" t="inlineStr">
        <is>
          <t>I feel for you.</t>
        </is>
      </c>
      <c r="E2128" s="11" t="inlineStr">
        <is>
          <t>네 마음 이해해/안타깝게 생각해</t>
        </is>
      </c>
      <c r="F2128" s="11" t="inlineStr">
        <is>
          <t>I know it's not easy. I feel for you.</t>
        </is>
      </c>
      <c r="G2128" s="11" t="inlineStr">
        <is>
          <t>쉅지 않다는거 알아. 네 마음 이해해</t>
        </is>
      </c>
      <c r="H2128" s="5">
        <f>HYPERLINK("https://www.youtube.com/watch?v=RT0XpmQr7WU", "영상 보기 ▶")</f>
        <v/>
      </c>
    </row>
    <row r="2129" ht="26" customHeight="1">
      <c r="A2129" s="6" t="n">
        <v>2128</v>
      </c>
      <c r="B2129" s="7" t="inlineStr">
        <is>
          <t>총정리 43탄</t>
        </is>
      </c>
      <c r="C2129" s="7" t="inlineStr">
        <is>
          <t>공감/감정</t>
        </is>
      </c>
      <c r="D2129" s="8" t="inlineStr">
        <is>
          <t>I hear you.</t>
        </is>
      </c>
      <c r="E2129" s="12" t="inlineStr">
        <is>
          <t>네가 무슨말 하는건지 알아/네 심정 이해해</t>
        </is>
      </c>
      <c r="F2129" s="12" t="inlineStr">
        <is>
          <t>A:This is so frustrating.</t>
        </is>
      </c>
      <c r="G2129" s="12" t="inlineStr">
        <is>
          <t>B:I hear you. 무슨 말인지 알아요</t>
        </is>
      </c>
      <c r="H2129" s="9">
        <f>HYPERLINK("https://www.youtube.com/watch?v=RT0XpmQr7WU", "영상 보기 ▶")</f>
        <v/>
      </c>
    </row>
    <row r="2130" ht="26" customHeight="1">
      <c r="A2130" s="2" t="n">
        <v>2129</v>
      </c>
      <c r="B2130" s="3" t="inlineStr">
        <is>
          <t>총정리 43탄</t>
        </is>
      </c>
      <c r="C2130" s="3" t="inlineStr">
        <is>
          <t>실전회화/표현</t>
        </is>
      </c>
      <c r="D2130" s="4" t="inlineStr">
        <is>
          <t>mean well</t>
        </is>
      </c>
      <c r="E2130" s="11" t="inlineStr">
        <is>
          <t>(결과는 안 좋을지 몰라도) 선의를 지니고 있다</t>
        </is>
      </c>
      <c r="F2130" s="11" t="inlineStr">
        <is>
          <t>I meant well.</t>
        </is>
      </c>
      <c r="G2130" s="11" t="inlineStr">
        <is>
          <t>난 좋은 뜻으로 한 말/행동이었어</t>
        </is>
      </c>
      <c r="H2130" s="5">
        <f>HYPERLINK("https://www.youtube.com/watch?v=RT0XpmQr7WU", "영상 보기 ▶")</f>
        <v/>
      </c>
    </row>
    <row r="2131" ht="26" customHeight="1">
      <c r="A2131" s="6" t="n">
        <v>2130</v>
      </c>
      <c r="B2131" s="7" t="inlineStr">
        <is>
          <t>총정리 43탄</t>
        </is>
      </c>
      <c r="C2131" s="7" t="inlineStr">
        <is>
          <t>실전회화/표현</t>
        </is>
      </c>
      <c r="D2131" s="8" t="inlineStr">
        <is>
          <t>I mean it.</t>
        </is>
      </c>
      <c r="E2131" s="12" t="inlineStr">
        <is>
          <t>진심이야</t>
        </is>
      </c>
      <c r="F2131" s="12" t="inlineStr">
        <is>
          <t>Do you mean that?</t>
        </is>
      </c>
      <c r="G2131" s="12" t="inlineStr">
        <is>
          <t>진심이야?</t>
        </is>
      </c>
      <c r="H2131" s="9">
        <f>HYPERLINK("https://www.youtube.com/watch?v=RT0XpmQr7WU", "영상 보기 ▶")</f>
        <v/>
      </c>
    </row>
    <row r="2132" ht="26" customHeight="1">
      <c r="A2132" s="2" t="n">
        <v>2131</v>
      </c>
      <c r="B2132" s="3" t="inlineStr">
        <is>
          <t>총정리 43탄</t>
        </is>
      </c>
      <c r="C2132" s="3" t="inlineStr">
        <is>
          <t>실전회화/표현</t>
        </is>
      </c>
      <c r="D2132" s="4" t="inlineStr">
        <is>
          <t>I could use ~</t>
        </is>
      </c>
      <c r="E2132" s="11" t="inlineStr">
        <is>
          <t>~가 필요해. ~하면 좋겠어</t>
        </is>
      </c>
      <c r="F2132" s="11" t="inlineStr">
        <is>
          <t>I could use a drink.</t>
        </is>
      </c>
      <c r="G2132" s="11" t="inlineStr">
        <is>
          <t>술 한잔 마시면 딱 좋겠네</t>
        </is>
      </c>
      <c r="H2132" s="5">
        <f>HYPERLINK("https://www.youtube.com/watch?v=RT0XpmQr7WU", "영상 보기 ▶")</f>
        <v/>
      </c>
    </row>
    <row r="2133" ht="26" customHeight="1">
      <c r="A2133" s="6" t="n">
        <v>2132</v>
      </c>
      <c r="B2133" s="7" t="inlineStr">
        <is>
          <t>총정리 43탄</t>
        </is>
      </c>
      <c r="C2133" s="7" t="inlineStr">
        <is>
          <t>실전회화/표현</t>
        </is>
      </c>
      <c r="D2133" s="8" t="inlineStr">
        <is>
          <t>shoot for</t>
        </is>
      </c>
      <c r="E2133" s="12" t="inlineStr">
        <is>
          <t>~를 목표로 하다</t>
        </is>
      </c>
      <c r="F2133" s="12" t="inlineStr">
        <is>
          <t>Let's shoot for December.</t>
        </is>
      </c>
      <c r="G2133" s="12" t="inlineStr">
        <is>
          <t>12월을 목표로 하자</t>
        </is>
      </c>
      <c r="H2133" s="9">
        <f>HYPERLINK("https://www.youtube.com/watch?v=RT0XpmQr7WU", "영상 보기 ▶")</f>
        <v/>
      </c>
    </row>
    <row r="2134" ht="26" customHeight="1">
      <c r="A2134" s="2" t="n">
        <v>2133</v>
      </c>
      <c r="B2134" s="3" t="inlineStr">
        <is>
          <t>총정리 43탄</t>
        </is>
      </c>
      <c r="C2134" s="3" t="inlineStr">
        <is>
          <t>실전회화/표현</t>
        </is>
      </c>
      <c r="D2134" s="4" t="inlineStr">
        <is>
          <t>secure</t>
        </is>
      </c>
      <c r="E2134" s="11" t="inlineStr">
        <is>
          <t>안전한, 확실한, 보장된, 안정된</t>
        </is>
      </c>
      <c r="F2134" s="11" t="inlineStr">
        <is>
          <t>It's a secure job.</t>
        </is>
      </c>
      <c r="G2134" s="11" t="inlineStr">
        <is>
          <t>안정적인 직업이야</t>
        </is>
      </c>
      <c r="H2134" s="5">
        <f>HYPERLINK("https://www.youtube.com/watch?v=RT0XpmQr7WU", "영상 보기 ▶")</f>
        <v/>
      </c>
    </row>
    <row r="2135" ht="26" customHeight="1">
      <c r="A2135" s="6" t="n">
        <v>2134</v>
      </c>
      <c r="B2135" s="7" t="inlineStr">
        <is>
          <t>총정리 43탄</t>
        </is>
      </c>
      <c r="C2135" s="7" t="inlineStr">
        <is>
          <t>실전회화/표현</t>
        </is>
      </c>
      <c r="D2135" s="8" t="inlineStr">
        <is>
          <t>We need to secure this deal.</t>
        </is>
      </c>
      <c r="E2135" s="12" t="inlineStr">
        <is>
          <t>동사 secure</t>
        </is>
      </c>
      <c r="F2135" s="12" t="inlineStr">
        <is>
          <t>We need to secure this deal.</t>
        </is>
      </c>
      <c r="G2135" s="12" t="inlineStr">
        <is>
          <t>동사 secure</t>
        </is>
      </c>
      <c r="H2135" s="9">
        <f>HYPERLINK("https://www.youtube.com/watch?v=RT0XpmQr7WU", "영상 보기 ▶")</f>
        <v/>
      </c>
    </row>
    <row r="2136" ht="26" customHeight="1">
      <c r="A2136" s="2" t="n">
        <v>2135</v>
      </c>
      <c r="B2136" s="3" t="inlineStr">
        <is>
          <t>총정리 43탄</t>
        </is>
      </c>
      <c r="C2136" s="3" t="inlineStr">
        <is>
          <t>실전회화/표현</t>
        </is>
      </c>
      <c r="D2136" s="4" t="inlineStr">
        <is>
          <t>insecure</t>
        </is>
      </c>
      <c r="E2136" s="11" t="inlineStr">
        <is>
          <t>불안전한, 불안정한</t>
        </is>
      </c>
      <c r="F2136" s="11" t="inlineStr">
        <is>
          <t>I've always been insecure about my weight.</t>
        </is>
      </c>
      <c r="G2136" s="11" t="inlineStr">
        <is>
          <t>늘 체중에 콤플렉스가 있어</t>
        </is>
      </c>
      <c r="H2136" s="5">
        <f>HYPERLINK("https://www.youtube.com/watch?v=RT0XpmQr7WU", "영상 보기 ▶")</f>
        <v/>
      </c>
    </row>
    <row r="2137" ht="26" customHeight="1">
      <c r="A2137" s="6" t="n">
        <v>2136</v>
      </c>
      <c r="B2137" s="7" t="inlineStr">
        <is>
          <t>총정리 43탄</t>
        </is>
      </c>
      <c r="C2137" s="7" t="inlineStr">
        <is>
          <t>실전회화/표현</t>
        </is>
      </c>
      <c r="D2137" s="8" t="inlineStr">
        <is>
          <t>Still or sparkling?</t>
        </is>
      </c>
      <c r="E2137" s="12" t="inlineStr">
        <is>
          <t>특히 비싼 레스토랑에서</t>
        </is>
      </c>
      <c r="F2137" s="12" t="inlineStr">
        <is>
          <t>A:Still or sparkling?</t>
        </is>
      </c>
      <c r="G2137" s="12" t="inlineStr">
        <is>
          <t>일반 물 드릴까요?탄산수 드릴까요?</t>
        </is>
      </c>
      <c r="H2137" s="9">
        <f>HYPERLINK("https://www.youtube.com/watch?v=RT0XpmQr7WU", "영상 보기 ▶")</f>
        <v/>
      </c>
    </row>
    <row r="2138" ht="26" customHeight="1">
      <c r="A2138" s="2" t="n">
        <v>2137</v>
      </c>
      <c r="B2138" s="3" t="inlineStr">
        <is>
          <t>총정리 43탄</t>
        </is>
      </c>
      <c r="C2138" s="3" t="inlineStr">
        <is>
          <t>의견/의사결정</t>
        </is>
      </c>
      <c r="D2138" s="4" t="inlineStr">
        <is>
          <t>Can you give us a minute?</t>
        </is>
      </c>
      <c r="E2138" s="11" t="inlineStr">
        <is>
          <t>레스토랑에서 메뉴 결정할 시간이 필요할때</t>
        </is>
      </c>
      <c r="F2138" s="11" t="inlineStr">
        <is>
          <t>Can you give us a minute?</t>
        </is>
      </c>
      <c r="G2138" s="11" t="inlineStr">
        <is>
          <t>레스토랑에서 메뉴 결정할 시간이 필요할때</t>
        </is>
      </c>
      <c r="H2138" s="5">
        <f>HYPERLINK("https://www.youtube.com/watch?v=RT0XpmQr7WU", "영상 보기 ▶")</f>
        <v/>
      </c>
    </row>
    <row r="2139" ht="26" customHeight="1">
      <c r="A2139" s="6" t="n">
        <v>2138</v>
      </c>
      <c r="B2139" s="7" t="inlineStr">
        <is>
          <t>총정리 43탄</t>
        </is>
      </c>
      <c r="C2139" s="7" t="inlineStr">
        <is>
          <t>실전회화/표현</t>
        </is>
      </c>
      <c r="D2139" s="8" t="inlineStr">
        <is>
          <t>I can tell.</t>
        </is>
      </c>
      <c r="E2139" s="12" t="inlineStr">
        <is>
          <t>딱 보니 알겠네/티나</t>
        </is>
      </c>
      <c r="F2139" s="12" t="inlineStr">
        <is>
          <t>I can tell it's a touchy subject.</t>
        </is>
      </c>
      <c r="G2139" s="12" t="inlineStr">
        <is>
          <t>그게 민감한 주제란거 딱보니 알겠어</t>
        </is>
      </c>
      <c r="H2139" s="9">
        <f>HYPERLINK("https://www.youtube.com/watch?v=RT0XpmQr7WU", "영상 보기 ▶")</f>
        <v/>
      </c>
    </row>
    <row r="2140" ht="26" customHeight="1">
      <c r="A2140" s="2" t="n">
        <v>2139</v>
      </c>
      <c r="B2140" s="3" t="inlineStr">
        <is>
          <t>총정리 43탄</t>
        </is>
      </c>
      <c r="C2140" s="3" t="inlineStr">
        <is>
          <t>실전회화/표현</t>
        </is>
      </c>
      <c r="D2140" s="4" t="inlineStr">
        <is>
          <t>take up</t>
        </is>
      </c>
      <c r="E2140" s="11" t="inlineStr">
        <is>
          <t>(취미/새로운 활동을)~을 시작하다,배우다</t>
        </is>
      </c>
      <c r="F2140" s="11" t="inlineStr">
        <is>
          <t>I took up yoga last year.</t>
        </is>
      </c>
      <c r="G2140" s="11" t="inlineStr">
        <is>
          <t>작년에 요가를 시작했어</t>
        </is>
      </c>
      <c r="H2140" s="5">
        <f>HYPERLINK("https://www.youtube.com/watch?v=RT0XpmQr7WU", "영상 보기 ▶")</f>
        <v/>
      </c>
    </row>
    <row r="2141" ht="26" customHeight="1">
      <c r="A2141" s="6" t="n">
        <v>2140</v>
      </c>
      <c r="B2141" s="7" t="inlineStr">
        <is>
          <t>총정리 43탄</t>
        </is>
      </c>
      <c r="C2141" s="7" t="inlineStr">
        <is>
          <t>실전회화/표현</t>
        </is>
      </c>
      <c r="D2141" s="8" t="inlineStr">
        <is>
          <t>take up</t>
        </is>
      </c>
      <c r="E2141" s="12" t="inlineStr">
        <is>
          <t>(시간/공간을) 차지하다, 쓰다</t>
        </is>
      </c>
      <c r="F2141" s="12" t="inlineStr">
        <is>
          <t>I don't wanna take up too much of your time.</t>
        </is>
      </c>
      <c r="G2141" s="12" t="inlineStr">
        <is>
          <t>시간을 너무 많이 뺏고싶지 않아 이만 가볼게요/</t>
        </is>
      </c>
      <c r="H2141" s="9">
        <f>HYPERLINK("https://www.youtube.com/watch?v=RT0XpmQr7WU", "영상 보기 ▶")</f>
        <v/>
      </c>
    </row>
    <row r="2142" ht="26" customHeight="1">
      <c r="A2142" s="2" t="n">
        <v>2141</v>
      </c>
      <c r="B2142" s="3" t="inlineStr">
        <is>
          <t>총정리 43탄</t>
        </is>
      </c>
      <c r="C2142" s="3" t="inlineStr">
        <is>
          <t>실전회화/표현</t>
        </is>
      </c>
      <c r="D2142" s="4" t="inlineStr">
        <is>
          <t>You never know.</t>
        </is>
      </c>
      <c r="E2142" s="11" t="inlineStr">
        <is>
          <t>어떻게 될지 아무도 몰라/그건 모르는 일이야</t>
        </is>
      </c>
      <c r="F2142" s="11" t="inlineStr">
        <is>
          <t>You never know what's gonna happen in life.</t>
        </is>
      </c>
      <c r="G2142" s="11" t="inlineStr">
        <is>
          <t>사람 인생사가 어떻게 될지는 그 누구도 몰라</t>
        </is>
      </c>
      <c r="H2142" s="5">
        <f>HYPERLINK("https://www.youtube.com/watch?v=RT0XpmQr7WU", "영상 보기 ▶")</f>
        <v/>
      </c>
    </row>
    <row r="2143" ht="26" customHeight="1">
      <c r="A2143" s="6" t="n">
        <v>2142</v>
      </c>
      <c r="B2143" s="7" t="inlineStr">
        <is>
          <t>총정리 43탄</t>
        </is>
      </c>
      <c r="C2143" s="7" t="inlineStr">
        <is>
          <t>실전회화/표현</t>
        </is>
      </c>
      <c r="D2143" s="8" t="inlineStr">
        <is>
          <t>You get what you pay for.</t>
        </is>
      </c>
      <c r="E2143" s="12" t="inlineStr">
        <is>
          <t>원래 돈을 쓴만큼 얻는거야</t>
        </is>
      </c>
      <c r="F2143" s="12" t="inlineStr">
        <is>
          <t>You get what you pay for.</t>
        </is>
      </c>
      <c r="G2143" s="12" t="inlineStr">
        <is>
          <t>원래 돈을 쓴만큼 얻는거야</t>
        </is>
      </c>
      <c r="H2143" s="9">
        <f>HYPERLINK("https://www.youtube.com/watch?v=RT0XpmQr7WU", "영상 보기 ▶")</f>
        <v/>
      </c>
    </row>
    <row r="2144" ht="26" customHeight="1">
      <c r="A2144" s="2" t="n">
        <v>2143</v>
      </c>
      <c r="B2144" s="3" t="inlineStr">
        <is>
          <t>총정리 43탄</t>
        </is>
      </c>
      <c r="C2144" s="3" t="inlineStr">
        <is>
          <t>실전회화/표현</t>
        </is>
      </c>
      <c r="D2144" s="4" t="inlineStr">
        <is>
          <t>for a reason</t>
        </is>
      </c>
      <c r="E2144" s="11" t="inlineStr">
        <is>
          <t>(분명한) 이유가 있어서/이유로</t>
        </is>
      </c>
      <c r="F2144" s="11" t="inlineStr">
        <is>
          <t>It's cheap for a reason</t>
        </is>
      </c>
      <c r="G2144" s="11" t="inlineStr">
        <is>
          <t>다 이유가 있어서 싼거야 (싼게 비지떡)</t>
        </is>
      </c>
      <c r="H2144" s="5">
        <f>HYPERLINK("https://www.youtube.com/watch?v=RT0XpmQr7WU", "영상 보기 ▶")</f>
        <v/>
      </c>
    </row>
    <row r="2145" ht="26" customHeight="1">
      <c r="A2145" s="6" t="n">
        <v>2144</v>
      </c>
      <c r="B2145" s="7" t="inlineStr">
        <is>
          <t>총정리 43탄</t>
        </is>
      </c>
      <c r="C2145" s="7" t="inlineStr">
        <is>
          <t>실전회화/표현</t>
        </is>
      </c>
      <c r="D2145" s="8" t="inlineStr">
        <is>
          <t>for some reason</t>
        </is>
      </c>
      <c r="E2145" s="12" t="inlineStr">
        <is>
          <t>무슨 이유인지 모르겠지만/왠지 모르게</t>
        </is>
      </c>
      <c r="F2145" s="12" t="inlineStr">
        <is>
          <t>It bugged me for some reason.</t>
        </is>
      </c>
      <c r="G2145" s="12" t="inlineStr">
        <is>
          <t>왠지 모르게 거슬렸어/신경쓰였어</t>
        </is>
      </c>
      <c r="H2145" s="9">
        <f>HYPERLINK("https://www.youtube.com/watch?v=RT0XpmQr7WU", "영상 보기 ▶")</f>
        <v/>
      </c>
    </row>
    <row r="2146" ht="26" customHeight="1">
      <c r="A2146" s="2" t="n">
        <v>2145</v>
      </c>
      <c r="B2146" s="3" t="inlineStr">
        <is>
          <t>총정리 43탄</t>
        </is>
      </c>
      <c r="C2146" s="3" t="inlineStr">
        <is>
          <t>실전회화/표현</t>
        </is>
      </c>
      <c r="D2146" s="4" t="inlineStr">
        <is>
          <t>they say</t>
        </is>
      </c>
      <c r="E2146" s="11" t="inlineStr">
        <is>
          <t>사람들은 흔히 ~라고 하잖아</t>
        </is>
      </c>
      <c r="F2146" s="11" t="inlineStr">
        <is>
          <t>Well,they say time heals everything.</t>
        </is>
      </c>
      <c r="G2146" s="11" t="inlineStr">
        <is>
          <t>흔히 시간이 지나면 다 괜찮아 진다고 하잖아</t>
        </is>
      </c>
      <c r="H2146" s="5">
        <f>HYPERLINK("https://www.youtube.com/watch?v=RT0XpmQr7WU", "영상 보기 ▶")</f>
        <v/>
      </c>
    </row>
    <row r="2147" ht="26" customHeight="1">
      <c r="A2147" s="6" t="n">
        <v>2146</v>
      </c>
      <c r="B2147" s="7" t="inlineStr">
        <is>
          <t>총정리 43탄</t>
        </is>
      </c>
      <c r="C2147" s="7" t="inlineStr">
        <is>
          <t>실전회화/표현</t>
        </is>
      </c>
      <c r="D2147" s="8" t="inlineStr">
        <is>
          <t>Do you need any utensils?</t>
        </is>
      </c>
      <c r="E2147" s="12" t="inlineStr">
        <is>
          <t>레스토랑에서 테이크아웃 할때</t>
        </is>
      </c>
      <c r="F2147" s="12" t="inlineStr">
        <is>
          <t>Do you need any utensils?</t>
        </is>
      </c>
      <c r="G2147" s="12" t="inlineStr">
        <is>
          <t>레스토랑에서 테이크아웃 할때</t>
        </is>
      </c>
      <c r="H2147" s="9">
        <f>HYPERLINK("https://www.youtube.com/watch?v=RT0XpmQr7WU", "영상 보기 ▶")</f>
        <v/>
      </c>
    </row>
    <row r="2148" ht="26" customHeight="1">
      <c r="A2148" s="2" t="n">
        <v>2147</v>
      </c>
      <c r="B2148" s="3" t="inlineStr">
        <is>
          <t>총정리 43탄</t>
        </is>
      </c>
      <c r="C2148" s="3" t="inlineStr">
        <is>
          <t>실전회화/표현</t>
        </is>
      </c>
      <c r="D2148" s="4" t="inlineStr">
        <is>
          <t>condiments</t>
        </is>
      </c>
      <c r="E2148" s="11" t="inlineStr">
        <is>
          <t>조미료,양념</t>
        </is>
      </c>
      <c r="F2148" s="11" t="inlineStr">
        <is>
          <t>Do you need any condiments?</t>
        </is>
      </c>
      <c r="G2148" s="11" t="inlineStr">
        <is>
          <t>(핫소스,케첩,마요네즈,소금 등)</t>
        </is>
      </c>
      <c r="H2148" s="5">
        <f>HYPERLINK("https://www.youtube.com/watch?v=RT0XpmQr7WU", "영상 보기 ▶")</f>
        <v/>
      </c>
    </row>
    <row r="2149" ht="26" customHeight="1">
      <c r="A2149" s="6" t="n">
        <v>2148</v>
      </c>
      <c r="B2149" s="7" t="inlineStr">
        <is>
          <t>총정리 43탄</t>
        </is>
      </c>
      <c r="C2149" s="7" t="inlineStr">
        <is>
          <t>실전회화/표현</t>
        </is>
      </c>
      <c r="D2149" s="8" t="inlineStr">
        <is>
          <t>loaded</t>
        </is>
      </c>
      <c r="E2149" s="12" t="inlineStr">
        <is>
          <t>(구어체) 돈이 많은, 아주 부자인</t>
        </is>
      </c>
      <c r="F2149" s="12" t="inlineStr">
        <is>
          <t>He's loaded.</t>
        </is>
      </c>
      <c r="G2149" s="12" t="inlineStr">
        <is>
          <t>걔 완전 부자야</t>
        </is>
      </c>
      <c r="H2149" s="9">
        <f>HYPERLINK("https://www.youtube.com/watch?v=RT0XpmQr7WU", "영상 보기 ▶")</f>
        <v/>
      </c>
    </row>
    <row r="2150" ht="26" customHeight="1">
      <c r="A2150" s="2" t="n">
        <v>2149</v>
      </c>
      <c r="B2150" s="3" t="inlineStr">
        <is>
          <t>총정리 43탄</t>
        </is>
      </c>
      <c r="C2150" s="3" t="inlineStr">
        <is>
          <t>실전회화/표현</t>
        </is>
      </c>
      <c r="D2150" s="4" t="inlineStr">
        <is>
          <t>take after</t>
        </is>
      </c>
      <c r="E2150" s="11" t="inlineStr">
        <is>
          <t>(외모,성격,행동 등에서)~를 닮다</t>
        </is>
      </c>
      <c r="F2150" s="11" t="inlineStr">
        <is>
          <t>She takes after you.</t>
        </is>
      </c>
      <c r="G2150" s="11" t="inlineStr">
        <is>
          <t>딸이 너 닮았네</t>
        </is>
      </c>
      <c r="H2150" s="5">
        <f>HYPERLINK("https://www.youtube.com/watch?v=RT0XpmQr7WU", "영상 보기 ▶")</f>
        <v/>
      </c>
    </row>
    <row r="2151" ht="26" customHeight="1">
      <c r="A2151" s="6" t="n">
        <v>2150</v>
      </c>
      <c r="B2151" s="7" t="inlineStr">
        <is>
          <t>총정리 43탄</t>
        </is>
      </c>
      <c r="C2151" s="7" t="inlineStr">
        <is>
          <t>실전회화/표현</t>
        </is>
      </c>
      <c r="D2151" s="8" t="inlineStr">
        <is>
          <t>take out</t>
        </is>
      </c>
      <c r="E2151" s="12" t="inlineStr">
        <is>
          <t>~를 데리고 나가 대접하다</t>
        </is>
      </c>
      <c r="F2151" s="12" t="inlineStr">
        <is>
          <t>I'd love to take you out sometime.</t>
        </is>
      </c>
      <c r="G2151" s="12" t="inlineStr">
        <is>
          <t>(데이트 신청)언제 맛있는 거 사주고 싶어</t>
        </is>
      </c>
      <c r="H2151" s="9">
        <f>HYPERLINK("https://www.youtube.com/watch?v=RT0XpmQr7WU", "영상 보기 ▶")</f>
        <v/>
      </c>
    </row>
    <row r="2152" ht="26" customHeight="1">
      <c r="A2152" s="2" t="n">
        <v>2151</v>
      </c>
      <c r="B2152" s="3" t="inlineStr">
        <is>
          <t>총정리 44탄</t>
        </is>
      </c>
      <c r="C2152" s="3" t="inlineStr">
        <is>
          <t>공감/감정</t>
        </is>
      </c>
      <c r="D2152" s="4" t="inlineStr">
        <is>
          <t>make out</t>
        </is>
      </c>
      <c r="E2152" s="11" t="inlineStr">
        <is>
          <t>(듣거나 보거나 읽어서)알아채다, 이해하다</t>
        </is>
      </c>
      <c r="F2152" s="11" t="inlineStr">
        <is>
          <t>I can't make it out.</t>
        </is>
      </c>
      <c r="G2152" s="11" t="inlineStr">
        <is>
          <t>뭐라고 하는지 모르겠어/</t>
        </is>
      </c>
      <c r="H2152" s="5">
        <f>HYPERLINK("https://www.youtube.com/watch?v=DmMDvtKYf6U", "영상 보기 ▶")</f>
        <v/>
      </c>
    </row>
    <row r="2153" ht="26" customHeight="1">
      <c r="A2153" s="6" t="n">
        <v>2152</v>
      </c>
      <c r="B2153" s="7" t="inlineStr">
        <is>
          <t>총정리 44탄</t>
        </is>
      </c>
      <c r="C2153" s="7" t="inlineStr">
        <is>
          <t>실전회화/표현</t>
        </is>
      </c>
      <c r="D2153" s="8" t="inlineStr">
        <is>
          <t>make something up</t>
        </is>
      </c>
      <c r="E2153" s="12" t="inlineStr">
        <is>
          <t>(얘기를) 지어내다</t>
        </is>
      </c>
      <c r="F2153" s="12" t="inlineStr">
        <is>
          <t>I'm not making this up.</t>
        </is>
      </c>
      <c r="G2153" s="12" t="inlineStr">
        <is>
          <t>내가 지어낸 말이 아냐</t>
        </is>
      </c>
      <c r="H2153" s="9">
        <f>HYPERLINK("https://www.youtube.com/watch?v=DmMDvtKYf6U", "영상 보기 ▶")</f>
        <v/>
      </c>
    </row>
    <row r="2154" ht="26" customHeight="1">
      <c r="A2154" s="2" t="n">
        <v>2153</v>
      </c>
      <c r="B2154" s="3" t="inlineStr">
        <is>
          <t>총정리 44탄</t>
        </is>
      </c>
      <c r="C2154" s="3" t="inlineStr">
        <is>
          <t>실전회화/표현</t>
        </is>
      </c>
      <c r="D2154" s="4" t="inlineStr">
        <is>
          <t>I can't make it.</t>
        </is>
      </c>
      <c r="E2154" s="11" t="inlineStr">
        <is>
          <t>(약속/모임/행사에) 못 갈 것 같아, 참석하지 못하다</t>
        </is>
      </c>
      <c r="F2154" s="11" t="inlineStr">
        <is>
          <t>I'm so sorry, but I don't think I can make it tonight.</t>
        </is>
      </c>
      <c r="G2154" s="11" t="inlineStr">
        <is>
          <t>정말 미안하지만 오늘 밤 약속에는 못 갈 것 같아.</t>
        </is>
      </c>
      <c r="H2154" s="5">
        <f>HYPERLINK("https://www.youtube.com/watch?v=DmMDvtKYf6U", "영상 보기 ▶")</f>
        <v/>
      </c>
    </row>
    <row r="2155" ht="26" customHeight="1">
      <c r="A2155" s="6" t="n">
        <v>2154</v>
      </c>
      <c r="B2155" s="7" t="inlineStr">
        <is>
          <t>총정리 44탄</t>
        </is>
      </c>
      <c r="C2155" s="7" t="inlineStr">
        <is>
          <t>실전회화/표현</t>
        </is>
      </c>
      <c r="D2155" s="8" t="inlineStr">
        <is>
          <t>Don't fill up on ~</t>
        </is>
      </c>
      <c r="E2155" s="12" t="inlineStr">
        <is>
          <t>(본식을 먹어야 하니) ~로 미리 배 채우지 마</t>
        </is>
      </c>
      <c r="F2155" s="12" t="inlineStr">
        <is>
          <t>Don't fill up on bread; the steak is coming soon.</t>
        </is>
      </c>
      <c r="G2155" s="12" t="inlineStr">
        <is>
          <t>빵으로 배 채우지 마, 곧 스테이크 나올 거니까.</t>
        </is>
      </c>
      <c r="H2155" s="9">
        <f>HYPERLINK("https://www.youtube.com/watch?v=DmMDvtKYf6U", "영상 보기 ▶")</f>
        <v/>
      </c>
    </row>
    <row r="2156" ht="26" customHeight="1">
      <c r="A2156" s="2" t="n">
        <v>2155</v>
      </c>
      <c r="B2156" s="3" t="inlineStr">
        <is>
          <t>총정리 44탄</t>
        </is>
      </c>
      <c r="C2156" s="3" t="inlineStr">
        <is>
          <t>실전회화/표현</t>
        </is>
      </c>
      <c r="D2156" s="4" t="inlineStr">
        <is>
          <t>wear out</t>
        </is>
      </c>
      <c r="E2156" s="11" t="inlineStr">
        <is>
          <t>(사람을) 지치게 하다</t>
        </is>
      </c>
      <c r="F2156" s="11" t="inlineStr">
        <is>
          <t>I'm worn out.</t>
        </is>
      </c>
      <c r="G2156" s="11" t="inlineStr">
        <is>
          <t>난 지쳤어</t>
        </is>
      </c>
      <c r="H2156" s="5">
        <f>HYPERLINK("https://www.youtube.com/watch?v=DmMDvtKYf6U", "영상 보기 ▶")</f>
        <v/>
      </c>
    </row>
    <row r="2157" ht="26" customHeight="1">
      <c r="A2157" s="6" t="n">
        <v>2156</v>
      </c>
      <c r="B2157" s="7" t="inlineStr">
        <is>
          <t>총정리 44탄</t>
        </is>
      </c>
      <c r="C2157" s="7" t="inlineStr">
        <is>
          <t>실전회화/표현</t>
        </is>
      </c>
      <c r="D2157" s="8" t="inlineStr">
        <is>
          <t>I was taken aback.</t>
        </is>
      </c>
      <c r="E2157" s="12" t="inlineStr">
        <is>
          <t>(너무 뜻밖이어서) 몹시 당황했어, 충격받았어</t>
        </is>
      </c>
      <c r="F2157" s="12" t="inlineStr">
        <is>
          <t>I was taken aback by how expensive the tickets were.</t>
        </is>
      </c>
      <c r="G2157" s="12" t="inlineStr">
        <is>
          <t>티켓 가격이 너무 비싸서 정말 깜짝 놀라고 당황했어.</t>
        </is>
      </c>
      <c r="H2157" s="9">
        <f>HYPERLINK("https://www.youtube.com/watch?v=DmMDvtKYf6U", "영상 보기 ▶")</f>
        <v/>
      </c>
    </row>
    <row r="2158" ht="26" customHeight="1">
      <c r="A2158" s="2" t="n">
        <v>2157</v>
      </c>
      <c r="B2158" s="3" t="inlineStr">
        <is>
          <t>총정리 44탄</t>
        </is>
      </c>
      <c r="C2158" s="3" t="inlineStr">
        <is>
          <t>실전회화/표현</t>
        </is>
      </c>
      <c r="D2158" s="4" t="inlineStr">
        <is>
          <t>off-limits</t>
        </is>
      </c>
      <c r="E2158" s="11" t="inlineStr">
        <is>
          <t>출입/사용/논의 금지의</t>
        </is>
      </c>
      <c r="F2158" s="11" t="inlineStr">
        <is>
          <t>It's off-limits.</t>
        </is>
      </c>
      <c r="G2158" s="11" t="inlineStr">
        <is>
          <t>거긴 가면 안돼/그건 손대면 안돼/그 얘긴 하면 안돼</t>
        </is>
      </c>
      <c r="H2158" s="5">
        <f>HYPERLINK("https://www.youtube.com/watch?v=DmMDvtKYf6U", "영상 보기 ▶")</f>
        <v/>
      </c>
    </row>
    <row r="2159" ht="26" customHeight="1">
      <c r="A2159" s="6" t="n">
        <v>2158</v>
      </c>
      <c r="B2159" s="7" t="inlineStr">
        <is>
          <t>총정리 44탄</t>
        </is>
      </c>
      <c r="C2159" s="7" t="inlineStr">
        <is>
          <t>실전회화/표현</t>
        </is>
      </c>
      <c r="D2159" s="8" t="inlineStr">
        <is>
          <t>come down to</t>
        </is>
      </c>
      <c r="E2159" s="12" t="inlineStr">
        <is>
          <t>결국 ~로 귀결되다/결국 ~에 달려있다</t>
        </is>
      </c>
      <c r="F2159" s="12" t="inlineStr">
        <is>
          <t>It all comes down to money.</t>
        </is>
      </c>
      <c r="G2159" s="12" t="inlineStr">
        <is>
          <t>결국 모든건 돈문제로 귀결돼/결국 중요한건 돈이야</t>
        </is>
      </c>
      <c r="H2159" s="9">
        <f>HYPERLINK("https://www.youtube.com/watch?v=DmMDvtKYf6U", "영상 보기 ▶")</f>
        <v/>
      </c>
    </row>
    <row r="2160" ht="26" customHeight="1">
      <c r="A2160" s="2" t="n">
        <v>2159</v>
      </c>
      <c r="B2160" s="3" t="inlineStr">
        <is>
          <t>총정리 44탄</t>
        </is>
      </c>
      <c r="C2160" s="3" t="inlineStr">
        <is>
          <t>실전회화/표현</t>
        </is>
      </c>
      <c r="D2160" s="4" t="inlineStr">
        <is>
          <t>come down with</t>
        </is>
      </c>
      <c r="E2160" s="11" t="inlineStr">
        <is>
          <t>(감기,독감등)~에 걸리다</t>
        </is>
      </c>
      <c r="F2160" s="11" t="inlineStr">
        <is>
          <t>I think I'm coming down with a cold.</t>
        </is>
      </c>
      <c r="G2160" s="11" t="inlineStr">
        <is>
          <t>나 감기 기운이 있는것 같아</t>
        </is>
      </c>
      <c r="H2160" s="5">
        <f>HYPERLINK("https://www.youtube.com/watch?v=DmMDvtKYf6U", "영상 보기 ▶")</f>
        <v/>
      </c>
    </row>
    <row r="2161" ht="26" customHeight="1">
      <c r="A2161" s="6" t="n">
        <v>2160</v>
      </c>
      <c r="B2161" s="7" t="inlineStr">
        <is>
          <t>총정리 44탄</t>
        </is>
      </c>
      <c r="C2161" s="7" t="inlineStr">
        <is>
          <t>실전회화/표현</t>
        </is>
      </c>
      <c r="D2161" s="8" t="inlineStr">
        <is>
          <t>outgrow</t>
        </is>
      </c>
      <c r="E2161" s="12" t="inlineStr">
        <is>
          <t>(나이가 들며)~에 흥미를 잃다/~를 그만두다/</t>
        </is>
      </c>
      <c r="F2161" s="12" t="inlineStr">
        <is>
          <t>I outgrew golf.</t>
        </is>
      </c>
      <c r="G2161" s="12" t="inlineStr">
        <is>
          <t>예전엔 골프 좋아했는데 지금은 별로야</t>
        </is>
      </c>
      <c r="H2161" s="9">
        <f>HYPERLINK("https://www.youtube.com/watch?v=DmMDvtKYf6U", "영상 보기 ▶")</f>
        <v/>
      </c>
    </row>
    <row r="2162" ht="26" customHeight="1">
      <c r="A2162" s="2" t="n">
        <v>2161</v>
      </c>
      <c r="B2162" s="3" t="inlineStr">
        <is>
          <t>총정리 44탄</t>
        </is>
      </c>
      <c r="C2162" s="3" t="inlineStr">
        <is>
          <t>실전회화/표현</t>
        </is>
      </c>
      <c r="D2162" s="4" t="inlineStr">
        <is>
          <t>come along</t>
        </is>
      </c>
      <c r="E2162" s="11" t="inlineStr">
        <is>
          <t>같이 오다/가다</t>
        </is>
      </c>
      <c r="F2162" s="11" t="inlineStr">
        <is>
          <t>Do you wanna come along?</t>
        </is>
      </c>
      <c r="G2162" s="11" t="inlineStr">
        <is>
          <t>같이 갈래?</t>
        </is>
      </c>
      <c r="H2162" s="5">
        <f>HYPERLINK("https://www.youtube.com/watch?v=DmMDvtKYf6U", "영상 보기 ▶")</f>
        <v/>
      </c>
    </row>
    <row r="2163" ht="26" customHeight="1">
      <c r="A2163" s="6" t="n">
        <v>2162</v>
      </c>
      <c r="B2163" s="7" t="inlineStr">
        <is>
          <t>총정리 44탄</t>
        </is>
      </c>
      <c r="C2163" s="7" t="inlineStr">
        <is>
          <t>실전회화/표현</t>
        </is>
      </c>
      <c r="D2163" s="8" t="inlineStr">
        <is>
          <t>come along</t>
        </is>
      </c>
      <c r="E2163" s="12" t="inlineStr">
        <is>
          <t>(특히 좋은 사람이나 기회가) 생기다/나타나다</t>
        </is>
      </c>
      <c r="F2163" s="12" t="inlineStr">
        <is>
          <t>You should reconsider.</t>
        </is>
      </c>
      <c r="G2163" s="12" t="inlineStr">
        <is>
          <t>Opportunities like this don't come along every day. 재고해보는게 좋겠다.</t>
        </is>
      </c>
      <c r="H2163" s="9">
        <f>HYPERLINK("https://www.youtube.com/watch?v=DmMDvtKYf6U", "영상 보기 ▶")</f>
        <v/>
      </c>
    </row>
    <row r="2164" ht="26" customHeight="1">
      <c r="A2164" s="2" t="n">
        <v>2163</v>
      </c>
      <c r="B2164" s="3" t="inlineStr">
        <is>
          <t>총정리 44탄</t>
        </is>
      </c>
      <c r="C2164" s="3" t="inlineStr">
        <is>
          <t>실전회화/표현</t>
        </is>
      </c>
      <c r="D2164" s="4" t="inlineStr">
        <is>
          <t>come along</t>
        </is>
      </c>
      <c r="E2164" s="11" t="inlineStr">
        <is>
          <t>일이 진행되다/상황을 발전하다</t>
        </is>
      </c>
      <c r="F2164" s="11" t="inlineStr">
        <is>
          <t>How's the project coming along?</t>
        </is>
      </c>
      <c r="G2164" s="11" t="inlineStr">
        <is>
          <t>프로젝트는 어떻게 진행되고 있어/잘 완성되고 있어</t>
        </is>
      </c>
      <c r="H2164" s="5">
        <f>HYPERLINK("https://www.youtube.com/watch?v=DmMDvtKYf6U", "영상 보기 ▶")</f>
        <v/>
      </c>
    </row>
    <row r="2165" ht="26" customHeight="1">
      <c r="A2165" s="6" t="n">
        <v>2164</v>
      </c>
      <c r="B2165" s="7" t="inlineStr">
        <is>
          <t>총정리 44탄</t>
        </is>
      </c>
      <c r="C2165" s="7" t="inlineStr">
        <is>
          <t>실전회화/표현</t>
        </is>
      </c>
      <c r="D2165" s="8" t="inlineStr">
        <is>
          <t>rub</t>
        </is>
      </c>
      <c r="E2165" s="12" t="inlineStr">
        <is>
          <t>사람 the wrong way</t>
        </is>
      </c>
      <c r="F2165" s="12" t="inlineStr">
        <is>
          <t>He always rubs me the wrong way.</t>
        </is>
      </c>
      <c r="G2165" s="12" t="inlineStr">
        <is>
          <t>걘 늘 날 짜증나게 해/불편하게 해</t>
        </is>
      </c>
      <c r="H2165" s="9">
        <f>HYPERLINK("https://www.youtube.com/watch?v=DmMDvtKYf6U", "영상 보기 ▶")</f>
        <v/>
      </c>
    </row>
    <row r="2166" ht="26" customHeight="1">
      <c r="A2166" s="2" t="n">
        <v>2165</v>
      </c>
      <c r="B2166" s="3" t="inlineStr">
        <is>
          <t>총정리 44탄</t>
        </is>
      </c>
      <c r="C2166" s="3" t="inlineStr">
        <is>
          <t>실전회화/표현</t>
        </is>
      </c>
      <c r="D2166" s="4" t="inlineStr">
        <is>
          <t>underwhelmed</t>
        </is>
      </c>
      <c r="E2166" s="11" t="inlineStr">
        <is>
          <t>아무 감흥/감동도 없는,(기대에 못미쳐)실망한</t>
        </is>
      </c>
      <c r="F2166" s="11" t="inlineStr">
        <is>
          <t>I hate to say this,but I'm underwhelmed.</t>
        </is>
      </c>
      <c r="G2166" s="11" t="inlineStr">
        <is>
          <t>이런말 하고싶지 않은데 기대보다 별로야</t>
        </is>
      </c>
      <c r="H2166" s="5">
        <f>HYPERLINK("https://www.youtube.com/watch?v=DmMDvtKYf6U", "영상 보기 ▶")</f>
        <v/>
      </c>
    </row>
    <row r="2167" ht="26" customHeight="1">
      <c r="A2167" s="6" t="n">
        <v>2166</v>
      </c>
      <c r="B2167" s="7" t="inlineStr">
        <is>
          <t>총정리 44탄</t>
        </is>
      </c>
      <c r="C2167" s="7" t="inlineStr">
        <is>
          <t>실전회화/표현</t>
        </is>
      </c>
      <c r="D2167" s="8" t="inlineStr">
        <is>
          <t>overwhelmed</t>
        </is>
      </c>
      <c r="E2167" s="12" t="inlineStr">
        <is>
          <t>벅찬</t>
        </is>
      </c>
      <c r="F2167" s="12" t="inlineStr">
        <is>
          <t>You seem a bit overwhelmed.</t>
        </is>
      </c>
      <c r="G2167" s="12" t="inlineStr">
        <is>
          <t>좀 정신없어 힘들어 보이는데 내가 도와줄까?</t>
        </is>
      </c>
      <c r="H2167" s="9">
        <f>HYPERLINK("https://www.youtube.com/watch?v=DmMDvtKYf6U", "영상 보기 ▶")</f>
        <v/>
      </c>
    </row>
    <row r="2168" ht="26" customHeight="1">
      <c r="A2168" s="2" t="n">
        <v>2167</v>
      </c>
      <c r="B2168" s="3" t="inlineStr">
        <is>
          <t>총정리 44탄</t>
        </is>
      </c>
      <c r="C2168" s="3" t="inlineStr">
        <is>
          <t>실전회화/표현</t>
        </is>
      </c>
      <c r="D2168" s="4" t="inlineStr">
        <is>
          <t>go by</t>
        </is>
      </c>
      <c r="E2168" s="11" t="inlineStr">
        <is>
          <t>지나가다</t>
        </is>
      </c>
      <c r="F2168" s="11" t="inlineStr">
        <is>
          <t>Time goes by so fast.</t>
        </is>
      </c>
      <c r="G2168" s="11" t="inlineStr">
        <is>
          <t>시간이 정말 빨리 가네</t>
        </is>
      </c>
      <c r="H2168" s="5">
        <f>HYPERLINK("https://www.youtube.com/watch?v=DmMDvtKYf6U", "영상 보기 ▶")</f>
        <v/>
      </c>
    </row>
    <row r="2169" ht="26" customHeight="1">
      <c r="A2169" s="6" t="n">
        <v>2168</v>
      </c>
      <c r="B2169" s="7" t="inlineStr">
        <is>
          <t>총정리 44탄</t>
        </is>
      </c>
      <c r="C2169" s="7" t="inlineStr">
        <is>
          <t>실전회화/표현</t>
        </is>
      </c>
      <c r="D2169" s="8" t="inlineStr">
        <is>
          <t>go by</t>
        </is>
      </c>
      <c r="E2169" s="12" t="inlineStr">
        <is>
          <t>~를 따르다/기준으로 삼다</t>
        </is>
      </c>
      <c r="F2169" s="12" t="inlineStr">
        <is>
          <t>My name is Elizabeth,and I go by Liz.</t>
        </is>
      </c>
      <c r="G2169" s="12" t="inlineStr">
        <is>
          <t>원래 이름은 Elizabeth인데 Liz로 불러주세요</t>
        </is>
      </c>
      <c r="H2169" s="9">
        <f>HYPERLINK("https://www.youtube.com/watch?v=DmMDvtKYf6U", "영상 보기 ▶")</f>
        <v/>
      </c>
    </row>
    <row r="2170" ht="26" customHeight="1">
      <c r="A2170" s="2" t="n">
        <v>2169</v>
      </c>
      <c r="B2170" s="3" t="inlineStr">
        <is>
          <t>총정리 44탄</t>
        </is>
      </c>
      <c r="C2170" s="3" t="inlineStr">
        <is>
          <t>실전회화/표현</t>
        </is>
      </c>
      <c r="D2170" s="4" t="inlineStr">
        <is>
          <t>I'm guilty of that.</t>
        </is>
      </c>
      <c r="E2170" s="11" t="inlineStr">
        <is>
          <t>나도 그래/나도 그런적 있어/나도 그런 편이야</t>
        </is>
      </c>
      <c r="F2170" s="11" t="inlineStr">
        <is>
          <t>A:Sorry,I talk too fast sometimes.</t>
        </is>
      </c>
      <c r="G2170" s="11" t="inlineStr">
        <is>
          <t>제가 때론 말이 너무 빨라서 죄송해요</t>
        </is>
      </c>
      <c r="H2170" s="5">
        <f>HYPERLINK("https://www.youtube.com/watch?v=DmMDvtKYf6U", "영상 보기 ▶")</f>
        <v/>
      </c>
    </row>
    <row r="2171" ht="26" customHeight="1">
      <c r="A2171" s="6" t="n">
        <v>2170</v>
      </c>
      <c r="B2171" s="7" t="inlineStr">
        <is>
          <t>총정리 44탄</t>
        </is>
      </c>
      <c r="C2171" s="7" t="inlineStr">
        <is>
          <t>실전회화/표현</t>
        </is>
      </c>
      <c r="D2171" s="8" t="inlineStr">
        <is>
          <t>go about</t>
        </is>
      </c>
      <c r="E2171" s="12" t="inlineStr">
        <is>
          <t>~을 해나가다, 처리하다</t>
        </is>
      </c>
      <c r="F2171" s="12" t="inlineStr">
        <is>
          <t>How should we go about this situation?</t>
        </is>
      </c>
      <c r="G2171" s="12" t="inlineStr">
        <is>
          <t>이 상황을 어떻게 접근해야 될까?</t>
        </is>
      </c>
      <c r="H2171" s="9">
        <f>HYPERLINK("https://www.youtube.com/watch?v=DmMDvtKYf6U", "영상 보기 ▶")</f>
        <v/>
      </c>
    </row>
    <row r="2172" ht="26" customHeight="1">
      <c r="A2172" s="2" t="n">
        <v>2171</v>
      </c>
      <c r="B2172" s="3" t="inlineStr">
        <is>
          <t>총정리 44탄</t>
        </is>
      </c>
      <c r="C2172" s="3" t="inlineStr">
        <is>
          <t>실전회화/표현</t>
        </is>
      </c>
      <c r="D2172" s="4" t="inlineStr">
        <is>
          <t>fly</t>
        </is>
      </c>
      <c r="E2172" s="11" t="inlineStr">
        <is>
          <t>(계획이) 성공하다, 받아들여지다</t>
        </is>
      </c>
      <c r="F2172" s="11" t="inlineStr">
        <is>
          <t>That's not gonna fly.</t>
        </is>
      </c>
      <c r="G2172" s="11" t="inlineStr">
        <is>
          <t>그건 성공하지/먹혀들지/받아들여지지/통하지 않을거야</t>
        </is>
      </c>
      <c r="H2172" s="5">
        <f>HYPERLINK("https://www.youtube.com/watch?v=DmMDvtKYf6U", "영상 보기 ▶")</f>
        <v/>
      </c>
    </row>
    <row r="2173" ht="26" customHeight="1">
      <c r="A2173" s="6" t="n">
        <v>2172</v>
      </c>
      <c r="B2173" s="7" t="inlineStr">
        <is>
          <t>총정리 44탄</t>
        </is>
      </c>
      <c r="C2173" s="7" t="inlineStr">
        <is>
          <t>실전회화/표현</t>
        </is>
      </c>
      <c r="D2173" s="8" t="inlineStr">
        <is>
          <t>kick in</t>
        </is>
      </c>
      <c r="E2173" s="12" t="inlineStr">
        <is>
          <t>효과가 나타나기 시재하다/본격적으로 느껴지기 시작하다</t>
        </is>
      </c>
      <c r="F2173" s="12" t="inlineStr">
        <is>
          <t>The fatigue's kicking in.</t>
        </is>
      </c>
      <c r="G2173" s="12" t="inlineStr">
        <is>
          <t>이제 피로가 몰려오네</t>
        </is>
      </c>
      <c r="H2173" s="9">
        <f>HYPERLINK("https://www.youtube.com/watch?v=DmMDvtKYf6U", "영상 보기 ▶")</f>
        <v/>
      </c>
    </row>
    <row r="2174" ht="26" customHeight="1">
      <c r="A2174" s="2" t="n">
        <v>2173</v>
      </c>
      <c r="B2174" s="3" t="inlineStr">
        <is>
          <t>총정리 44탄</t>
        </is>
      </c>
      <c r="C2174" s="3" t="inlineStr">
        <is>
          <t>실전회화/표현</t>
        </is>
      </c>
      <c r="D2174" s="4" t="inlineStr">
        <is>
          <t>live up to expectations</t>
        </is>
      </c>
      <c r="E2174" s="11" t="inlineStr">
        <is>
          <t>기대에 부응하다</t>
        </is>
      </c>
      <c r="F2174" s="11" t="inlineStr">
        <is>
          <t>I hope it lives up to your expectations.</t>
        </is>
      </c>
      <c r="G2174" s="11" t="inlineStr">
        <is>
          <t>기대에 부응하면 좋겠네요</t>
        </is>
      </c>
      <c r="H2174" s="5">
        <f>HYPERLINK("https://www.youtube.com/watch?v=DmMDvtKYf6U", "영상 보기 ▶")</f>
        <v/>
      </c>
    </row>
    <row r="2175" ht="26" customHeight="1">
      <c r="A2175" s="6" t="n">
        <v>2174</v>
      </c>
      <c r="B2175" s="7" t="inlineStr">
        <is>
          <t>총정리 44탄</t>
        </is>
      </c>
      <c r="C2175" s="7" t="inlineStr">
        <is>
          <t>실전회화/표현</t>
        </is>
      </c>
      <c r="D2175" s="8" t="inlineStr">
        <is>
          <t>strategize</t>
        </is>
      </c>
      <c r="E2175" s="12" t="inlineStr">
        <is>
          <t>전략을 짜다</t>
        </is>
      </c>
      <c r="F2175" s="12" t="inlineStr">
        <is>
          <t>We can't afford any mistakes.</t>
        </is>
      </c>
      <c r="G2175" s="12" t="inlineStr">
        <is>
          <t>실수할 여유 없으니 전략을 잘 짜보자</t>
        </is>
      </c>
      <c r="H2175" s="9">
        <f>HYPERLINK("https://www.youtube.com/watch?v=DmMDvtKYf6U", "영상 보기 ▶")</f>
        <v/>
      </c>
    </row>
    <row r="2176" ht="26" customHeight="1">
      <c r="A2176" s="2" t="n">
        <v>2175</v>
      </c>
      <c r="B2176" s="3" t="inlineStr">
        <is>
          <t>총정리 44탄</t>
        </is>
      </c>
      <c r="C2176" s="3" t="inlineStr">
        <is>
          <t>실전회화/표현</t>
        </is>
      </c>
      <c r="D2176" s="4" t="inlineStr">
        <is>
          <t>reimburse</t>
        </is>
      </c>
      <c r="E2176" s="11" t="inlineStr">
        <is>
          <t>환급하다</t>
        </is>
      </c>
      <c r="F2176" s="11" t="inlineStr">
        <is>
          <t>I need a receipt to get reimbursed.</t>
        </is>
      </c>
      <c r="G2176" s="11" t="inlineStr">
        <is>
          <t>환급받으려면/경비 처리하려면 영수증이 필요해</t>
        </is>
      </c>
      <c r="H2176" s="5">
        <f>HYPERLINK("https://www.youtube.com/watch?v=DmMDvtKYf6U", "영상 보기 ▶")</f>
        <v/>
      </c>
    </row>
    <row r="2177" ht="26" customHeight="1">
      <c r="A2177" s="6" t="n">
        <v>2176</v>
      </c>
      <c r="B2177" s="7" t="inlineStr">
        <is>
          <t>총정리 44탄</t>
        </is>
      </c>
      <c r="C2177" s="7" t="inlineStr">
        <is>
          <t>실전회화/표현</t>
        </is>
      </c>
      <c r="D2177" s="8" t="inlineStr">
        <is>
          <t>ecstatic</t>
        </is>
      </c>
      <c r="E2177" s="12" t="inlineStr">
        <is>
          <t>황홀한, 정말 기쁜/신나는</t>
        </is>
      </c>
      <c r="F2177" s="12" t="inlineStr">
        <is>
          <t>I'm ecstatic.</t>
        </is>
      </c>
      <c r="G2177" s="12" t="inlineStr">
        <is>
          <t>정말 기뻐/기분 좋다</t>
        </is>
      </c>
      <c r="H2177" s="9">
        <f>HYPERLINK("https://www.youtube.com/watch?v=DmMDvtKYf6U", "영상 보기 ▶")</f>
        <v/>
      </c>
    </row>
    <row r="2178" ht="26" customHeight="1">
      <c r="A2178" s="2" t="n">
        <v>2177</v>
      </c>
      <c r="B2178" s="3" t="inlineStr">
        <is>
          <t>총정리 44탄</t>
        </is>
      </c>
      <c r="C2178" s="3" t="inlineStr">
        <is>
          <t>실전회화/표현</t>
        </is>
      </c>
      <c r="D2178" s="4" t="inlineStr">
        <is>
          <t>You outdid yourself.</t>
        </is>
      </c>
      <c r="E2178" s="11" t="inlineStr">
        <is>
          <t>(평소보다 훨씬 잘했을때)</t>
        </is>
      </c>
      <c r="F2178" s="11" t="inlineStr">
        <is>
          <t>You outdid yourself.</t>
        </is>
      </c>
      <c r="G2178" s="11" t="inlineStr">
        <is>
          <t>(평소보다 훨씬 잘했을때)</t>
        </is>
      </c>
      <c r="H2178" s="5">
        <f>HYPERLINK("https://www.youtube.com/watch?v=DmMDvtKYf6U", "영상 보기 ▶")</f>
        <v/>
      </c>
    </row>
    <row r="2179" ht="26" customHeight="1">
      <c r="A2179" s="6" t="n">
        <v>2178</v>
      </c>
      <c r="B2179" s="7" t="inlineStr">
        <is>
          <t>총정리 44탄</t>
        </is>
      </c>
      <c r="C2179" s="7" t="inlineStr">
        <is>
          <t>공감/감정</t>
        </is>
      </c>
      <c r="D2179" s="8" t="inlineStr">
        <is>
          <t>That makes sense.</t>
        </is>
      </c>
      <c r="E2179" s="12" t="inlineStr">
        <is>
          <t>아, 그러네/말 되네/이해돼</t>
        </is>
      </c>
      <c r="F2179" s="12" t="inlineStr">
        <is>
          <t>That makes sense.</t>
        </is>
      </c>
      <c r="G2179" s="12" t="inlineStr">
        <is>
          <t>아, 그러네/말 되네/이해돼</t>
        </is>
      </c>
      <c r="H2179" s="9">
        <f>HYPERLINK("https://www.youtube.com/watch?v=DmMDvtKYf6U", "영상 보기 ▶")</f>
        <v/>
      </c>
    </row>
    <row r="2180" ht="26" customHeight="1">
      <c r="A2180" s="2" t="n">
        <v>2179</v>
      </c>
      <c r="B2180" s="3" t="inlineStr">
        <is>
          <t>총정리 44탄</t>
        </is>
      </c>
      <c r="C2180" s="3" t="inlineStr">
        <is>
          <t>실전회화/표현</t>
        </is>
      </c>
      <c r="D2180" s="4" t="inlineStr">
        <is>
          <t>hype</t>
        </is>
      </c>
      <c r="E2180" s="11" t="inlineStr">
        <is>
          <t>큰 기대감/관심</t>
        </is>
      </c>
      <c r="F2180" s="11" t="inlineStr">
        <is>
          <t>It lives up to the hype.</t>
        </is>
      </c>
      <c r="G2180" s="11" t="inlineStr">
        <is>
          <t>사람들이 얘기하는 것먀큼 좋더라/기대할만하더라</t>
        </is>
      </c>
      <c r="H2180" s="5">
        <f>HYPERLINK("https://www.youtube.com/watch?v=DmMDvtKYf6U", "영상 보기 ▶")</f>
        <v/>
      </c>
    </row>
    <row r="2181" ht="26" customHeight="1">
      <c r="A2181" s="6" t="n">
        <v>2180</v>
      </c>
      <c r="B2181" s="7" t="inlineStr">
        <is>
          <t>총정리 44탄</t>
        </is>
      </c>
      <c r="C2181" s="7" t="inlineStr">
        <is>
          <t>실전회화/표현</t>
        </is>
      </c>
      <c r="D2181" s="8" t="inlineStr">
        <is>
          <t>At first</t>
        </is>
      </c>
      <c r="E2181" s="12" t="inlineStr">
        <is>
          <t>처음에는,처음엔</t>
        </is>
      </c>
      <c r="F2181" s="12" t="inlineStr">
        <is>
          <t>I didn't recognize you at first.</t>
        </is>
      </c>
      <c r="G2181" s="12" t="inlineStr">
        <is>
          <t>처음엔 못 알아봤어/누군가 했어</t>
        </is>
      </c>
      <c r="H2181" s="9">
        <f>HYPERLINK("https://www.youtube.com/watch?v=DmMDvtKYf6U", "영상 보기 ▶")</f>
        <v/>
      </c>
    </row>
    <row r="2182" ht="26" customHeight="1">
      <c r="A2182" s="2" t="n">
        <v>2181</v>
      </c>
      <c r="B2182" s="3" t="inlineStr">
        <is>
          <t>총정리 44탄</t>
        </is>
      </c>
      <c r="C2182" s="3" t="inlineStr">
        <is>
          <t>실전회화/표현</t>
        </is>
      </c>
      <c r="D2182" s="4" t="inlineStr">
        <is>
          <t>First things first</t>
        </is>
      </c>
      <c r="E2182" s="11" t="inlineStr">
        <is>
          <t>(캐쥬얼한 구어체) 가장 중요한것부터 먼저</t>
        </is>
      </c>
      <c r="F2182" s="11" t="inlineStr">
        <is>
          <t>First things first,we need to get his approval.</t>
        </is>
      </c>
      <c r="G2182" s="11" t="inlineStr">
        <is>
          <t>먼저 그의 승인부터 받아야 돼</t>
        </is>
      </c>
      <c r="H2182" s="5">
        <f>HYPERLINK("https://www.youtube.com/watch?v=DmMDvtKYf6U", "영상 보기 ▶")</f>
        <v/>
      </c>
    </row>
    <row r="2183" ht="26" customHeight="1">
      <c r="A2183" s="6" t="n">
        <v>2182</v>
      </c>
      <c r="B2183" s="7" t="inlineStr">
        <is>
          <t>총정리 44탄</t>
        </is>
      </c>
      <c r="C2183" s="7" t="inlineStr">
        <is>
          <t>실전회화/표현</t>
        </is>
      </c>
      <c r="D2183" s="8" t="inlineStr">
        <is>
          <t>First come,first served.</t>
        </is>
      </c>
      <c r="E2183" s="12" t="inlineStr">
        <is>
          <t>선착순</t>
        </is>
      </c>
      <c r="F2183" s="12" t="inlineStr">
        <is>
          <t>A:Can I make a reservation?</t>
        </is>
      </c>
      <c r="G2183" s="12" t="inlineStr">
        <is>
          <t>예약할수 있을까요</t>
        </is>
      </c>
      <c r="H2183" s="9">
        <f>HYPERLINK("https://www.youtube.com/watch?v=DmMDvtKYf6U", "영상 보기 ▶")</f>
        <v/>
      </c>
    </row>
    <row r="2184" ht="26" customHeight="1">
      <c r="A2184" s="2" t="n">
        <v>2183</v>
      </c>
      <c r="B2184" s="3" t="inlineStr">
        <is>
          <t>총정리 44탄</t>
        </is>
      </c>
      <c r="C2184" s="3" t="inlineStr">
        <is>
          <t>실전회화/표현</t>
        </is>
      </c>
      <c r="D2184" s="4" t="inlineStr">
        <is>
          <t>take a toll</t>
        </is>
      </c>
      <c r="E2184" s="11" t="inlineStr">
        <is>
          <t>~에 타격을 주다/안좋은 영향을 미치다</t>
        </is>
      </c>
      <c r="F2184" s="11" t="inlineStr">
        <is>
          <t>It'll take a toll on your health.</t>
        </is>
      </c>
      <c r="G2184" s="11" t="inlineStr">
        <is>
          <t>건강에 안 좋을거야</t>
        </is>
      </c>
      <c r="H2184" s="5">
        <f>HYPERLINK("https://www.youtube.com/watch?v=DmMDvtKYf6U", "영상 보기 ▶")</f>
        <v/>
      </c>
    </row>
    <row r="2185" ht="26" customHeight="1">
      <c r="A2185" s="6" t="n">
        <v>2184</v>
      </c>
      <c r="B2185" s="7" t="inlineStr">
        <is>
          <t>총정리 44탄</t>
        </is>
      </c>
      <c r="C2185" s="7" t="inlineStr">
        <is>
          <t>실전회화/표현</t>
        </is>
      </c>
      <c r="D2185" s="8" t="inlineStr">
        <is>
          <t>take a hit</t>
        </is>
      </c>
      <c r="E2185" s="12" t="inlineStr">
        <is>
          <t>타격을 입다,손해를 보다</t>
        </is>
      </c>
      <c r="F2185" s="12" t="inlineStr">
        <is>
          <t>Our sales took a hit last quarter.</t>
        </is>
      </c>
      <c r="G2185" s="12" t="inlineStr">
        <is>
          <t>지난 분기 매출이 타격을 받았어</t>
        </is>
      </c>
      <c r="H2185" s="9">
        <f>HYPERLINK("https://www.youtube.com/watch?v=DmMDvtKYf6U", "영상 보기 ▶")</f>
        <v/>
      </c>
    </row>
    <row r="2186" ht="26" customHeight="1">
      <c r="A2186" s="2" t="n">
        <v>2185</v>
      </c>
      <c r="B2186" s="3" t="inlineStr">
        <is>
          <t>총정리 44탄</t>
        </is>
      </c>
      <c r="C2186" s="3" t="inlineStr">
        <is>
          <t>대화/인간관계</t>
        </is>
      </c>
      <c r="D2186" s="4" t="inlineStr">
        <is>
          <t>What's your word for next year?</t>
        </is>
      </c>
      <c r="E2186" s="11" t="inlineStr">
        <is>
          <t>연말 스몰토크로 좋은</t>
        </is>
      </c>
      <c r="F2186" s="11" t="inlineStr">
        <is>
          <t>My word is happiness/health/family/growth.</t>
        </is>
      </c>
      <c r="G2186" s="11" t="inlineStr">
        <is>
          <t>내년의 키워드는 뭐야?</t>
        </is>
      </c>
      <c r="H2186" s="5">
        <f>HYPERLINK("https://www.youtube.com/watch?v=DmMDvtKYf6U", "영상 보기 ▶")</f>
        <v/>
      </c>
    </row>
    <row r="2187" ht="26" customHeight="1">
      <c r="A2187" s="6" t="n">
        <v>2186</v>
      </c>
      <c r="B2187" s="7" t="inlineStr">
        <is>
          <t>총정리 44탄</t>
        </is>
      </c>
      <c r="C2187" s="7" t="inlineStr">
        <is>
          <t>실전회화/표현</t>
        </is>
      </c>
      <c r="D2187" s="8" t="inlineStr">
        <is>
          <t>priority</t>
        </is>
      </c>
      <c r="E2187" s="12" t="inlineStr">
        <is>
          <t>우선순위</t>
        </is>
      </c>
      <c r="F2187" s="12" t="inlineStr">
        <is>
          <t>I'll make it my first priority.</t>
        </is>
      </c>
      <c r="G2187" s="12" t="inlineStr">
        <is>
          <t>내가 우선순위 1순위로 두고 처리할테니 걱정마</t>
        </is>
      </c>
      <c r="H2187" s="9">
        <f>HYPERLINK("https://www.youtube.com/watch?v=DmMDvtKYf6U", "영상 보기 ▶")</f>
        <v/>
      </c>
    </row>
    <row r="2188" ht="26" customHeight="1">
      <c r="A2188" s="2" t="n">
        <v>2187</v>
      </c>
      <c r="B2188" s="3" t="inlineStr">
        <is>
          <t>총정리 44탄</t>
        </is>
      </c>
      <c r="C2188" s="3" t="inlineStr">
        <is>
          <t>실전회화/표현</t>
        </is>
      </c>
      <c r="D2188" s="4" t="inlineStr">
        <is>
          <t>waive</t>
        </is>
      </c>
      <c r="E2188" s="11" t="inlineStr">
        <is>
          <t>면제하다</t>
        </is>
      </c>
      <c r="F2188" s="11" t="inlineStr">
        <is>
          <t>We'll waive the fee this time.</t>
        </is>
      </c>
      <c r="G2188" s="11" t="inlineStr">
        <is>
          <t>이번엔 수수료를 면제해 드릴께요</t>
        </is>
      </c>
      <c r="H2188" s="5">
        <f>HYPERLINK("https://www.youtube.com/watch?v=DmMDvtKYf6U", "영상 보기 ▶")</f>
        <v/>
      </c>
    </row>
    <row r="2189" ht="26" customHeight="1">
      <c r="A2189" s="6" t="n">
        <v>2188</v>
      </c>
      <c r="B2189" s="7" t="inlineStr">
        <is>
          <t>총정리 44탄</t>
        </is>
      </c>
      <c r="C2189" s="7" t="inlineStr">
        <is>
          <t>실전회화/표현</t>
        </is>
      </c>
      <c r="D2189" s="8" t="inlineStr">
        <is>
          <t>Allow me to +</t>
        </is>
      </c>
      <c r="E2189" s="12" t="inlineStr">
        <is>
          <t>동사원형</t>
        </is>
      </c>
      <c r="F2189" s="12" t="inlineStr">
        <is>
          <t>Allow me to +</t>
        </is>
      </c>
      <c r="G2189" s="12" t="inlineStr">
        <is>
          <t>동사원형</t>
        </is>
      </c>
      <c r="H2189" s="9">
        <f>HYPERLINK("https://www.youtube.com/watch?v=DmMDvtKYf6U", "영상 보기 ▶")</f>
        <v/>
      </c>
    </row>
    <row r="2190" ht="26" customHeight="1">
      <c r="A2190" s="2" t="n">
        <v>2189</v>
      </c>
      <c r="B2190" s="3" t="inlineStr">
        <is>
          <t>총정리 44탄</t>
        </is>
      </c>
      <c r="C2190" s="3" t="inlineStr">
        <is>
          <t>공감/감정</t>
        </is>
      </c>
      <c r="D2190" s="4" t="inlineStr">
        <is>
          <t>refreshing</t>
        </is>
      </c>
      <c r="E2190" s="11" t="inlineStr">
        <is>
          <t>상쾌한,신선한,기분전환이 되는,개운한</t>
        </is>
      </c>
      <c r="F2190" s="11" t="inlineStr">
        <is>
          <t>It's refreshing.</t>
        </is>
      </c>
      <c r="G2190" s="11" t="inlineStr">
        <is>
          <t>입가심이 되네/갈증이 싹 가시네</t>
        </is>
      </c>
      <c r="H2190" s="5">
        <f>HYPERLINK("https://www.youtube.com/watch?v=DmMDvtKYf6U", "영상 보기 ▶")</f>
        <v/>
      </c>
    </row>
    <row r="2191" ht="26" customHeight="1">
      <c r="A2191" s="6" t="n">
        <v>2190</v>
      </c>
      <c r="B2191" s="7" t="inlineStr">
        <is>
          <t>총정리 44탄</t>
        </is>
      </c>
      <c r="C2191" s="7" t="inlineStr">
        <is>
          <t>실전회화/표현</t>
        </is>
      </c>
      <c r="D2191" s="8" t="inlineStr">
        <is>
          <t>put off</t>
        </is>
      </c>
      <c r="E2191" s="12" t="inlineStr">
        <is>
          <t>미루다/연기하다</t>
        </is>
      </c>
      <c r="F2191" s="12" t="inlineStr">
        <is>
          <t>Let's put it off until next week.</t>
        </is>
      </c>
      <c r="G2191" s="12" t="inlineStr">
        <is>
          <t>다음주까지 미루자</t>
        </is>
      </c>
      <c r="H2191" s="9">
        <f>HYPERLINK("https://www.youtube.com/watch?v=DmMDvtKYf6U", "영상 보기 ▶")</f>
        <v/>
      </c>
    </row>
    <row r="2192" ht="26" customHeight="1">
      <c r="A2192" s="2" t="n">
        <v>2191</v>
      </c>
      <c r="B2192" s="3" t="inlineStr">
        <is>
          <t>총정리 44탄</t>
        </is>
      </c>
      <c r="C2192" s="3" t="inlineStr">
        <is>
          <t>실전회화/표현</t>
        </is>
      </c>
      <c r="D2192" s="4" t="inlineStr">
        <is>
          <t>put off</t>
        </is>
      </c>
      <c r="E2192" s="11" t="inlineStr">
        <is>
          <t>~를 싫어하게/믿지 못하게/정떨어지게 만들다</t>
        </is>
      </c>
      <c r="F2192" s="11" t="inlineStr">
        <is>
          <t>I'm a little put off by the price.</t>
        </is>
      </c>
      <c r="G2192" s="11" t="inlineStr">
        <is>
          <t>가격이 좀 부담되서 망설여져/마음이 식어</t>
        </is>
      </c>
      <c r="H2192" s="5">
        <f>HYPERLINK("https://www.youtube.com/watch?v=DmMDvtKYf6U", "영상 보기 ▶")</f>
        <v/>
      </c>
    </row>
    <row r="2193" ht="26" customHeight="1">
      <c r="A2193" s="6" t="n">
        <v>2192</v>
      </c>
      <c r="B2193" s="7" t="inlineStr">
        <is>
          <t>총정리 44탄</t>
        </is>
      </c>
      <c r="C2193" s="7" t="inlineStr">
        <is>
          <t>실전회화/표현</t>
        </is>
      </c>
      <c r="D2193" s="8" t="inlineStr">
        <is>
          <t>First thing in the morning</t>
        </is>
      </c>
      <c r="E2193" s="12" t="inlineStr">
        <is>
          <t>아침에 가장 먼저,출근하자마자</t>
        </is>
      </c>
      <c r="F2193" s="12" t="inlineStr">
        <is>
          <t>I'll get back to you first thing in the morning.</t>
        </is>
      </c>
      <c r="G2193" s="12" t="inlineStr">
        <is>
          <t>출근하자마자 바로 연락 드릴게요</t>
        </is>
      </c>
      <c r="H2193" s="9">
        <f>HYPERLINK("https://www.youtube.com/watch?v=DmMDvtKYf6U", "영상 보기 ▶")</f>
        <v/>
      </c>
    </row>
    <row r="2194" ht="26" customHeight="1">
      <c r="A2194" s="2" t="n">
        <v>2193</v>
      </c>
      <c r="B2194" s="3" t="inlineStr">
        <is>
          <t>총정리 44탄</t>
        </is>
      </c>
      <c r="C2194" s="3" t="inlineStr">
        <is>
          <t>실전회화/표현</t>
        </is>
      </c>
      <c r="D2194" s="4" t="inlineStr">
        <is>
          <t>breathtaking</t>
        </is>
      </c>
      <c r="E2194" s="11" t="inlineStr">
        <is>
          <t>(숨막힐 정도로) 정말 아름다운,놀라운</t>
        </is>
      </c>
      <c r="F2194" s="11" t="inlineStr">
        <is>
          <t>The view there was breathtaking.</t>
        </is>
      </c>
      <c r="G2194" s="11" t="inlineStr">
        <is>
          <t>거기 뷰가 진짜 놀라울 정도로 아름답더라</t>
        </is>
      </c>
      <c r="H2194" s="5">
        <f>HYPERLINK("https://www.youtube.com/watch?v=DmMDvtKYf6U", "영상 보기 ▶")</f>
        <v/>
      </c>
    </row>
    <row r="2195" ht="26" customHeight="1">
      <c r="A2195" s="6" t="n">
        <v>2194</v>
      </c>
      <c r="B2195" s="7" t="inlineStr">
        <is>
          <t>총정리 44탄</t>
        </is>
      </c>
      <c r="C2195" s="7" t="inlineStr">
        <is>
          <t>실전회화/표현</t>
        </is>
      </c>
      <c r="D2195" s="8" t="inlineStr">
        <is>
          <t>fill in for</t>
        </is>
      </c>
      <c r="E2195" s="12" t="inlineStr">
        <is>
          <t>사람</t>
        </is>
      </c>
      <c r="F2195" s="12" t="inlineStr">
        <is>
          <t>I have a family emergency.</t>
        </is>
      </c>
      <c r="G2195" s="12" t="inlineStr">
        <is>
          <t>가족에 급한일이 생겨서 내일 나대신 일좀봐줄수있어</t>
        </is>
      </c>
      <c r="H2195" s="9">
        <f>HYPERLINK("https://www.youtube.com/watch?v=DmMDvtKYf6U", "영상 보기 ▶")</f>
        <v/>
      </c>
    </row>
    <row r="2196" ht="26" customHeight="1">
      <c r="A2196" s="2" t="n">
        <v>2195</v>
      </c>
      <c r="B2196" s="3" t="inlineStr">
        <is>
          <t>총정리 44탄</t>
        </is>
      </c>
      <c r="C2196" s="3" t="inlineStr">
        <is>
          <t>실전회화/표현</t>
        </is>
      </c>
      <c r="D2196" s="4" t="inlineStr">
        <is>
          <t>fill</t>
        </is>
      </c>
      <c r="E2196" s="11" t="inlineStr">
        <is>
          <t>사람 in on</t>
        </is>
      </c>
      <c r="F2196" s="11" t="inlineStr">
        <is>
          <t>Can you fill me in on what happened?</t>
        </is>
      </c>
      <c r="G2196" s="11" t="inlineStr">
        <is>
          <t>무슨 일이 있었는지 알려줄수 있어?</t>
        </is>
      </c>
      <c r="H2196" s="5">
        <f>HYPERLINK("https://www.youtube.com/watch?v=DmMDvtKYf6U", "영상 보기 ▶")</f>
        <v/>
      </c>
    </row>
    <row r="2197" ht="26" customHeight="1">
      <c r="A2197" s="6" t="n">
        <v>2196</v>
      </c>
      <c r="B2197" s="7" t="inlineStr">
        <is>
          <t>총정리 44탄</t>
        </is>
      </c>
      <c r="C2197" s="7" t="inlineStr">
        <is>
          <t>실전회화/표현</t>
        </is>
      </c>
      <c r="D2197" s="8" t="inlineStr">
        <is>
          <t>work around the clock</t>
        </is>
      </c>
      <c r="E2197" s="12" t="inlineStr">
        <is>
          <t>24시간 내내/밤낮없이 일하다</t>
        </is>
      </c>
      <c r="F2197" s="12" t="inlineStr">
        <is>
          <t>We've been working around the clock to fix this.</t>
        </is>
      </c>
      <c r="G2197" s="12" t="inlineStr">
        <is>
          <t>이걸 해결하려고 밤낮없이 일하고 있어</t>
        </is>
      </c>
      <c r="H2197" s="9">
        <f>HYPERLINK("https://www.youtube.com/watch?v=DmMDvtKYf6U", "영상 보기 ▶")</f>
        <v/>
      </c>
    </row>
    <row r="2198" ht="26" customHeight="1">
      <c r="A2198" s="2" t="n">
        <v>2197</v>
      </c>
      <c r="B2198" s="3" t="inlineStr">
        <is>
          <t>총정리 44탄</t>
        </is>
      </c>
      <c r="C2198" s="3" t="inlineStr">
        <is>
          <t>실전회화/표현</t>
        </is>
      </c>
      <c r="D2198" s="4" t="inlineStr">
        <is>
          <t>work around</t>
        </is>
      </c>
      <c r="E2198" s="11" t="inlineStr">
        <is>
          <t>~에 맞춰서 조정하다/피해서 처리하다</t>
        </is>
      </c>
      <c r="F2198" s="11" t="inlineStr">
        <is>
          <t>We can work around your schedule.</t>
        </is>
      </c>
      <c r="G2198" s="11" t="inlineStr">
        <is>
          <t>편하실때 말씀해주시면 저희가 일정에 맞출게요</t>
        </is>
      </c>
      <c r="H2198" s="5">
        <f>HYPERLINK("https://www.youtube.com/watch?v=DmMDvtKYf6U", "영상 보기 ▶")</f>
        <v/>
      </c>
    </row>
    <row r="2199" ht="26" customHeight="1">
      <c r="A2199" s="6" t="n">
        <v>2198</v>
      </c>
      <c r="B2199" s="7" t="inlineStr">
        <is>
          <t>총정리 44탄</t>
        </is>
      </c>
      <c r="C2199" s="7" t="inlineStr">
        <is>
          <t>실전회화/표현</t>
        </is>
      </c>
      <c r="D2199" s="8" t="inlineStr">
        <is>
          <t>workaround</t>
        </is>
      </c>
      <c r="E2199" s="12" t="inlineStr">
        <is>
          <t>임시방편,차선책</t>
        </is>
      </c>
      <c r="F2199" s="12" t="inlineStr">
        <is>
          <t>We need to find a workaround.</t>
        </is>
      </c>
      <c r="G2199" s="12" t="inlineStr">
        <is>
          <t>어떻게 할지 대안을 찾아야 돼</t>
        </is>
      </c>
      <c r="H2199" s="9">
        <f>HYPERLINK("https://www.youtube.com/watch?v=DmMDvtKYf6U", "영상 보기 ▶")</f>
        <v/>
      </c>
    </row>
    <row r="2200" ht="26" customHeight="1">
      <c r="A2200" s="2" t="n">
        <v>2199</v>
      </c>
      <c r="B2200" s="3" t="inlineStr">
        <is>
          <t>총정리 44탄</t>
        </is>
      </c>
      <c r="C2200" s="3" t="inlineStr">
        <is>
          <t>실전회화/표현</t>
        </is>
      </c>
      <c r="D2200" s="4" t="inlineStr">
        <is>
          <t>take</t>
        </is>
      </c>
      <c r="E2200" s="11" t="inlineStr">
        <is>
          <t>대상 for granted</t>
        </is>
      </c>
      <c r="F2200" s="11" t="inlineStr">
        <is>
          <t>I took my health for granted.</t>
        </is>
      </c>
      <c r="G2200" s="11" t="inlineStr">
        <is>
          <t>건강의 소중함을 몰랐어</t>
        </is>
      </c>
      <c r="H2200" s="5">
        <f>HYPERLINK("https://www.youtube.com/watch?v=DmMDvtKYf6U", "영상 보기 ▶")</f>
        <v/>
      </c>
    </row>
    <row r="2201" ht="26" customHeight="1">
      <c r="A2201" s="6" t="n">
        <v>2200</v>
      </c>
      <c r="B2201" s="7" t="inlineStr">
        <is>
          <t>총정리 44탄</t>
        </is>
      </c>
      <c r="C2201" s="7" t="inlineStr">
        <is>
          <t>대화/인간관계</t>
        </is>
      </c>
      <c r="D2201" s="8" t="inlineStr">
        <is>
          <t>What are you hoping for next year?</t>
        </is>
      </c>
      <c r="E2201" s="12" t="inlineStr">
        <is>
          <t>연말 스몰토크로 좋은</t>
        </is>
      </c>
      <c r="F2201" s="12" t="inlineStr">
        <is>
          <t>What are you hoping for in today's meeting?</t>
        </is>
      </c>
      <c r="G2201" s="12" t="inlineStr">
        <is>
          <t>오늘 미팅에서 어떤걸 기대하고 있어?</t>
        </is>
      </c>
      <c r="H2201" s="9">
        <f>HYPERLINK("https://www.youtube.com/watch?v=DmMDvtKYf6U", "영상 보기 ▶")</f>
        <v/>
      </c>
    </row>
    <row r="2202" ht="26" customHeight="1">
      <c r="A2202" s="2" t="n">
        <v>2201</v>
      </c>
      <c r="B2202" s="3" t="inlineStr">
        <is>
          <t>총정리 45탄</t>
        </is>
      </c>
      <c r="C2202" s="3" t="inlineStr">
        <is>
          <t>실전회화/표현</t>
        </is>
      </c>
      <c r="D2202" s="4" t="inlineStr">
        <is>
          <t>hung up on</t>
        </is>
      </c>
      <c r="E2202" s="11" t="inlineStr">
        <is>
          <t>~에 집착하는, 매달리는, 사로잡힌</t>
        </is>
      </c>
      <c r="F2202" s="11" t="inlineStr">
        <is>
          <t>hung up on</t>
        </is>
      </c>
      <c r="G2202" s="11" t="inlineStr">
        <is>
          <t>~에 집착하는, 매달리는, 사로잡힌</t>
        </is>
      </c>
      <c r="H2202" s="5">
        <f>HYPERLINK("https://www.youtube.com/watch?v=LephPM8Odhs", "영상 보기 ▶")</f>
        <v/>
      </c>
    </row>
    <row r="2203" ht="26" customHeight="1">
      <c r="A2203" s="6" t="n">
        <v>2202</v>
      </c>
      <c r="B2203" s="7" t="inlineStr">
        <is>
          <t>총정리 45탄</t>
        </is>
      </c>
      <c r="C2203" s="7" t="inlineStr">
        <is>
          <t>실전회화/표현</t>
        </is>
      </c>
      <c r="D2203" s="8" t="inlineStr">
        <is>
          <t>get over</t>
        </is>
      </c>
      <c r="E2203" s="12" t="inlineStr">
        <is>
          <t>(어려움을) 극복하다, (안 좋은걸) 잊다</t>
        </is>
      </c>
      <c r="F2203" s="12" t="inlineStr">
        <is>
          <t>get over</t>
        </is>
      </c>
      <c r="G2203" s="12" t="inlineStr">
        <is>
          <t>(어려움을) 극복하다, (안 좋은걸) 잊다</t>
        </is>
      </c>
      <c r="H2203" s="9">
        <f>HYPERLINK("https://www.youtube.com/watch?v=LephPM8Odhs", "영상 보기 ▶")</f>
        <v/>
      </c>
    </row>
    <row r="2204" ht="26" customHeight="1">
      <c r="A2204" s="2" t="n">
        <v>2203</v>
      </c>
      <c r="B2204" s="3" t="inlineStr">
        <is>
          <t>총정리 45탄</t>
        </is>
      </c>
      <c r="C2204" s="3" t="inlineStr">
        <is>
          <t>실전회화/표현</t>
        </is>
      </c>
      <c r="D2204" s="4" t="inlineStr">
        <is>
          <t>can't get over ~</t>
        </is>
      </c>
      <c r="E2204" s="11" t="inlineStr">
        <is>
          <t>를 잊지 못하다, 믿기지 않다, 놀랍다</t>
        </is>
      </c>
      <c r="F2204" s="11" t="inlineStr">
        <is>
          <t>can't get over ~</t>
        </is>
      </c>
      <c r="G2204" s="11" t="inlineStr">
        <is>
          <t>를 잊지 못하다, 믿기지 않다, 놀랍다</t>
        </is>
      </c>
      <c r="H2204" s="5">
        <f>HYPERLINK("https://www.youtube.com/watch?v=LephPM8Odhs", "영상 보기 ▶")</f>
        <v/>
      </c>
    </row>
    <row r="2205" ht="26" customHeight="1">
      <c r="A2205" s="6" t="n">
        <v>2204</v>
      </c>
      <c r="B2205" s="7" t="inlineStr">
        <is>
          <t>총정리 45탄</t>
        </is>
      </c>
      <c r="C2205" s="7" t="inlineStr">
        <is>
          <t>실전회화/표현</t>
        </is>
      </c>
      <c r="D2205" s="8" t="inlineStr">
        <is>
          <t>get out of your hair</t>
        </is>
      </c>
      <c r="E2205" s="12" t="inlineStr">
        <is>
          <t>귀찮게 안 하다/방해하지 않다</t>
        </is>
      </c>
      <c r="F2205" s="12" t="inlineStr">
        <is>
          <t>get out of your hair</t>
        </is>
      </c>
      <c r="G2205" s="12" t="inlineStr">
        <is>
          <t>귀찮게 안 하다/방해하지 않다</t>
        </is>
      </c>
      <c r="H2205" s="9">
        <f>HYPERLINK("https://www.youtube.com/watch?v=LephPM8Odhs", "영상 보기 ▶")</f>
        <v/>
      </c>
    </row>
    <row r="2206" ht="26" customHeight="1">
      <c r="A2206" s="2" t="n">
        <v>2205</v>
      </c>
      <c r="B2206" s="3" t="inlineStr">
        <is>
          <t>총정리 45탄</t>
        </is>
      </c>
      <c r="C2206" s="3" t="inlineStr">
        <is>
          <t>실전회화/표현</t>
        </is>
      </c>
      <c r="D2206" s="4" t="inlineStr">
        <is>
          <t>I'm sold (on that idea).</t>
        </is>
      </c>
      <c r="E2206" s="11" t="inlineStr">
        <is>
          <t>네가 한 말 납득 돼/좋아, 그렇게 하자.</t>
        </is>
      </c>
      <c r="F2206" s="11" t="inlineStr">
        <is>
          <t>I'm sold (on that idea).</t>
        </is>
      </c>
      <c r="G2206" s="11" t="inlineStr">
        <is>
          <t>네가 한 말 납득 돼/좋아, 그렇게 하자.</t>
        </is>
      </c>
      <c r="H2206" s="5">
        <f>HYPERLINK("https://www.youtube.com/watch?v=LephPM8Odhs", "영상 보기 ▶")</f>
        <v/>
      </c>
    </row>
    <row r="2207" ht="26" customHeight="1">
      <c r="A2207" s="6" t="n">
        <v>2206</v>
      </c>
      <c r="B2207" s="7" t="inlineStr">
        <is>
          <t>총정리 45탄</t>
        </is>
      </c>
      <c r="C2207" s="7" t="inlineStr">
        <is>
          <t>의견/의사결정</t>
        </is>
      </c>
      <c r="D2207" s="8" t="inlineStr">
        <is>
          <t>That's a hard sell.</t>
        </is>
      </c>
      <c r="E2207" s="12" t="inlineStr">
        <is>
          <t>설득하기 어려울걸, 쉽게 안 먹혀</t>
        </is>
      </c>
      <c r="F2207" s="12" t="inlineStr">
        <is>
          <t>That's a hard sell.</t>
        </is>
      </c>
      <c r="G2207" s="12" t="inlineStr">
        <is>
          <t>설득하기 어려울걸, 쉽게 안 먹혀</t>
        </is>
      </c>
      <c r="H2207" s="9">
        <f>HYPERLINK("https://www.youtube.com/watch?v=LephPM8Odhs", "영상 보기 ▶")</f>
        <v/>
      </c>
    </row>
    <row r="2208" ht="26" customHeight="1">
      <c r="A2208" s="2" t="n">
        <v>2207</v>
      </c>
      <c r="B2208" s="3" t="inlineStr">
        <is>
          <t>총정리 45탄</t>
        </is>
      </c>
      <c r="C2208" s="3" t="inlineStr">
        <is>
          <t>실전회화/표현</t>
        </is>
      </c>
      <c r="D2208" s="4" t="inlineStr">
        <is>
          <t>exhaust</t>
        </is>
      </c>
      <c r="E2208" s="11" t="inlineStr">
        <is>
          <t>다 써버리다, 바닥나게 하다</t>
        </is>
      </c>
      <c r="F2208" s="11" t="inlineStr">
        <is>
          <t>exhaust</t>
        </is>
      </c>
      <c r="G2208" s="11" t="inlineStr">
        <is>
          <t>다 써버리다, 바닥나게 하다</t>
        </is>
      </c>
      <c r="H2208" s="5">
        <f>HYPERLINK("https://www.youtube.com/watch?v=LephPM8Odhs", "영상 보기 ▶")</f>
        <v/>
      </c>
    </row>
    <row r="2209" ht="26" customHeight="1">
      <c r="A2209" s="6" t="n">
        <v>2208</v>
      </c>
      <c r="B2209" s="7" t="inlineStr">
        <is>
          <t>총정리 45탄</t>
        </is>
      </c>
      <c r="C2209" s="7" t="inlineStr">
        <is>
          <t>실전회화/표현</t>
        </is>
      </c>
      <c r="D2209" s="8" t="inlineStr">
        <is>
          <t>exhaustive</t>
        </is>
      </c>
      <c r="E2209" s="12" t="inlineStr">
        <is>
          <t>(하나도 빠뜨리는 것 없이) 철저한, 완전한</t>
        </is>
      </c>
      <c r="F2209" s="12" t="inlineStr">
        <is>
          <t>exhaustive</t>
        </is>
      </c>
      <c r="G2209" s="12" t="inlineStr">
        <is>
          <t>(하나도 빠뜨리는 것 없이) 철저한, 완전한</t>
        </is>
      </c>
      <c r="H2209" s="9">
        <f>HYPERLINK("https://www.youtube.com/watch?v=LephPM8Odhs", "영상 보기 ▶")</f>
        <v/>
      </c>
    </row>
    <row r="2210" ht="26" customHeight="1">
      <c r="A2210" s="2" t="n">
        <v>2209</v>
      </c>
      <c r="B2210" s="3" t="inlineStr">
        <is>
          <t>총정리 45탄</t>
        </is>
      </c>
      <c r="C2210" s="3" t="inlineStr">
        <is>
          <t>실전회화/표현</t>
        </is>
      </c>
      <c r="D2210" s="4" t="inlineStr">
        <is>
          <t>build up</t>
        </is>
      </c>
      <c r="E2210" s="11" t="inlineStr">
        <is>
          <t>쌓아 올리다</t>
        </is>
      </c>
      <c r="F2210" s="11" t="inlineStr">
        <is>
          <t>build up</t>
        </is>
      </c>
      <c r="G2210" s="11" t="inlineStr">
        <is>
          <t>쌓아 올리다</t>
        </is>
      </c>
      <c r="H2210" s="5">
        <f>HYPERLINK("https://www.youtube.com/watch?v=LephPM8Odhs", "영상 보기 ▶")</f>
        <v/>
      </c>
    </row>
    <row r="2211" ht="26" customHeight="1">
      <c r="A2211" s="6" t="n">
        <v>2210</v>
      </c>
      <c r="B2211" s="7" t="inlineStr">
        <is>
          <t>총정리 45탄</t>
        </is>
      </c>
      <c r="C2211" s="7" t="inlineStr">
        <is>
          <t>실전회화/표현</t>
        </is>
      </c>
      <c r="D2211" s="8" t="inlineStr">
        <is>
          <t>build on</t>
        </is>
      </c>
      <c r="E2211" s="12" t="inlineStr">
        <is>
          <t>~을 기반으로 하다</t>
        </is>
      </c>
      <c r="F2211" s="12" t="inlineStr">
        <is>
          <t>build on</t>
        </is>
      </c>
      <c r="G2211" s="12" t="inlineStr">
        <is>
          <t>~을 기반으로 하다</t>
        </is>
      </c>
      <c r="H2211" s="9">
        <f>HYPERLINK("https://www.youtube.com/watch?v=LephPM8Odhs", "영상 보기 ▶")</f>
        <v/>
      </c>
    </row>
    <row r="2212" ht="26" customHeight="1">
      <c r="A2212" s="2" t="n">
        <v>2211</v>
      </c>
      <c r="B2212" s="3" t="inlineStr">
        <is>
          <t>총정리 45탄</t>
        </is>
      </c>
      <c r="C2212" s="3" t="inlineStr">
        <is>
          <t>공감/감정</t>
        </is>
      </c>
      <c r="D2212" s="4" t="inlineStr">
        <is>
          <t>bury the hatchet (</t>
        </is>
      </c>
      <c r="E2212" s="11" t="inlineStr">
        <is>
          <t>오래된) 싸움을 끝내다/화해하다</t>
        </is>
      </c>
      <c r="F2212" s="11" t="inlineStr">
        <is>
          <t>bury the hatchet (</t>
        </is>
      </c>
      <c r="G2212" s="11" t="inlineStr">
        <is>
          <t>오래된) 싸움을 끝내다/화해하다</t>
        </is>
      </c>
      <c r="H2212" s="5">
        <f>HYPERLINK("https://www.youtube.com/watch?v=LephPM8Odhs", "영상 보기 ▶")</f>
        <v/>
      </c>
    </row>
    <row r="2213" ht="26" customHeight="1">
      <c r="A2213" s="6" t="n">
        <v>2212</v>
      </c>
      <c r="B2213" s="7" t="inlineStr">
        <is>
          <t>총정리 45탄</t>
        </is>
      </c>
      <c r="C2213" s="7" t="inlineStr">
        <is>
          <t>실전회화/표현</t>
        </is>
      </c>
      <c r="D2213" s="8" t="inlineStr">
        <is>
          <t>out of practice</t>
        </is>
      </c>
      <c r="E2213" s="12" t="inlineStr">
        <is>
          <t>연습부족으로 서툰, (오랜만에 해서) 실력이 떨어진</t>
        </is>
      </c>
      <c r="F2213" s="12" t="inlineStr">
        <is>
          <t>out of practice</t>
        </is>
      </c>
      <c r="G2213" s="12" t="inlineStr">
        <is>
          <t>연습부족으로 서툰, (오랜만에 해서) 실력이 떨어진</t>
        </is>
      </c>
      <c r="H2213" s="9">
        <f>HYPERLINK("https://www.youtube.com/watch?v=LephPM8Odhs", "영상 보기 ▶")</f>
        <v/>
      </c>
    </row>
    <row r="2214" ht="26" customHeight="1">
      <c r="A2214" s="2" t="n">
        <v>2213</v>
      </c>
      <c r="B2214" s="3" t="inlineStr">
        <is>
          <t>총정리 45탄</t>
        </is>
      </c>
      <c r="C2214" s="3" t="inlineStr">
        <is>
          <t>실전회화/표현</t>
        </is>
      </c>
      <c r="D2214" s="4" t="inlineStr">
        <is>
          <t>cut</t>
        </is>
      </c>
      <c r="E2214" s="11" t="inlineStr">
        <is>
          <t>사람 some slack 봐주다/사정을 감안해주다</t>
        </is>
      </c>
      <c r="F2214" s="11" t="inlineStr">
        <is>
          <t>cut</t>
        </is>
      </c>
      <c r="G2214" s="11" t="inlineStr">
        <is>
          <t>사람 some slack 봐주다/사정을 감안해주다</t>
        </is>
      </c>
      <c r="H2214" s="5">
        <f>HYPERLINK("https://www.youtube.com/watch?v=LephPM8Odhs", "영상 보기 ▶")</f>
        <v/>
      </c>
    </row>
    <row r="2215" ht="26" customHeight="1">
      <c r="A2215" s="6" t="n">
        <v>2214</v>
      </c>
      <c r="B2215" s="7" t="inlineStr">
        <is>
          <t>총정리 45탄</t>
        </is>
      </c>
      <c r="C2215" s="7" t="inlineStr">
        <is>
          <t>실전회화/표현</t>
        </is>
      </c>
      <c r="D2215" s="8" t="inlineStr">
        <is>
          <t>slacker</t>
        </is>
      </c>
      <c r="E2215" s="12" t="inlineStr">
        <is>
          <t>게으름 벵이/농땡이 부리는 사람</t>
        </is>
      </c>
      <c r="F2215" s="12" t="inlineStr">
        <is>
          <t>slacker</t>
        </is>
      </c>
      <c r="G2215" s="12" t="inlineStr">
        <is>
          <t>게으름 벵이/농땡이 부리는 사람</t>
        </is>
      </c>
      <c r="H2215" s="9">
        <f>HYPERLINK("https://www.youtube.com/watch?v=LephPM8Odhs", "영상 보기 ▶")</f>
        <v/>
      </c>
    </row>
    <row r="2216" ht="26" customHeight="1">
      <c r="A2216" s="2" t="n">
        <v>2215</v>
      </c>
      <c r="B2216" s="3" t="inlineStr">
        <is>
          <t>총정리 45탄</t>
        </is>
      </c>
      <c r="C2216" s="3" t="inlineStr">
        <is>
          <t>실전회화/표현</t>
        </is>
      </c>
      <c r="D2216" s="4" t="inlineStr">
        <is>
          <t>pursue (</t>
        </is>
      </c>
      <c r="E2216" s="11" t="inlineStr">
        <is>
          <t>멈추지 않고 다음 단계로) 계속 진행하다/추진하다</t>
        </is>
      </c>
      <c r="F2216" s="11" t="inlineStr">
        <is>
          <t>pursue (</t>
        </is>
      </c>
      <c r="G2216" s="11" t="inlineStr">
        <is>
          <t>멈추지 않고 다음 단계로) 계속 진행하다/추진하다</t>
        </is>
      </c>
      <c r="H2216" s="5">
        <f>HYPERLINK("https://www.youtube.com/watch?v=LephPM8Odhs", "영상 보기 ▶")</f>
        <v/>
      </c>
    </row>
    <row r="2217" ht="26" customHeight="1">
      <c r="A2217" s="6" t="n">
        <v>2216</v>
      </c>
      <c r="B2217" s="7" t="inlineStr">
        <is>
          <t>총정리 45탄</t>
        </is>
      </c>
      <c r="C2217" s="7" t="inlineStr">
        <is>
          <t>실전회화/표현</t>
        </is>
      </c>
      <c r="D2217" s="8" t="inlineStr">
        <is>
          <t>동사 pivot</t>
        </is>
      </c>
      <c r="E2217" s="12" t="inlineStr">
        <is>
          <t>(축을 중심으로) 회전하다/돌다</t>
        </is>
      </c>
      <c r="F2217" s="12" t="inlineStr">
        <is>
          <t>동사 pivot</t>
        </is>
      </c>
      <c r="G2217" s="12" t="inlineStr">
        <is>
          <t>(축을 중심으로) 회전하다/돌다</t>
        </is>
      </c>
      <c r="H2217" s="9">
        <f>HYPERLINK("https://www.youtube.com/watch?v=LephPM8Odhs", "영상 보기 ▶")</f>
        <v/>
      </c>
    </row>
    <row r="2218" ht="26" customHeight="1">
      <c r="A2218" s="2" t="n">
        <v>2217</v>
      </c>
      <c r="B2218" s="3" t="inlineStr">
        <is>
          <t>총정리 45탄</t>
        </is>
      </c>
      <c r="C2218" s="3" t="inlineStr">
        <is>
          <t>의견/의사결정</t>
        </is>
      </c>
      <c r="D2218" s="4" t="inlineStr">
        <is>
          <t>pivotal</t>
        </is>
      </c>
      <c r="E2218" s="11" t="inlineStr">
        <is>
          <t>(중심, 축이되는) 중요한, 결정적인</t>
        </is>
      </c>
      <c r="F2218" s="11" t="inlineStr">
        <is>
          <t>pivotal</t>
        </is>
      </c>
      <c r="G2218" s="11" t="inlineStr">
        <is>
          <t>(중심, 축이되는) 중요한, 결정적인</t>
        </is>
      </c>
      <c r="H2218" s="5">
        <f>HYPERLINK("https://www.youtube.com/watch?v=LephPM8Odhs", "영상 보기 ▶")</f>
        <v/>
      </c>
    </row>
    <row r="2219" ht="26" customHeight="1">
      <c r="A2219" s="6" t="n">
        <v>2218</v>
      </c>
      <c r="B2219" s="7" t="inlineStr">
        <is>
          <t>총정리 45탄</t>
        </is>
      </c>
      <c r="C2219" s="7" t="inlineStr">
        <is>
          <t>실전회화/표현</t>
        </is>
      </c>
      <c r="D2219" s="8" t="inlineStr">
        <is>
          <t>shot</t>
        </is>
      </c>
      <c r="E2219" s="12" t="inlineStr">
        <is>
          <t>기회/시도</t>
        </is>
      </c>
      <c r="F2219" s="12" t="inlineStr">
        <is>
          <t>shot</t>
        </is>
      </c>
      <c r="G2219" s="12" t="inlineStr">
        <is>
          <t>기회/시도</t>
        </is>
      </c>
      <c r="H2219" s="9">
        <f>HYPERLINK("https://www.youtube.com/watch?v=LephPM8Odhs", "영상 보기 ▶")</f>
        <v/>
      </c>
    </row>
    <row r="2220" ht="26" customHeight="1">
      <c r="A2220" s="2" t="n">
        <v>2219</v>
      </c>
      <c r="B2220" s="3" t="inlineStr">
        <is>
          <t>총정리 45탄</t>
        </is>
      </c>
      <c r="C2220" s="3" t="inlineStr">
        <is>
          <t>실전회화/표현</t>
        </is>
      </c>
      <c r="D2220" s="4" t="inlineStr">
        <is>
          <t>not my thing</t>
        </is>
      </c>
      <c r="E2220" s="11" t="inlineStr">
        <is>
          <t>내 취향/관심사가 아닌, 내 체질이 아닌</t>
        </is>
      </c>
      <c r="F2220" s="11" t="inlineStr">
        <is>
          <t>I tried rock climbing, but it's really not my thing.</t>
        </is>
      </c>
      <c r="G2220" s="11" t="inlineStr">
        <is>
          <t>암벽등반을 시도해 봤는데, 솔직히 내 체질이나 취향은 아니더라.</t>
        </is>
      </c>
      <c r="H2220" s="5">
        <f>HYPERLINK("https://www.youtube.com/watch?v=LephPM8Odhs", "영상 보기 ▶")</f>
        <v/>
      </c>
    </row>
    <row r="2221" ht="26" customHeight="1">
      <c r="A2221" s="6" t="n">
        <v>2220</v>
      </c>
      <c r="B2221" s="7" t="inlineStr">
        <is>
          <t>총정리 45탄</t>
        </is>
      </c>
      <c r="C2221" s="7" t="inlineStr">
        <is>
          <t>실전회화/표현</t>
        </is>
      </c>
      <c r="D2221" s="8" t="inlineStr">
        <is>
          <t>shelf life</t>
        </is>
      </c>
      <c r="E2221" s="12" t="inlineStr">
        <is>
          <t>유통기한</t>
        </is>
      </c>
      <c r="F2221" s="12" t="inlineStr">
        <is>
          <t>shelf life</t>
        </is>
      </c>
      <c r="G2221" s="12" t="inlineStr">
        <is>
          <t>유통기한</t>
        </is>
      </c>
      <c r="H2221" s="9">
        <f>HYPERLINK("https://www.youtube.com/watch?v=LephPM8Odhs", "영상 보기 ▶")</f>
        <v/>
      </c>
    </row>
    <row r="2222" ht="26" customHeight="1">
      <c r="A2222" s="2" t="n">
        <v>2221</v>
      </c>
      <c r="B2222" s="3" t="inlineStr">
        <is>
          <t>총정리 45탄</t>
        </is>
      </c>
      <c r="C2222" s="3" t="inlineStr">
        <is>
          <t>실전회화/표현</t>
        </is>
      </c>
      <c r="D2222" s="4" t="inlineStr">
        <is>
          <t>out of date</t>
        </is>
      </c>
      <c r="E2222" s="11" t="inlineStr">
        <is>
          <t>유효기간이 지난, 뒤떨어진</t>
        </is>
      </c>
      <c r="F2222" s="11" t="inlineStr">
        <is>
          <t>out of date</t>
        </is>
      </c>
      <c r="G2222" s="11" t="inlineStr">
        <is>
          <t>유효기간이 지난, 뒤떨어진</t>
        </is>
      </c>
      <c r="H2222" s="5">
        <f>HYPERLINK("https://www.youtube.com/watch?v=LephPM8Odhs", "영상 보기 ▶")</f>
        <v/>
      </c>
    </row>
    <row r="2223" ht="26" customHeight="1">
      <c r="A2223" s="6" t="n">
        <v>2222</v>
      </c>
      <c r="B2223" s="7" t="inlineStr">
        <is>
          <t>총정리 45탄</t>
        </is>
      </c>
      <c r="C2223" s="7" t="inlineStr">
        <is>
          <t>의견/의사결정</t>
        </is>
      </c>
      <c r="D2223" s="8" t="inlineStr">
        <is>
          <t>talk 사람 out of</t>
        </is>
      </c>
      <c r="E2223" s="12" t="inlineStr">
        <is>
          <t>~을 하지 말라고 설득하다</t>
        </is>
      </c>
      <c r="F2223" s="12" t="inlineStr">
        <is>
          <t>talk 사람 out of</t>
        </is>
      </c>
      <c r="G2223" s="12" t="inlineStr">
        <is>
          <t>~을 하지 말라고 설득하다</t>
        </is>
      </c>
      <c r="H2223" s="9">
        <f>HYPERLINK("https://www.youtube.com/watch?v=LephPM8Odhs", "영상 보기 ▶")</f>
        <v/>
      </c>
    </row>
    <row r="2224" ht="26" customHeight="1">
      <c r="A2224" s="2" t="n">
        <v>2223</v>
      </c>
      <c r="B2224" s="3" t="inlineStr">
        <is>
          <t>총정리 45탄</t>
        </is>
      </c>
      <c r="C2224" s="3" t="inlineStr">
        <is>
          <t>실전회화/표현</t>
        </is>
      </c>
      <c r="D2224" s="4" t="inlineStr">
        <is>
          <t>Given</t>
        </is>
      </c>
      <c r="E2224" s="11" t="inlineStr">
        <is>
          <t>~을 고려해볼 때</t>
        </is>
      </c>
      <c r="F2224" s="11" t="inlineStr">
        <is>
          <t>Given</t>
        </is>
      </c>
      <c r="G2224" s="11" t="inlineStr">
        <is>
          <t>~을 고려해볼 때</t>
        </is>
      </c>
      <c r="H2224" s="5">
        <f>HYPERLINK("https://www.youtube.com/watch?v=LephPM8Odhs", "영상 보기 ▶")</f>
        <v/>
      </c>
    </row>
    <row r="2225" ht="26" customHeight="1">
      <c r="A2225" s="6" t="n">
        <v>2224</v>
      </c>
      <c r="B2225" s="7" t="inlineStr">
        <is>
          <t>총정리 45탄</t>
        </is>
      </c>
      <c r="C2225" s="7" t="inlineStr">
        <is>
          <t>실전회화/표현</t>
        </is>
      </c>
      <c r="D2225" s="8" t="inlineStr">
        <is>
          <t>I'll let you get back to your work.</t>
        </is>
      </c>
      <c r="E2225" s="12" t="inlineStr">
        <is>
          <t>다시 일 봐/하던 일 해.</t>
        </is>
      </c>
      <c r="F2225" s="12" t="inlineStr">
        <is>
          <t>I'll let you get back to your work.</t>
        </is>
      </c>
      <c r="G2225" s="12" t="inlineStr">
        <is>
          <t>다시 일 봐/하던 일 해.</t>
        </is>
      </c>
      <c r="H2225" s="9">
        <f>HYPERLINK("https://www.youtube.com/watch?v=LephPM8Odhs", "영상 보기 ▶")</f>
        <v/>
      </c>
    </row>
    <row r="2226" ht="26" customHeight="1">
      <c r="A2226" s="2" t="n">
        <v>2225</v>
      </c>
      <c r="B2226" s="3" t="inlineStr">
        <is>
          <t>총정리 45탄</t>
        </is>
      </c>
      <c r="C2226" s="3" t="inlineStr">
        <is>
          <t>실전회화/표현</t>
        </is>
      </c>
      <c r="D2226" s="4" t="inlineStr">
        <is>
          <t>according to plan</t>
        </is>
      </c>
      <c r="E2226" s="11" t="inlineStr">
        <is>
          <t>계획대로</t>
        </is>
      </c>
      <c r="F2226" s="11" t="inlineStr">
        <is>
          <t>according to plan</t>
        </is>
      </c>
      <c r="G2226" s="11" t="inlineStr">
        <is>
          <t>계획대로</t>
        </is>
      </c>
      <c r="H2226" s="5">
        <f>HYPERLINK("https://www.youtube.com/watch?v=LephPM8Odhs", "영상 보기 ▶")</f>
        <v/>
      </c>
    </row>
    <row r="2227" ht="26" customHeight="1">
      <c r="A2227" s="6" t="n">
        <v>2226</v>
      </c>
      <c r="B2227" s="7" t="inlineStr">
        <is>
          <t>총정리 45탄</t>
        </is>
      </c>
      <c r="C2227" s="7" t="inlineStr">
        <is>
          <t>실전회화/표현</t>
        </is>
      </c>
      <c r="D2227" s="8" t="inlineStr">
        <is>
          <t>plan accordingly</t>
        </is>
      </c>
      <c r="E2227" s="12" t="inlineStr">
        <is>
          <t>맞춰서 계획하다</t>
        </is>
      </c>
      <c r="F2227" s="12" t="inlineStr">
        <is>
          <t>plan accordingly</t>
        </is>
      </c>
      <c r="G2227" s="12" t="inlineStr">
        <is>
          <t>맞춰서 계획하다</t>
        </is>
      </c>
      <c r="H2227" s="9">
        <f>HYPERLINK("https://www.youtube.com/watch?v=LephPM8Odhs", "영상 보기 ▶")</f>
        <v/>
      </c>
    </row>
    <row r="2228" ht="26" customHeight="1">
      <c r="A2228" s="2" t="n">
        <v>2227</v>
      </c>
      <c r="B2228" s="3" t="inlineStr">
        <is>
          <t>총정리 45탄</t>
        </is>
      </c>
      <c r="C2228" s="3" t="inlineStr">
        <is>
          <t>실전회화/표현</t>
        </is>
      </c>
      <c r="D2228" s="4" t="inlineStr">
        <is>
          <t>I have no life.</t>
        </is>
      </c>
      <c r="E2228" s="11" t="inlineStr">
        <is>
          <t>내 시간이 없어.</t>
        </is>
      </c>
      <c r="F2228" s="11" t="inlineStr">
        <is>
          <t>I have no life.</t>
        </is>
      </c>
      <c r="G2228" s="11" t="inlineStr">
        <is>
          <t>내 시간이 없어.</t>
        </is>
      </c>
      <c r="H2228" s="5">
        <f>HYPERLINK("https://www.youtube.com/watch?v=LephPM8Odhs", "영상 보기 ▶")</f>
        <v/>
      </c>
    </row>
    <row r="2229" ht="26" customHeight="1">
      <c r="A2229" s="6" t="n">
        <v>2228</v>
      </c>
      <c r="B2229" s="7" t="inlineStr">
        <is>
          <t>총정리 45탄</t>
        </is>
      </c>
      <c r="C2229" s="7" t="inlineStr">
        <is>
          <t>실전회화/표현</t>
        </is>
      </c>
      <c r="D2229" s="8" t="inlineStr">
        <is>
          <t>I can't do this all day. I have a life.</t>
        </is>
      </c>
      <c r="E2229" s="12" t="inlineStr">
        <is>
          <t>하루 종일 이것만 할 순 없어. 나도 내 삶이 있는데.</t>
        </is>
      </c>
      <c r="F2229" s="12" t="inlineStr">
        <is>
          <t>I can't do this all day. I have a life.</t>
        </is>
      </c>
      <c r="G2229" s="12" t="inlineStr">
        <is>
          <t>하루 종일 이것만 할 순 없어. 나도 내 삶이 있는데.</t>
        </is>
      </c>
      <c r="H2229" s="9">
        <f>HYPERLINK("https://www.youtube.com/watch?v=LephPM8Odhs", "영상 보기 ▶")</f>
        <v/>
      </c>
    </row>
    <row r="2230" ht="26" customHeight="1">
      <c r="A2230" s="2" t="n">
        <v>2229</v>
      </c>
      <c r="B2230" s="3" t="inlineStr">
        <is>
          <t>총정리 45탄</t>
        </is>
      </c>
      <c r="C2230" s="3" t="inlineStr">
        <is>
          <t>실전회화/표현</t>
        </is>
      </c>
      <c r="D2230" s="4" t="inlineStr">
        <is>
          <t>put 사람 out</t>
        </is>
      </c>
      <c r="E2230" s="11" t="inlineStr">
        <is>
          <t>~에게 폐를 끼치다/수고스럽게 하다</t>
        </is>
      </c>
      <c r="F2230" s="11" t="inlineStr">
        <is>
          <t>put 사람 out</t>
        </is>
      </c>
      <c r="G2230" s="11" t="inlineStr">
        <is>
          <t>~에게 폐를 끼치다/수고스럽게 하다</t>
        </is>
      </c>
      <c r="H2230" s="5">
        <f>HYPERLINK("https://www.youtube.com/watch?v=LephPM8Odhs", "영상 보기 ▶")</f>
        <v/>
      </c>
    </row>
    <row r="2231" ht="26" customHeight="1">
      <c r="A2231" s="6" t="n">
        <v>2230</v>
      </c>
      <c r="B2231" s="7" t="inlineStr">
        <is>
          <t>총정리 45탄</t>
        </is>
      </c>
      <c r="C2231" s="7" t="inlineStr">
        <is>
          <t>실전회화/표현</t>
        </is>
      </c>
      <c r="D2231" s="8" t="inlineStr">
        <is>
          <t>impose</t>
        </is>
      </c>
      <c r="E2231" s="12" t="inlineStr">
        <is>
          <t>폐를 끼치다</t>
        </is>
      </c>
      <c r="F2231" s="12" t="inlineStr">
        <is>
          <t>impose</t>
        </is>
      </c>
      <c r="G2231" s="12" t="inlineStr">
        <is>
          <t>폐를 끼치다</t>
        </is>
      </c>
      <c r="H2231" s="9">
        <f>HYPERLINK("https://www.youtube.com/watch?v=LephPM8Odhs", "영상 보기 ▶")</f>
        <v/>
      </c>
    </row>
    <row r="2232" ht="26" customHeight="1">
      <c r="A2232" s="2" t="n">
        <v>2231</v>
      </c>
      <c r="B2232" s="3" t="inlineStr">
        <is>
          <t>총정리 45탄</t>
        </is>
      </c>
      <c r="C2232" s="3" t="inlineStr">
        <is>
          <t>실전회화/표현</t>
        </is>
      </c>
      <c r="D2232" s="4" t="inlineStr">
        <is>
          <t>drive</t>
        </is>
      </c>
      <c r="E2232" s="11" t="inlineStr">
        <is>
          <t>추진력, 강한 의지, 동력</t>
        </is>
      </c>
      <c r="F2232" s="11" t="inlineStr">
        <is>
          <t>drive</t>
        </is>
      </c>
      <c r="G2232" s="11" t="inlineStr">
        <is>
          <t>추진력, 강한 의지, 동력</t>
        </is>
      </c>
      <c r="H2232" s="5">
        <f>HYPERLINK("https://www.youtube.com/watch?v=LephPM8Odhs", "영상 보기 ▶")</f>
        <v/>
      </c>
    </row>
    <row r="2233" ht="26" customHeight="1">
      <c r="A2233" s="6" t="n">
        <v>2232</v>
      </c>
      <c r="B2233" s="7" t="inlineStr">
        <is>
          <t>총정리 45탄</t>
        </is>
      </c>
      <c r="C2233" s="7" t="inlineStr">
        <is>
          <t>실전회화/표현</t>
        </is>
      </c>
      <c r="D2233" s="8" t="inlineStr">
        <is>
          <t>Drive safe.</t>
        </is>
      </c>
      <c r="E2233" s="12" t="inlineStr">
        <is>
          <t>운전 조심히 가, 안전운전해</t>
        </is>
      </c>
      <c r="F2233" s="12" t="inlineStr">
        <is>
          <t>Drive safe and call me as soon as you get home.</t>
        </is>
      </c>
      <c r="G2233" s="12" t="inlineStr">
        <is>
          <t>운전 조심히 가고 집에 도착하자마자 전화해 줘.</t>
        </is>
      </c>
      <c r="H2233" s="9">
        <f>HYPERLINK("https://www.youtube.com/watch?v=LephPM8Odhs", "영상 보기 ▶")</f>
        <v/>
      </c>
    </row>
    <row r="2234" ht="26" customHeight="1">
      <c r="A2234" s="2" t="n">
        <v>2233</v>
      </c>
      <c r="B2234" s="3" t="inlineStr">
        <is>
          <t>총정리 45탄</t>
        </is>
      </c>
      <c r="C2234" s="3" t="inlineStr">
        <is>
          <t>실전회화/표현</t>
        </is>
      </c>
      <c r="D2234" s="4" t="inlineStr">
        <is>
          <t>I'm out of shape. (</t>
        </is>
      </c>
      <c r="E2234" s="11" t="inlineStr">
        <is>
          <t>운동을 안해서) 몸이 예전같지 않네/체력이 떨어졌어.</t>
        </is>
      </c>
      <c r="F2234" s="11" t="inlineStr">
        <is>
          <t>I'm out of shape. (</t>
        </is>
      </c>
      <c r="G2234" s="11" t="inlineStr">
        <is>
          <t>운동을 안해서) 몸이 예전같지 않네/체력이 떨어졌어.</t>
        </is>
      </c>
      <c r="H2234" s="5">
        <f>HYPERLINK("https://www.youtube.com/watch?v=LephPM8Odhs", "영상 보기 ▶")</f>
        <v/>
      </c>
    </row>
    <row r="2235" ht="26" customHeight="1">
      <c r="A2235" s="6" t="n">
        <v>2234</v>
      </c>
      <c r="B2235" s="7" t="inlineStr">
        <is>
          <t>총정리 45탄</t>
        </is>
      </c>
      <c r="C2235" s="7" t="inlineStr">
        <is>
          <t>실전회화/표현</t>
        </is>
      </c>
      <c r="D2235" s="8" t="inlineStr">
        <is>
          <t>wiggle room</t>
        </is>
      </c>
      <c r="E2235" s="12" t="inlineStr">
        <is>
          <t>자유 재량권, 조정의 여지</t>
        </is>
      </c>
      <c r="F2235" s="12" t="inlineStr">
        <is>
          <t>wiggle room</t>
        </is>
      </c>
      <c r="G2235" s="12" t="inlineStr">
        <is>
          <t>자유 재량권, 조정의 여지</t>
        </is>
      </c>
      <c r="H2235" s="9">
        <f>HYPERLINK("https://www.youtube.com/watch?v=LephPM8Odhs", "영상 보기 ▶")</f>
        <v/>
      </c>
    </row>
    <row r="2236" ht="26" customHeight="1">
      <c r="A2236" s="2" t="n">
        <v>2235</v>
      </c>
      <c r="B2236" s="3" t="inlineStr">
        <is>
          <t>총정리 45탄</t>
        </is>
      </c>
      <c r="C2236" s="3" t="inlineStr">
        <is>
          <t>실전회화/표현</t>
        </is>
      </c>
      <c r="D2236" s="4" t="inlineStr">
        <is>
          <t>It's out of my comfort zone. (</t>
        </is>
      </c>
      <c r="E2236" s="11" t="inlineStr">
        <is>
          <t>평소 안 하는거라) 어색해/불편해/부담돼.</t>
        </is>
      </c>
      <c r="F2236" s="11" t="inlineStr">
        <is>
          <t>It's out of my comfort zone. (</t>
        </is>
      </c>
      <c r="G2236" s="11" t="inlineStr">
        <is>
          <t>평소 안 하는거라) 어색해/불편해/부담돼.</t>
        </is>
      </c>
      <c r="H2236" s="5">
        <f>HYPERLINK("https://www.youtube.com/watch?v=LephPM8Odhs", "영상 보기 ▶")</f>
        <v/>
      </c>
    </row>
    <row r="2237" ht="26" customHeight="1">
      <c r="A2237" s="6" t="n">
        <v>2236</v>
      </c>
      <c r="B2237" s="7" t="inlineStr">
        <is>
          <t>총정리 45탄</t>
        </is>
      </c>
      <c r="C2237" s="7" t="inlineStr">
        <is>
          <t>실전회화/표현</t>
        </is>
      </c>
      <c r="D2237" s="8" t="inlineStr">
        <is>
          <t>It paid for itself.</t>
        </is>
      </c>
      <c r="E2237" s="12" t="inlineStr">
        <is>
          <t>값어치를 했어/본전 뽑았어</t>
        </is>
      </c>
      <c r="F2237" s="12" t="inlineStr">
        <is>
          <t>It paid for itself.</t>
        </is>
      </c>
      <c r="G2237" s="12" t="inlineStr">
        <is>
          <t>값어치를 했어/본전 뽑았어</t>
        </is>
      </c>
      <c r="H2237" s="9">
        <f>HYPERLINK("https://www.youtube.com/watch?v=LephPM8Odhs", "영상 보기 ▶")</f>
        <v/>
      </c>
    </row>
    <row r="2238" ht="26" customHeight="1">
      <c r="A2238" s="2" t="n">
        <v>2237</v>
      </c>
      <c r="B2238" s="3" t="inlineStr">
        <is>
          <t>총정리 45탄</t>
        </is>
      </c>
      <c r="C2238" s="3" t="inlineStr">
        <is>
          <t>실전회화/표현</t>
        </is>
      </c>
      <c r="D2238" s="4" t="inlineStr">
        <is>
          <t>work itself out</t>
        </is>
      </c>
      <c r="E2238" s="11" t="inlineStr">
        <is>
          <t>시간이 지나면 자연스레 해결/풀리다</t>
        </is>
      </c>
      <c r="F2238" s="11" t="inlineStr">
        <is>
          <t>work itself out</t>
        </is>
      </c>
      <c r="G2238" s="11" t="inlineStr">
        <is>
          <t>시간이 지나면 자연스레 해결/풀리다</t>
        </is>
      </c>
      <c r="H2238" s="5">
        <f>HYPERLINK("https://www.youtube.com/watch?v=LephPM8Odhs", "영상 보기 ▶")</f>
        <v/>
      </c>
    </row>
    <row r="2239" ht="26" customHeight="1">
      <c r="A2239" s="6" t="n">
        <v>2238</v>
      </c>
      <c r="B2239" s="7" t="inlineStr">
        <is>
          <t>총정리 45탄</t>
        </is>
      </c>
      <c r="C2239" s="7" t="inlineStr">
        <is>
          <t>실전회화/표현</t>
        </is>
      </c>
      <c r="D2239" s="8" t="inlineStr">
        <is>
          <t>- Your work speaks for itself. 네가 일한 것만 봐도 실력을 다 알 수 있어. (말이 필요없어)</t>
        </is>
      </c>
      <c r="E2239" s="12" t="inlineStr">
        <is>
          <t>따로 설명이 필요 없을 때 speak for itself (자명하다, 분명하다)</t>
        </is>
      </c>
      <c r="F2239" s="12" t="inlineStr">
        <is>
          <t>- Your work speaks for itself. 네가 일한 것만 봐도 실력을 다 알 수 있어. (말이 필요없어)</t>
        </is>
      </c>
      <c r="G2239" s="12" t="inlineStr">
        <is>
          <t>따로 설명이 필요 없을 때 speak for itself (자명하다, 분명하다)</t>
        </is>
      </c>
      <c r="H2239" s="9">
        <f>HYPERLINK("https://www.youtube.com/watch?v=LephPM8Odhs", "영상 보기 ▶")</f>
        <v/>
      </c>
    </row>
    <row r="2240" ht="26" customHeight="1">
      <c r="A2240" s="2" t="n">
        <v>2239</v>
      </c>
      <c r="B2240" s="3" t="inlineStr">
        <is>
          <t>총정리 45탄</t>
        </is>
      </c>
      <c r="C2240" s="3" t="inlineStr">
        <is>
          <t>실전회화/표현</t>
        </is>
      </c>
      <c r="D2240" s="4" t="inlineStr">
        <is>
          <t>- I'm out of ideas. 아이디어가 바닥 났어.</t>
        </is>
      </c>
      <c r="E2240" s="11" t="inlineStr">
        <is>
          <t>다 떨어졌을 때 out of</t>
        </is>
      </c>
      <c r="F2240" s="11" t="inlineStr">
        <is>
          <t>- I'm out of ideas. 아이디어가 바닥 났어.</t>
        </is>
      </c>
      <c r="G2240" s="11" t="inlineStr">
        <is>
          <t>다 떨어졌을 때 out of</t>
        </is>
      </c>
      <c r="H2240" s="5">
        <f>HYPERLINK("https://www.youtube.com/watch?v=LephPM8Odhs", "영상 보기 ▶")</f>
        <v/>
      </c>
    </row>
    <row r="2241" ht="26" customHeight="1">
      <c r="A2241" s="6" t="n">
        <v>2240</v>
      </c>
      <c r="B2241" s="7" t="inlineStr">
        <is>
          <t>총정리 45탄</t>
        </is>
      </c>
      <c r="C2241" s="7" t="inlineStr">
        <is>
          <t>실전회화/표현</t>
        </is>
      </c>
      <c r="D2241" s="8" t="inlineStr">
        <is>
          <t>- I'm saying this out of concern. 걱정돼서 하는 말이야.</t>
        </is>
      </c>
      <c r="E2241" s="12" t="inlineStr">
        <is>
          <t>출처의 out of (~로부터 나온/비롯된)</t>
        </is>
      </c>
      <c r="F2241" s="12" t="inlineStr">
        <is>
          <t>- I'm saying this out of concern. 걱정돼서 하는 말이야.</t>
        </is>
      </c>
      <c r="G2241" s="12" t="inlineStr">
        <is>
          <t>출처의 out of (~로부터 나온/비롯된)</t>
        </is>
      </c>
      <c r="H2241" s="9">
        <f>HYPERLINK("https://www.youtube.com/watch?v=LephPM8Odhs", "영상 보기 ▶")</f>
        <v/>
      </c>
    </row>
    <row r="2242" ht="26" customHeight="1">
      <c r="A2242" s="2" t="n">
        <v>2241</v>
      </c>
      <c r="B2242" s="3" t="inlineStr">
        <is>
          <t>총정리 45탄</t>
        </is>
      </c>
      <c r="C2242" s="3" t="inlineStr">
        <is>
          <t>실전회화/표현</t>
        </is>
      </c>
      <c r="D2242" s="4" t="inlineStr">
        <is>
          <t>opportune</t>
        </is>
      </c>
      <c r="E2242" s="11" t="inlineStr">
        <is>
          <t>(시기상) 적절한, 알맞는</t>
        </is>
      </c>
      <c r="F2242" s="11" t="inlineStr">
        <is>
          <t>opportune</t>
        </is>
      </c>
      <c r="G2242" s="11" t="inlineStr">
        <is>
          <t>(시기상) 적절한, 알맞는</t>
        </is>
      </c>
      <c r="H2242" s="5">
        <f>HYPERLINK("https://www.youtube.com/watch?v=LephPM8Odhs", "영상 보기 ▶")</f>
        <v/>
      </c>
    </row>
    <row r="2243" ht="26" customHeight="1">
      <c r="A2243" s="6" t="n">
        <v>2242</v>
      </c>
      <c r="B2243" s="7" t="inlineStr">
        <is>
          <t>총정리 45탄</t>
        </is>
      </c>
      <c r="C2243" s="7" t="inlineStr">
        <is>
          <t>실전회화/표현</t>
        </is>
      </c>
      <c r="D2243" s="8" t="inlineStr">
        <is>
          <t>borrow</t>
        </is>
      </c>
      <c r="E2243" s="12" t="inlineStr">
        <is>
          <t>(아이디어, 표현 등을) 차용하다, 가져오다</t>
        </is>
      </c>
      <c r="F2243" s="12" t="inlineStr">
        <is>
          <t>borrow</t>
        </is>
      </c>
      <c r="G2243" s="12" t="inlineStr">
        <is>
          <t>(아이디어, 표현 등을) 차용하다, 가져오다</t>
        </is>
      </c>
      <c r="H2243" s="9">
        <f>HYPERLINK("https://www.youtube.com/watch?v=LephPM8Odhs", "영상 보기 ▶")</f>
        <v/>
      </c>
    </row>
    <row r="2244" ht="26" customHeight="1">
      <c r="A2244" s="2" t="n">
        <v>2243</v>
      </c>
      <c r="B2244" s="3" t="inlineStr">
        <is>
          <t>총정리 45탄</t>
        </is>
      </c>
      <c r="C2244" s="3" t="inlineStr">
        <is>
          <t>실전회화/표현</t>
        </is>
      </c>
      <c r="D2244" s="4" t="inlineStr">
        <is>
          <t>essentially</t>
        </is>
      </c>
      <c r="E2244" s="11" t="inlineStr">
        <is>
          <t>본질적으로</t>
        </is>
      </c>
      <c r="F2244" s="11" t="inlineStr">
        <is>
          <t>essentially</t>
        </is>
      </c>
      <c r="G2244" s="11" t="inlineStr">
        <is>
          <t>본질적으로</t>
        </is>
      </c>
      <c r="H2244" s="5">
        <f>HYPERLINK("https://www.youtube.com/watch?v=LephPM8Odhs", "영상 보기 ▶")</f>
        <v/>
      </c>
    </row>
    <row r="2245" ht="26" customHeight="1">
      <c r="A2245" s="6" t="n">
        <v>2244</v>
      </c>
      <c r="B2245" s="7" t="inlineStr">
        <is>
          <t>총정리 45탄</t>
        </is>
      </c>
      <c r="C2245" s="7" t="inlineStr">
        <is>
          <t>실전회화/표현</t>
        </is>
      </c>
      <c r="D2245" s="8" t="inlineStr">
        <is>
          <t>essentially</t>
        </is>
      </c>
      <c r="E2245" s="12" t="inlineStr">
        <is>
          <t>(핵심을 요약) 한 마디로 말하면, 결국, 큰 틀에서 보면</t>
        </is>
      </c>
      <c r="F2245" s="12" t="inlineStr">
        <is>
          <t>essentially</t>
        </is>
      </c>
      <c r="G2245" s="12" t="inlineStr">
        <is>
          <t>(핵심을 요약) 한 마디로 말하면, 결국, 큰 틀에서 보면</t>
        </is>
      </c>
      <c r="H2245" s="9">
        <f>HYPERLINK("https://www.youtube.com/watch?v=LephPM8Odhs", "영상 보기 ▶")</f>
        <v/>
      </c>
    </row>
    <row r="2246" ht="26" customHeight="1">
      <c r="A2246" s="2" t="n">
        <v>2245</v>
      </c>
      <c r="B2246" s="3" t="inlineStr">
        <is>
          <t>총정리 45탄</t>
        </is>
      </c>
      <c r="C2246" s="3" t="inlineStr">
        <is>
          <t>실전회화/표현</t>
        </is>
      </c>
      <c r="D2246" s="4" t="inlineStr">
        <is>
          <t>gray area</t>
        </is>
      </c>
      <c r="E2246" s="11" t="inlineStr">
        <is>
          <t>(명확한 규칙/기준/지침이 없어) 애매한 상황</t>
        </is>
      </c>
      <c r="F2246" s="11" t="inlineStr">
        <is>
          <t>gray area</t>
        </is>
      </c>
      <c r="G2246" s="11" t="inlineStr">
        <is>
          <t>(명확한 규칙/기준/지침이 없어) 애매한 상황</t>
        </is>
      </c>
      <c r="H2246" s="5">
        <f>HYPERLINK("https://www.youtube.com/watch?v=LephPM8Odhs", "영상 보기 ▶")</f>
        <v/>
      </c>
    </row>
    <row r="2247" ht="26" customHeight="1">
      <c r="A2247" s="6" t="n">
        <v>2246</v>
      </c>
      <c r="B2247" s="7" t="inlineStr">
        <is>
          <t>총정리 45탄</t>
        </is>
      </c>
      <c r="C2247" s="7" t="inlineStr">
        <is>
          <t>실전회화/표현</t>
        </is>
      </c>
      <c r="D2247" s="8" t="inlineStr">
        <is>
          <t>black and white</t>
        </is>
      </c>
      <c r="E2247" s="12" t="inlineStr">
        <is>
          <t>흑백논리/이분법적인/명확한 상황</t>
        </is>
      </c>
      <c r="F2247" s="12" t="inlineStr">
        <is>
          <t>black and white</t>
        </is>
      </c>
      <c r="G2247" s="12" t="inlineStr">
        <is>
          <t>흑백논리/이분법적인/명확한 상황</t>
        </is>
      </c>
      <c r="H2247" s="9">
        <f>HYPERLINK("https://www.youtube.com/watch?v=LephPM8Odhs", "영상 보기 ▶")</f>
        <v/>
      </c>
    </row>
    <row r="2248" ht="26" customHeight="1">
      <c r="A2248" s="2" t="n">
        <v>2247</v>
      </c>
      <c r="B2248" s="3" t="inlineStr">
        <is>
          <t>총정리 45탄</t>
        </is>
      </c>
      <c r="C2248" s="3" t="inlineStr">
        <is>
          <t>실전회화/표현</t>
        </is>
      </c>
      <c r="D2248" s="4" t="inlineStr">
        <is>
          <t>play hooky</t>
        </is>
      </c>
      <c r="E2248" s="11" t="inlineStr">
        <is>
          <t>땡땡이 치다</t>
        </is>
      </c>
      <c r="F2248" s="11" t="inlineStr">
        <is>
          <t>play hooky</t>
        </is>
      </c>
      <c r="G2248" s="11" t="inlineStr">
        <is>
          <t>땡땡이 치다</t>
        </is>
      </c>
      <c r="H2248" s="5">
        <f>HYPERLINK("https://www.youtube.com/watch?v=LephPM8Odhs", "영상 보기 ▶")</f>
        <v/>
      </c>
    </row>
    <row r="2249" ht="26" customHeight="1">
      <c r="A2249" s="6" t="n">
        <v>2248</v>
      </c>
      <c r="B2249" s="7" t="inlineStr">
        <is>
          <t>총정리 45탄</t>
        </is>
      </c>
      <c r="C2249" s="7" t="inlineStr">
        <is>
          <t>실전회화/표현</t>
        </is>
      </c>
      <c r="D2249" s="8" t="inlineStr">
        <is>
          <t>Save it for a rainy day.</t>
        </is>
      </c>
      <c r="E2249" s="12" t="inlineStr">
        <is>
          <t>나중을 위해/비상시를 위해 아껴둬.</t>
        </is>
      </c>
      <c r="F2249" s="12" t="inlineStr">
        <is>
          <t>Save it for a rainy day.</t>
        </is>
      </c>
      <c r="G2249" s="12" t="inlineStr">
        <is>
          <t>나중을 위해/비상시를 위해 아껴둬.</t>
        </is>
      </c>
      <c r="H2249" s="9">
        <f>HYPERLINK("https://www.youtube.com/watch?v=LephPM8Odhs", "영상 보기 ▶")</f>
        <v/>
      </c>
    </row>
    <row r="2250" ht="26" customHeight="1">
      <c r="A2250" s="2" t="n">
        <v>2249</v>
      </c>
      <c r="B2250" s="3" t="inlineStr">
        <is>
          <t>총정리 45탄</t>
        </is>
      </c>
      <c r="C2250" s="3" t="inlineStr">
        <is>
          <t>공감/감정</t>
        </is>
      </c>
      <c r="D2250" s="4" t="inlineStr">
        <is>
          <t>I'm open to it.</t>
        </is>
      </c>
      <c r="E2250" s="11" t="inlineStr">
        <is>
          <t>마음은 열려 있어요.</t>
        </is>
      </c>
      <c r="F2250" s="11" t="inlineStr">
        <is>
          <t>I'm open to it.</t>
        </is>
      </c>
      <c r="G2250" s="11" t="inlineStr">
        <is>
          <t>마음은 열려 있어요.</t>
        </is>
      </c>
      <c r="H2250" s="5">
        <f>HYPERLINK("https://www.youtube.com/watch?v=LephPM8Odhs", "영상 보기 ▶")</f>
        <v/>
      </c>
    </row>
    <row r="2251" ht="26" customHeight="1">
      <c r="A2251" s="6" t="n">
        <v>2250</v>
      </c>
      <c r="B2251" s="7" t="inlineStr">
        <is>
          <t>총정리 45탄</t>
        </is>
      </c>
      <c r="C2251" s="7" t="inlineStr">
        <is>
          <t>실전회화/표현</t>
        </is>
      </c>
      <c r="D2251" s="8" t="inlineStr">
        <is>
          <t>That ship has sailed.</t>
        </is>
      </c>
      <c r="E2251" s="12" t="inlineStr">
        <is>
          <t>이미 늦었어, 기회는 물 건너갔어</t>
        </is>
      </c>
      <c r="F2251" s="12" t="inlineStr">
        <is>
          <t>It's too late to apply now; that ship has sailed.</t>
        </is>
      </c>
      <c r="G2251" s="12" t="inlineStr">
        <is>
          <t>지금 지원하기엔 너무 늦었어, 이미 기회는 물 건너갔다고.</t>
        </is>
      </c>
      <c r="H2251" s="9">
        <f>HYPERLINK("https://www.youtube.com/watch?v=LephPM8Odhs", "영상 보기 ▶")</f>
        <v/>
      </c>
    </row>
    <row r="2252" ht="26" customHeight="1">
      <c r="A2252" s="2" t="n">
        <v>2251</v>
      </c>
      <c r="B2252" s="3" t="inlineStr">
        <is>
          <t>총정리 46탄</t>
        </is>
      </c>
      <c r="C2252" s="3" t="inlineStr">
        <is>
          <t>실전회화/표현</t>
        </is>
      </c>
      <c r="D2252" s="4" t="inlineStr">
        <is>
          <t>go overboard</t>
        </is>
      </c>
      <c r="E2252" s="11" t="inlineStr">
        <is>
          <t>지나치게 하다, 오버하다</t>
        </is>
      </c>
      <c r="F2252" s="11" t="inlineStr">
        <is>
          <t>Let's not go overboard.</t>
        </is>
      </c>
      <c r="G2252" s="11" t="inlineStr">
        <is>
          <t>너무 과하게 준비하진/오버하진 말자.</t>
        </is>
      </c>
      <c r="H2252" s="5">
        <f>HYPERLINK("https://www.youtube.com/watch?v=89lCIeVEJZY", "영상 보기 ▶")</f>
        <v/>
      </c>
    </row>
    <row r="2253" ht="26" customHeight="1">
      <c r="A2253" s="6" t="n">
        <v>2252</v>
      </c>
      <c r="B2253" s="7" t="inlineStr">
        <is>
          <t>총정리 46탄</t>
        </is>
      </c>
      <c r="C2253" s="7" t="inlineStr">
        <is>
          <t>실전회화/표현</t>
        </is>
      </c>
      <c r="D2253" s="8" t="inlineStr">
        <is>
          <t>dodge</t>
        </is>
      </c>
      <c r="E2253" s="12" t="inlineStr">
        <is>
          <t>교묘히 피하다/의도적으로 회피하다</t>
        </is>
      </c>
      <c r="F2253" s="12" t="inlineStr">
        <is>
          <t>We dodged a bullet.</t>
        </is>
      </c>
      <c r="G2253" s="12" t="inlineStr">
        <is>
          <t>큰일 날 뻔했는데 진짜 다행이야.</t>
        </is>
      </c>
      <c r="H2253" s="9">
        <f>HYPERLINK("https://www.youtube.com/watch?v=89lCIeVEJZY", "영상 보기 ▶")</f>
        <v/>
      </c>
    </row>
    <row r="2254" ht="26" customHeight="1">
      <c r="A2254" s="2" t="n">
        <v>2253</v>
      </c>
      <c r="B2254" s="3" t="inlineStr">
        <is>
          <t>총정리 46탄</t>
        </is>
      </c>
      <c r="C2254" s="3" t="inlineStr">
        <is>
          <t>실전회화/표현</t>
        </is>
      </c>
      <c r="D2254" s="4" t="inlineStr">
        <is>
          <t>bail (on)</t>
        </is>
      </c>
      <c r="E2254" s="11" t="inlineStr">
        <is>
          <t>약속을 취소하다/바람맞히다</t>
        </is>
      </c>
      <c r="F2254" s="11" t="inlineStr">
        <is>
          <t>Please don't bail on me.</t>
        </is>
      </c>
      <c r="G2254" s="11" t="inlineStr">
        <is>
          <t>온다고 해놓고 안 오면 안돼.</t>
        </is>
      </c>
      <c r="H2254" s="5">
        <f>HYPERLINK("https://www.youtube.com/watch?v=89lCIeVEJZY", "영상 보기 ▶")</f>
        <v/>
      </c>
    </row>
    <row r="2255" ht="26" customHeight="1">
      <c r="A2255" s="6" t="n">
        <v>2254</v>
      </c>
      <c r="B2255" s="7" t="inlineStr">
        <is>
          <t>총정리 46탄</t>
        </is>
      </c>
      <c r="C2255" s="7" t="inlineStr">
        <is>
          <t>실전회화/표현</t>
        </is>
      </c>
      <c r="D2255" s="8" t="inlineStr">
        <is>
          <t>such as</t>
        </is>
      </c>
      <c r="E2255" s="12" t="inlineStr">
        <is>
          <t>예를 들어, ~같은 (격식차린 like)</t>
        </is>
      </c>
      <c r="F2255" s="12" t="inlineStr">
        <is>
          <t>A: Let's do something different.</t>
        </is>
      </c>
      <c r="G2255" s="12" t="inlineStr">
        <is>
          <t>좀 색다른걸 해보자.</t>
        </is>
      </c>
      <c r="H2255" s="9">
        <f>HYPERLINK("https://www.youtube.com/watch?v=89lCIeVEJZY", "영상 보기 ▶")</f>
        <v/>
      </c>
    </row>
    <row r="2256" ht="26" customHeight="1">
      <c r="A2256" s="2" t="n">
        <v>2255</v>
      </c>
      <c r="B2256" s="3" t="inlineStr">
        <is>
          <t>총정리 46탄</t>
        </is>
      </c>
      <c r="C2256" s="3" t="inlineStr">
        <is>
          <t>실전회화/표현</t>
        </is>
      </c>
      <c r="D2256" s="4" t="inlineStr">
        <is>
          <t>as such</t>
        </is>
      </c>
      <c r="E2256" s="11" t="inlineStr">
        <is>
          <t>그 자체로, 그에 맞게</t>
        </is>
      </c>
      <c r="F2256" s="11" t="inlineStr">
        <is>
          <t>We're all professionals. Let's behave as such.</t>
        </is>
      </c>
      <c r="G2256" s="11" t="inlineStr">
        <is>
          <t>우리 다 프로잖아. 그럼 그에맞게/프로처럼 행동해야지.</t>
        </is>
      </c>
      <c r="H2256" s="5">
        <f>HYPERLINK("https://www.youtube.com/watch?v=89lCIeVEJZY", "영상 보기 ▶")</f>
        <v/>
      </c>
    </row>
    <row r="2257" ht="26" customHeight="1">
      <c r="A2257" s="6" t="n">
        <v>2256</v>
      </c>
      <c r="B2257" s="7" t="inlineStr">
        <is>
          <t>총정리 46탄</t>
        </is>
      </c>
      <c r="C2257" s="7" t="inlineStr">
        <is>
          <t>실전회화/표현</t>
        </is>
      </c>
      <c r="D2257" s="8" t="inlineStr">
        <is>
          <t>though (문장 끝)</t>
        </is>
      </c>
      <c r="E2257" s="12" t="inlineStr">
        <is>
          <t>(문장 끝에서) 그래도, 하지만 (but보다 훨씬 부드러운 어조)</t>
        </is>
      </c>
      <c r="F2257" s="12" t="inlineStr">
        <is>
          <t>I'm good. Thank you, though.</t>
        </is>
      </c>
      <c r="G2257" s="12" t="inlineStr">
        <is>
          <t>전 괜찮아요. 그래도 신경 써주셔서 고마워요.</t>
        </is>
      </c>
      <c r="H2257" s="9">
        <f>HYPERLINK("https://www.youtube.com/watch?v=89lCIeVEJZY", "영상 보기 ▶")</f>
        <v/>
      </c>
    </row>
    <row r="2258" ht="26" customHeight="1">
      <c r="A2258" s="2" t="n">
        <v>2257</v>
      </c>
      <c r="B2258" s="3" t="inlineStr">
        <is>
          <t>총정리 46탄</t>
        </is>
      </c>
      <c r="C2258" s="3" t="inlineStr">
        <is>
          <t>실전회화/표현</t>
        </is>
      </c>
      <c r="D2258" s="4" t="inlineStr">
        <is>
          <t>unwind</t>
        </is>
      </c>
      <c r="E2258" s="11" t="inlineStr">
        <is>
          <t>긴장을 풀다/휴식을 취하다</t>
        </is>
      </c>
      <c r="F2258" s="11" t="inlineStr">
        <is>
          <t>What do you do to unwind?</t>
        </is>
      </c>
      <c r="G2258" s="11" t="inlineStr">
        <is>
          <t>평소 스트레스 어떻게 풀어?</t>
        </is>
      </c>
      <c r="H2258" s="5">
        <f>HYPERLINK("https://www.youtube.com/watch?v=89lCIeVEJZY", "영상 보기 ▶")</f>
        <v/>
      </c>
    </row>
    <row r="2259" ht="26" customHeight="1">
      <c r="A2259" s="6" t="n">
        <v>2258</v>
      </c>
      <c r="B2259" s="7" t="inlineStr">
        <is>
          <t>총정리 46탄</t>
        </is>
      </c>
      <c r="C2259" s="7" t="inlineStr">
        <is>
          <t>실전회화/표현</t>
        </is>
      </c>
      <c r="D2259" s="8" t="inlineStr">
        <is>
          <t>do 사람 in</t>
        </is>
      </c>
      <c r="E2259" s="12" t="inlineStr">
        <is>
          <t>완전 무너뜨리다, 지치게 하다</t>
        </is>
      </c>
      <c r="F2259" s="12" t="inlineStr">
        <is>
          <t>That workout did me in. I can't move.</t>
        </is>
      </c>
      <c r="G2259" s="12" t="inlineStr">
        <is>
          <t>운동 때문에 힘들어 죽겠네. 몸이 말을 안들어.</t>
        </is>
      </c>
      <c r="H2259" s="9">
        <f>HYPERLINK("https://www.youtube.com/watch?v=89lCIeVEJZY", "영상 보기 ▶")</f>
        <v/>
      </c>
    </row>
    <row r="2260" ht="26" customHeight="1">
      <c r="A2260" s="2" t="n">
        <v>2259</v>
      </c>
      <c r="B2260" s="3" t="inlineStr">
        <is>
          <t>총정리 46탄</t>
        </is>
      </c>
      <c r="C2260" s="3" t="inlineStr">
        <is>
          <t>실전회화/표현</t>
        </is>
      </c>
      <c r="D2260" s="4" t="inlineStr">
        <is>
          <t>There's no such thing as~</t>
        </is>
      </c>
      <c r="E2260" s="11" t="inlineStr">
        <is>
          <t>~라는 건 애초에 없어/그런 건 존재하지 않아.</t>
        </is>
      </c>
      <c r="F2260" s="11" t="inlineStr">
        <is>
          <t>There's no such thing as a free lunch.</t>
        </is>
      </c>
      <c r="G2260" s="11" t="inlineStr">
        <is>
          <t>세상에 공짜는 없어.</t>
        </is>
      </c>
      <c r="H2260" s="5">
        <f>HYPERLINK("https://www.youtube.com/watch?v=89lCIeVEJZY", "영상 보기 ▶")</f>
        <v/>
      </c>
    </row>
    <row r="2261" ht="26" customHeight="1">
      <c r="A2261" s="6" t="n">
        <v>2260</v>
      </c>
      <c r="B2261" s="7" t="inlineStr">
        <is>
          <t>총정리 46탄</t>
        </is>
      </c>
      <c r="C2261" s="7" t="inlineStr">
        <is>
          <t>공감/감정</t>
        </is>
      </c>
      <c r="D2261" s="8" t="inlineStr">
        <is>
          <t>Please keep me honest.</t>
        </is>
      </c>
      <c r="E2261" s="12" t="inlineStr">
        <is>
          <t>혹 빠뜨리거나 잘못 이해한 부분이 있으면 말해주세요. (정확한의 의미)</t>
        </is>
      </c>
      <c r="F2261" s="12" t="inlineStr">
        <is>
          <t>I think these numbers are correct, but keep me honest.</t>
        </is>
      </c>
      <c r="G2261" s="12" t="inlineStr">
        <is>
          <t>내가 보기엔 맞는 것 같은데 혹 틀린 부분이 있다면 말해줘.</t>
        </is>
      </c>
      <c r="H2261" s="9">
        <f>HYPERLINK("https://www.youtube.com/watch?v=89lCIeVEJZY", "영상 보기 ▶")</f>
        <v/>
      </c>
    </row>
    <row r="2262" ht="26" customHeight="1">
      <c r="A2262" s="2" t="n">
        <v>2261</v>
      </c>
      <c r="B2262" s="3" t="inlineStr">
        <is>
          <t>총정리 46탄</t>
        </is>
      </c>
      <c r="C2262" s="3" t="inlineStr">
        <is>
          <t>실전회화/표현</t>
        </is>
      </c>
      <c r="D2262" s="4" t="inlineStr">
        <is>
          <t>honest mistake</t>
        </is>
      </c>
      <c r="E2262" s="11" t="inlineStr">
        <is>
          <t>의도치 않은/악의가 없는 실수</t>
        </is>
      </c>
      <c r="F2262" s="11" t="inlineStr">
        <is>
          <t>It's an honest mistake.</t>
        </is>
      </c>
      <c r="G2262" s="11" t="inlineStr">
        <is>
          <t>그건 의도치 않은/악의가 없는 실수야.</t>
        </is>
      </c>
      <c r="H2262" s="5">
        <f>HYPERLINK("https://www.youtube.com/watch?v=89lCIeVEJZY", "영상 보기 ▶")</f>
        <v/>
      </c>
    </row>
    <row r="2263" ht="26" customHeight="1">
      <c r="A2263" s="6" t="n">
        <v>2262</v>
      </c>
      <c r="B2263" s="7" t="inlineStr">
        <is>
          <t>총정리 46탄</t>
        </is>
      </c>
      <c r="C2263" s="7" t="inlineStr">
        <is>
          <t>실전회화/표현</t>
        </is>
      </c>
      <c r="D2263" s="8" t="inlineStr">
        <is>
          <t>wind up 동사ing</t>
        </is>
      </c>
      <c r="E2263" s="12" t="inlineStr">
        <is>
          <t>결국 ~하게 되다</t>
        </is>
      </c>
      <c r="F2263" s="12" t="inlineStr">
        <is>
          <t>end up</t>
        </is>
      </c>
      <c r="G2263" s="12" t="inlineStr">
        <is>
          <t>보다 캐쥬얼</t>
        </is>
      </c>
      <c r="H2263" s="9">
        <f>HYPERLINK("https://www.youtube.com/watch?v=89lCIeVEJZY", "영상 보기 ▶")</f>
        <v/>
      </c>
    </row>
    <row r="2264" ht="26" customHeight="1">
      <c r="A2264" s="2" t="n">
        <v>2263</v>
      </c>
      <c r="B2264" s="3" t="inlineStr">
        <is>
          <t>총정리 46탄</t>
        </is>
      </c>
      <c r="C2264" s="3" t="inlineStr">
        <is>
          <t>실전회화/표현</t>
        </is>
      </c>
      <c r="D2264" s="4" t="inlineStr">
        <is>
          <t>turn on 사람</t>
        </is>
      </c>
      <c r="E2264" s="11" t="inlineStr">
        <is>
          <t>갑자기 공격하다/달려들다</t>
        </is>
      </c>
      <c r="F2264" s="11" t="inlineStr">
        <is>
          <t>Why are you turning on me?</t>
        </is>
      </c>
      <c r="G2264" s="11" t="inlineStr">
        <is>
          <t>왜 나한테 화살을 돌려/왜 갑자기 나한테 그래</t>
        </is>
      </c>
      <c r="H2264" s="5">
        <f>HYPERLINK("https://www.youtube.com/watch?v=89lCIeVEJZY", "영상 보기 ▶")</f>
        <v/>
      </c>
    </row>
    <row r="2265" ht="26" customHeight="1">
      <c r="A2265" s="6" t="n">
        <v>2264</v>
      </c>
      <c r="B2265" s="7" t="inlineStr">
        <is>
          <t>총정리 46탄</t>
        </is>
      </c>
      <c r="C2265" s="7" t="inlineStr">
        <is>
          <t>실전회화/표현</t>
        </is>
      </c>
      <c r="D2265" s="8" t="inlineStr">
        <is>
          <t>Such is life.</t>
        </is>
      </c>
      <c r="E2265" s="12" t="inlineStr">
        <is>
          <t>인생이 다 그런거지, 어쩔수 없지.</t>
        </is>
      </c>
      <c r="F2265" s="12" t="inlineStr">
        <is>
          <t>It's not fair, but such is life.</t>
        </is>
      </c>
      <c r="G2265" s="12" t="inlineStr">
        <is>
          <t>불공평하지만 인생이 다 그런거지.</t>
        </is>
      </c>
      <c r="H2265" s="9">
        <f>HYPERLINK("https://www.youtube.com/watch?v=89lCIeVEJZY", "영상 보기 ▶")</f>
        <v/>
      </c>
    </row>
    <row r="2266" ht="26" customHeight="1">
      <c r="A2266" s="2" t="n">
        <v>2265</v>
      </c>
      <c r="B2266" s="3" t="inlineStr">
        <is>
          <t>총정리 46탄</t>
        </is>
      </c>
      <c r="C2266" s="3" t="inlineStr">
        <is>
          <t>실전회화/표현</t>
        </is>
      </c>
      <c r="D2266" s="4" t="inlineStr">
        <is>
          <t>stay up late 동사ing</t>
        </is>
      </c>
      <c r="E2266" s="11" t="inlineStr">
        <is>
          <t>~하느라 늦게 자다 (늦게까지 깨어있다)</t>
        </is>
      </c>
      <c r="F2266" s="11" t="inlineStr">
        <is>
          <t>I stayed up late finishing the project.</t>
        </is>
      </c>
      <c r="G2266" s="11" t="inlineStr">
        <is>
          <t>프로젝트 마무리하느라 늦게 잤어.</t>
        </is>
      </c>
      <c r="H2266" s="5">
        <f>HYPERLINK("https://www.youtube.com/watch?v=89lCIeVEJZY", "영상 보기 ▶")</f>
        <v/>
      </c>
    </row>
    <row r="2267" ht="26" customHeight="1">
      <c r="A2267" s="6" t="n">
        <v>2266</v>
      </c>
      <c r="B2267" s="7" t="inlineStr">
        <is>
          <t>총정리 46탄</t>
        </is>
      </c>
      <c r="C2267" s="7" t="inlineStr">
        <is>
          <t>실전회화/표현</t>
        </is>
      </c>
      <c r="D2267" s="8" t="inlineStr">
        <is>
          <t>Don't stay too late.</t>
        </is>
      </c>
      <c r="E2267" s="12" t="inlineStr">
        <is>
          <t>(먼저 퇴근할 때) 너무 늦게까지 야근하지 마세요</t>
        </is>
      </c>
      <c r="F2267" s="12" t="inlineStr">
        <is>
          <t>I'm heading out first. Don't stay too late!</t>
        </is>
      </c>
      <c r="G2267" s="12" t="inlineStr">
        <is>
          <t>저 먼저 일어나 볼게요. 너무 늦게까지 무리해서 일하지 마세요!</t>
        </is>
      </c>
      <c r="H2267" s="9">
        <f>HYPERLINK("https://www.youtube.com/watch?v=89lCIeVEJZY", "영상 보기 ▶")</f>
        <v/>
      </c>
    </row>
    <row r="2268" ht="26" customHeight="1">
      <c r="A2268" s="2" t="n">
        <v>2267</v>
      </c>
      <c r="B2268" s="3" t="inlineStr">
        <is>
          <t>총정리 46탄</t>
        </is>
      </c>
      <c r="C2268" s="3" t="inlineStr">
        <is>
          <t>실전회화/표현</t>
        </is>
      </c>
      <c r="D2268" s="4" t="inlineStr">
        <is>
          <t>come over</t>
        </is>
      </c>
      <c r="E2268" s="11" t="inlineStr">
        <is>
          <t>(특히 누군가의 집에) 놀러오다</t>
        </is>
      </c>
      <c r="F2268" s="11" t="inlineStr">
        <is>
          <t>Do you wanna come over?</t>
        </is>
      </c>
      <c r="G2268" s="11" t="inlineStr">
        <is>
          <t>놀러올래?</t>
        </is>
      </c>
      <c r="H2268" s="5">
        <f>HYPERLINK("https://www.youtube.com/watch?v=89lCIeVEJZY", "영상 보기 ▶")</f>
        <v/>
      </c>
    </row>
    <row r="2269" ht="26" customHeight="1">
      <c r="A2269" s="6" t="n">
        <v>2268</v>
      </c>
      <c r="B2269" s="7" t="inlineStr">
        <is>
          <t>총정리 46탄</t>
        </is>
      </c>
      <c r="C2269" s="7" t="inlineStr">
        <is>
          <t>실전회화/표현</t>
        </is>
      </c>
      <c r="D2269" s="8" t="inlineStr">
        <is>
          <t>'</t>
        </is>
      </c>
      <c r="E2269" s="12" t="inlineStr">
        <is>
          <t>잠깐 들르다'의 come by</t>
        </is>
      </c>
      <c r="F2269" s="12" t="inlineStr">
        <is>
          <t>Do you wanna come by later?</t>
        </is>
      </c>
      <c r="G2269" s="12" t="inlineStr">
        <is>
          <t>이따 잠깐 들를래?</t>
        </is>
      </c>
      <c r="H2269" s="9">
        <f>HYPERLINK("https://www.youtube.com/watch?v=89lCIeVEJZY", "영상 보기 ▶")</f>
        <v/>
      </c>
    </row>
    <row r="2270" ht="26" customHeight="1">
      <c r="A2270" s="2" t="n">
        <v>2269</v>
      </c>
      <c r="B2270" s="3" t="inlineStr">
        <is>
          <t>총정리 46탄</t>
        </is>
      </c>
      <c r="C2270" s="3" t="inlineStr">
        <is>
          <t>실전회화/표현</t>
        </is>
      </c>
      <c r="D2270" s="4" t="inlineStr">
        <is>
          <t>'</t>
        </is>
      </c>
      <c r="E2270" s="11" t="inlineStr">
        <is>
          <t>구하다/얻다'의 come by</t>
        </is>
      </c>
      <c r="F2270" s="11" t="inlineStr">
        <is>
          <t>It's hard to come by.</t>
        </is>
      </c>
      <c r="G2270" s="11" t="inlineStr">
        <is>
          <t>그건 흔치 않아/귀해.</t>
        </is>
      </c>
      <c r="H2270" s="5">
        <f>HYPERLINK("https://www.youtube.com/watch?v=89lCIeVEJZY", "영상 보기 ▶")</f>
        <v/>
      </c>
    </row>
    <row r="2271" ht="26" customHeight="1">
      <c r="A2271" s="6" t="n">
        <v>2270</v>
      </c>
      <c r="B2271" s="7" t="inlineStr">
        <is>
          <t>총정리 46탄</t>
        </is>
      </c>
      <c r="C2271" s="7" t="inlineStr">
        <is>
          <t>실전회화/표현</t>
        </is>
      </c>
      <c r="D2271" s="8" t="inlineStr">
        <is>
          <t>work with</t>
        </is>
      </c>
      <c r="E2271" s="12" t="inlineStr">
        <is>
          <t>(주어진 조건에) 맞춰서 진행하다/대처하다</t>
        </is>
      </c>
      <c r="F2271" s="12" t="inlineStr">
        <is>
          <t>I can work with this.</t>
        </is>
      </c>
      <c r="G2271" s="12" t="inlineStr">
        <is>
          <t>이 정도면 괜찮네/맞춰서 진행해 볼게.</t>
        </is>
      </c>
      <c r="H2271" s="9">
        <f>HYPERLINK("https://www.youtube.com/watch?v=89lCIeVEJZY", "영상 보기 ▶")</f>
        <v/>
      </c>
    </row>
    <row r="2272" ht="26" customHeight="1">
      <c r="A2272" s="2" t="n">
        <v>2271</v>
      </c>
      <c r="B2272" s="3" t="inlineStr">
        <is>
          <t>총정리 46탄</t>
        </is>
      </c>
      <c r="C2272" s="3" t="inlineStr">
        <is>
          <t>실전회화/표현</t>
        </is>
      </c>
      <c r="D2272" s="4" t="inlineStr">
        <is>
          <t>put on</t>
        </is>
      </c>
      <c r="E2272" s="11" t="inlineStr">
        <is>
          <t>입다</t>
        </is>
      </c>
      <c r="F2272" s="11" t="inlineStr">
        <is>
          <t>It's chilly outside. You should put on a jacket.</t>
        </is>
      </c>
      <c r="G2272" s="11" t="inlineStr">
        <is>
          <t>밖에 쌀쌀해서 자켓 입는게 좋겠다.</t>
        </is>
      </c>
      <c r="H2272" s="5">
        <f>HYPERLINK("https://www.youtube.com/watch?v=89lCIeVEJZY", "영상 보기 ▶")</f>
        <v/>
      </c>
    </row>
    <row r="2273" ht="26" customHeight="1">
      <c r="A2273" s="6" t="n">
        <v>2272</v>
      </c>
      <c r="B2273" s="7" t="inlineStr">
        <is>
          <t>총정리 46탄</t>
        </is>
      </c>
      <c r="C2273" s="7" t="inlineStr">
        <is>
          <t>실전회화/표현</t>
        </is>
      </c>
      <c r="D2273" s="8" t="inlineStr">
        <is>
          <t>put 사람 on</t>
        </is>
      </c>
      <c r="E2273" s="12" t="inlineStr">
        <is>
          <t>속이다/장난치다</t>
        </is>
      </c>
      <c r="F2273" s="12" t="inlineStr">
        <is>
          <t>Are you putting me on?</t>
        </is>
      </c>
      <c r="G2273" s="12" t="inlineStr">
        <is>
          <t>농담하는 거지?/나 놀리는 거지</t>
        </is>
      </c>
      <c r="H2273" s="9">
        <f>HYPERLINK("https://www.youtube.com/watch?v=89lCIeVEJZY", "영상 보기 ▶")</f>
        <v/>
      </c>
    </row>
    <row r="2274" ht="26" customHeight="1">
      <c r="A2274" s="2" t="n">
        <v>2273</v>
      </c>
      <c r="B2274" s="3" t="inlineStr">
        <is>
          <t>총정리 46탄</t>
        </is>
      </c>
      <c r="C2274" s="3" t="inlineStr">
        <is>
          <t>실전회화/표현</t>
        </is>
      </c>
      <c r="D2274" s="4" t="inlineStr">
        <is>
          <t>put 사람 on the spot</t>
        </is>
      </c>
      <c r="E2274" s="11" t="inlineStr">
        <is>
          <t>~를 난처하게 하다</t>
        </is>
      </c>
      <c r="F2274" s="11" t="inlineStr">
        <is>
          <t>Sorry to put you on the spot, but what do you think?</t>
        </is>
      </c>
      <c r="G2274" s="11" t="inlineStr">
        <is>
          <t>널 곤란하게 하려는 건 아닌데/갑자기 물어봐서 미안한데 넌 어떻게 생각해?</t>
        </is>
      </c>
      <c r="H2274" s="5">
        <f>HYPERLINK("https://www.youtube.com/watch?v=89lCIeVEJZY", "영상 보기 ▶")</f>
        <v/>
      </c>
    </row>
    <row r="2275" ht="26" customHeight="1">
      <c r="A2275" s="6" t="n">
        <v>2274</v>
      </c>
      <c r="B2275" s="7" t="inlineStr">
        <is>
          <t>총정리 46탄</t>
        </is>
      </c>
      <c r="C2275" s="7" t="inlineStr">
        <is>
          <t>실전회화/표현</t>
        </is>
      </c>
      <c r="D2275" s="8" t="inlineStr">
        <is>
          <t>vibe with</t>
        </is>
      </c>
      <c r="E2275" s="12" t="inlineStr">
        <is>
          <t>~와 잘 맞다/어울리다</t>
        </is>
      </c>
      <c r="F2275" s="12" t="inlineStr">
        <is>
          <t>I vibe with her.</t>
        </is>
      </c>
      <c r="G2275" s="12" t="inlineStr">
        <is>
          <t>난 그녀와 잘 맞아.</t>
        </is>
      </c>
      <c r="H2275" s="9">
        <f>HYPERLINK("https://www.youtube.com/watch?v=89lCIeVEJZY", "영상 보기 ▶")</f>
        <v/>
      </c>
    </row>
    <row r="2276" ht="26" customHeight="1">
      <c r="A2276" s="2" t="n">
        <v>2275</v>
      </c>
      <c r="B2276" s="3" t="inlineStr">
        <is>
          <t>총정리 46탄</t>
        </is>
      </c>
      <c r="C2276" s="3" t="inlineStr">
        <is>
          <t>공감/감정</t>
        </is>
      </c>
      <c r="D2276" s="4" t="inlineStr">
        <is>
          <t>명사 vibe</t>
        </is>
      </c>
      <c r="E2276" s="11" t="inlineStr">
        <is>
          <t>분위기, 느낌</t>
        </is>
      </c>
      <c r="F2276" s="11" t="inlineStr">
        <is>
          <t>I like the vibe here.</t>
        </is>
      </c>
      <c r="G2276" s="11" t="inlineStr">
        <is>
          <t>여기 분위기, 느낌 좋다</t>
        </is>
      </c>
      <c r="H2276" s="5">
        <f>HYPERLINK("https://www.youtube.com/watch?v=89lCIeVEJZY", "영상 보기 ▶")</f>
        <v/>
      </c>
    </row>
    <row r="2277" ht="26" customHeight="1">
      <c r="A2277" s="6" t="n">
        <v>2276</v>
      </c>
      <c r="B2277" s="7" t="inlineStr">
        <is>
          <t>총정리 46탄</t>
        </is>
      </c>
      <c r="C2277" s="7" t="inlineStr">
        <is>
          <t>실전회화/표현</t>
        </is>
      </c>
      <c r="D2277" s="8" t="inlineStr">
        <is>
          <t>such (강조)</t>
        </is>
      </c>
      <c r="E2277" s="12" t="inlineStr">
        <is>
          <t>대단히, 정말로, 아주 (a such + 명사 구조)</t>
        </is>
      </c>
      <c r="F2277" s="12" t="inlineStr">
        <is>
          <t>It's such a shame that you couldn't join us.</t>
        </is>
      </c>
      <c r="G2277" s="12" t="inlineStr">
        <is>
          <t>네가 함께하지 못했다니 정말 너무너무 아쉽다.</t>
        </is>
      </c>
      <c r="H2277" s="9">
        <f>HYPERLINK("https://www.youtube.com/watch?v=89lCIeVEJZY", "영상 보기 ▶")</f>
        <v/>
      </c>
    </row>
    <row r="2278" ht="26" customHeight="1">
      <c r="A2278" s="2" t="n">
        <v>2277</v>
      </c>
      <c r="B2278" s="3" t="inlineStr">
        <is>
          <t>총정리 46탄</t>
        </is>
      </c>
      <c r="C2278" s="3" t="inlineStr">
        <is>
          <t>실전회화/표현</t>
        </is>
      </c>
      <c r="D2278" s="4" t="inlineStr">
        <is>
          <t>'</t>
        </is>
      </c>
      <c r="E2278" s="11" t="inlineStr">
        <is>
          <t>어느정도, 다소, 꽤'의 rather</t>
        </is>
      </c>
      <c r="F2278" s="11" t="inlineStr">
        <is>
          <t>It's rather good.</t>
        </is>
      </c>
      <c r="G2278" s="11" t="inlineStr">
        <is>
          <t>꽤 좋은데.</t>
        </is>
      </c>
      <c r="H2278" s="5">
        <f>HYPERLINK("https://www.youtube.com/watch?v=89lCIeVEJZY", "영상 보기 ▶")</f>
        <v/>
      </c>
    </row>
    <row r="2279" ht="26" customHeight="1">
      <c r="A2279" s="6" t="n">
        <v>2278</v>
      </c>
      <c r="B2279" s="7" t="inlineStr">
        <is>
          <t>총정리 46탄</t>
        </is>
      </c>
      <c r="C2279" s="7" t="inlineStr">
        <is>
          <t>실전회화/표현</t>
        </is>
      </c>
      <c r="D2279" s="8" t="inlineStr">
        <is>
          <t>I'd rather ~</t>
        </is>
      </c>
      <c r="E2279" s="12" t="inlineStr">
        <is>
          <t>차라리 ~하고 싶어, ~하는 편이 낫겠어 (부드러운 거절)</t>
        </is>
      </c>
      <c r="F2279" s="12" t="inlineStr">
        <is>
          <t>I'd rather not discuss that matter right now.</t>
        </is>
      </c>
      <c r="G2279" s="12" t="inlineStr">
        <is>
          <t>지금은 그 문제에 대해 차라리 말하지 않는 게 좋겠어요.</t>
        </is>
      </c>
      <c r="H2279" s="9">
        <f>HYPERLINK("https://www.youtube.com/watch?v=89lCIeVEJZY", "영상 보기 ▶")</f>
        <v/>
      </c>
    </row>
    <row r="2280" ht="26" customHeight="1">
      <c r="A2280" s="2" t="n">
        <v>2279</v>
      </c>
      <c r="B2280" s="3" t="inlineStr">
        <is>
          <t>총정리 46탄</t>
        </is>
      </c>
      <c r="C2280" s="3" t="inlineStr">
        <is>
          <t>실전회화/표현</t>
        </is>
      </c>
      <c r="D2280" s="4" t="inlineStr">
        <is>
          <t>pick up</t>
        </is>
      </c>
      <c r="E2280" s="11" t="inlineStr">
        <is>
          <t>(중단된 상황으로 돌아가) 이어서 계속하다</t>
        </is>
      </c>
      <c r="F2280" s="11" t="inlineStr">
        <is>
          <t>It's rather late. Let's pick this back up tomorrow.</t>
        </is>
      </c>
      <c r="G2280" s="11" t="inlineStr">
        <is>
          <t>꽤 늦었으니 내일 다시 이어서 계속하자.</t>
        </is>
      </c>
      <c r="H2280" s="5">
        <f>HYPERLINK("https://www.youtube.com/watch?v=89lCIeVEJZY", "영상 보기 ▶")</f>
        <v/>
      </c>
    </row>
    <row r="2281" ht="26" customHeight="1">
      <c r="A2281" s="6" t="n">
        <v>2280</v>
      </c>
      <c r="B2281" s="7" t="inlineStr">
        <is>
          <t>총정리 46탄</t>
        </is>
      </c>
      <c r="C2281" s="7" t="inlineStr">
        <is>
          <t>실전회화/표현</t>
        </is>
      </c>
      <c r="D2281" s="8" t="inlineStr">
        <is>
          <t>take it from here</t>
        </is>
      </c>
      <c r="E2281" s="12" t="inlineStr">
        <is>
          <t>(상대가 하던 일을) 여기서부터 이어서 진행하다/맡다</t>
        </is>
      </c>
      <c r="F2281" s="12" t="inlineStr">
        <is>
          <t>I'll take it from here.</t>
        </is>
      </c>
      <c r="G2281" s="12" t="inlineStr">
        <is>
          <t>여기서부턴 내가 맡을게/이제 내가 처리할게.</t>
        </is>
      </c>
      <c r="H2281" s="9">
        <f>HYPERLINK("https://www.youtube.com/watch?v=89lCIeVEJZY", "영상 보기 ▶")</f>
        <v/>
      </c>
    </row>
    <row r="2282" ht="26" customHeight="1">
      <c r="A2282" s="2" t="n">
        <v>2281</v>
      </c>
      <c r="B2282" s="3" t="inlineStr">
        <is>
          <t>총정리 46탄</t>
        </is>
      </c>
      <c r="C2282" s="3" t="inlineStr">
        <is>
          <t>비즈니스/업무</t>
        </is>
      </c>
      <c r="D2282" s="4" t="inlineStr">
        <is>
          <t>Let's take it from there. (</t>
        </is>
      </c>
      <c r="E2282" s="11" t="inlineStr">
        <is>
          <t>일단 ~를 해보고) 나머지는 그때가서 어떻게 할건지 결정/진행/봐보자.</t>
        </is>
      </c>
      <c r="F2282" s="11" t="inlineStr">
        <is>
          <t>Let's see what happens, and we'll take it from there.</t>
        </is>
      </c>
      <c r="G2282" s="11" t="inlineStr">
        <is>
          <t>일단 어떻게 되는지 상황을 지켜봐보고 그때가서 결정하자.</t>
        </is>
      </c>
      <c r="H2282" s="5">
        <f>HYPERLINK("https://www.youtube.com/watch?v=89lCIeVEJZY", "영상 보기 ▶")</f>
        <v/>
      </c>
    </row>
    <row r="2283" ht="26" customHeight="1">
      <c r="A2283" s="6" t="n">
        <v>2282</v>
      </c>
      <c r="B2283" s="7" t="inlineStr">
        <is>
          <t>총정리 46탄</t>
        </is>
      </c>
      <c r="C2283" s="7" t="inlineStr">
        <is>
          <t>실전회화/표현</t>
        </is>
      </c>
      <c r="D2283" s="8" t="inlineStr">
        <is>
          <t>put 사람 on edge</t>
        </is>
      </c>
      <c r="E2283" s="12" t="inlineStr">
        <is>
          <t>신경을 곤두서게/예민하게 하다</t>
        </is>
      </c>
      <c r="F2283" s="12" t="inlineStr">
        <is>
          <t>This project is putting everyone on edge.</t>
        </is>
      </c>
      <c r="G2283" s="12" t="inlineStr">
        <is>
          <t>이 프로젝트 때문에 다들 예민해.</t>
        </is>
      </c>
      <c r="H2283" s="9">
        <f>HYPERLINK("https://www.youtube.com/watch?v=89lCIeVEJZY", "영상 보기 ▶")</f>
        <v/>
      </c>
    </row>
    <row r="2284" ht="26" customHeight="1">
      <c r="A2284" s="2" t="n">
        <v>2283</v>
      </c>
      <c r="B2284" s="3" t="inlineStr">
        <is>
          <t>총정리 46탄</t>
        </is>
      </c>
      <c r="C2284" s="3" t="inlineStr">
        <is>
          <t>실전회화/표현</t>
        </is>
      </c>
      <c r="D2284" s="4" t="inlineStr">
        <is>
          <t>I couldn't agree more. (</t>
        </is>
      </c>
      <c r="E2284" s="11" t="inlineStr">
        <is>
          <t>이보다 더 동의할 수 없을 정도로) 완전 동의해.</t>
        </is>
      </c>
      <c r="F2284" s="11" t="inlineStr">
        <is>
          <t>I couldn't agree more. (</t>
        </is>
      </c>
      <c r="G2284" s="11" t="inlineStr">
        <is>
          <t>이보다 더 동의할 수 없을 정도로) 완전 동의해.</t>
        </is>
      </c>
      <c r="H2284" s="5">
        <f>HYPERLINK("https://www.youtube.com/watch?v=89lCIeVEJZY", "영상 보기 ▶")</f>
        <v/>
      </c>
    </row>
    <row r="2285" ht="26" customHeight="1">
      <c r="A2285" s="6" t="n">
        <v>2284</v>
      </c>
      <c r="B2285" s="7" t="inlineStr">
        <is>
          <t>총정리 46탄</t>
        </is>
      </c>
      <c r="C2285" s="7" t="inlineStr">
        <is>
          <t>실전회화/표현</t>
        </is>
      </c>
      <c r="D2285" s="8" t="inlineStr">
        <is>
          <t>I couldn't care less. (</t>
        </is>
      </c>
      <c r="E2285" s="12" t="inlineStr">
        <is>
          <t>이보다 덜 신경쓸 수 없을 정도로) 완전 관심 없어/신경 안써.</t>
        </is>
      </c>
      <c r="F2285" s="12" t="inlineStr">
        <is>
          <t>I couldn't care less. (</t>
        </is>
      </c>
      <c r="G2285" s="12" t="inlineStr">
        <is>
          <t>이보다 덜 신경쓸 수 없을 정도로) 완전 관심 없어/신경 안써.</t>
        </is>
      </c>
      <c r="H2285" s="9">
        <f>HYPERLINK("https://www.youtube.com/watch?v=89lCIeVEJZY", "영상 보기 ▶")</f>
        <v/>
      </c>
    </row>
    <row r="2286" ht="26" customHeight="1">
      <c r="A2286" s="2" t="n">
        <v>2285</v>
      </c>
      <c r="B2286" s="3" t="inlineStr">
        <is>
          <t>총정리 46탄</t>
        </is>
      </c>
      <c r="C2286" s="3" t="inlineStr">
        <is>
          <t>실전회화/표현</t>
        </is>
      </c>
      <c r="D2286" s="4" t="inlineStr">
        <is>
          <t>You can't put a price on ~</t>
        </is>
      </c>
      <c r="E2286" s="11" t="inlineStr">
        <is>
          <t>~는 돈으로 환산할 수 없어 (값을 매길 수 없이 귀중해)</t>
        </is>
      </c>
      <c r="F2286" s="11" t="inlineStr">
        <is>
          <t>You can't put a price on good mental health.</t>
        </is>
      </c>
      <c r="G2286" s="11" t="inlineStr">
        <is>
          <t>마음의 평화와 건강은 결코 돈으로 값을 매길 수 없는 소중한 것이야.</t>
        </is>
      </c>
      <c r="H2286" s="5">
        <f>HYPERLINK("https://www.youtube.com/watch?v=89lCIeVEJZY", "영상 보기 ▶")</f>
        <v/>
      </c>
    </row>
    <row r="2287" ht="26" customHeight="1">
      <c r="A2287" s="6" t="n">
        <v>2286</v>
      </c>
      <c r="B2287" s="7" t="inlineStr">
        <is>
          <t>총정리 46탄</t>
        </is>
      </c>
      <c r="C2287" s="7" t="inlineStr">
        <is>
          <t>실전회화/표현</t>
        </is>
      </c>
      <c r="D2287" s="8" t="inlineStr">
        <is>
          <t>hold off</t>
        </is>
      </c>
      <c r="E2287" s="12" t="inlineStr">
        <is>
          <t>보류하다</t>
        </is>
      </c>
      <c r="F2287" s="12" t="inlineStr">
        <is>
          <t>It's rather expensive. I'd rather hold off for now.</t>
        </is>
      </c>
      <c r="G2287" s="12" t="inlineStr">
        <is>
          <t>꽤 비싸네. 일단은 보류하는게 좋겠어.</t>
        </is>
      </c>
      <c r="H2287" s="9">
        <f>HYPERLINK("https://www.youtube.com/watch?v=89lCIeVEJZY", "영상 보기 ▶")</f>
        <v/>
      </c>
    </row>
    <row r="2288" ht="26" customHeight="1">
      <c r="A2288" s="2" t="n">
        <v>2287</v>
      </c>
      <c r="B2288" s="3" t="inlineStr">
        <is>
          <t>총정리 46탄</t>
        </is>
      </c>
      <c r="C2288" s="3" t="inlineStr">
        <is>
          <t>실전회화/표현</t>
        </is>
      </c>
      <c r="D2288" s="4" t="inlineStr">
        <is>
          <t>run with</t>
        </is>
      </c>
      <c r="E2288" s="11" t="inlineStr">
        <is>
          <t>~를 밀고 나가다/추진하다</t>
        </is>
      </c>
      <c r="F2288" s="11" t="inlineStr">
        <is>
          <t>If everyone's okay, let's run with it.</t>
        </is>
      </c>
      <c r="G2288" s="11" t="inlineStr">
        <is>
          <t>다들 괜찮으시면 그걸로 진행하죠.</t>
        </is>
      </c>
      <c r="H2288" s="5">
        <f>HYPERLINK("https://www.youtube.com/watch?v=89lCIeVEJZY", "영상 보기 ▶")</f>
        <v/>
      </c>
    </row>
    <row r="2289" ht="26" customHeight="1">
      <c r="A2289" s="6" t="n">
        <v>2288</v>
      </c>
      <c r="B2289" s="7" t="inlineStr">
        <is>
          <t>총정리 46탄</t>
        </is>
      </c>
      <c r="C2289" s="7" t="inlineStr">
        <is>
          <t>실전회화/표현</t>
        </is>
      </c>
      <c r="D2289" s="8" t="inlineStr">
        <is>
          <t>Is it just me, or..?</t>
        </is>
      </c>
      <c r="E2289" s="12" t="inlineStr">
        <is>
          <t>나만 그래?</t>
        </is>
      </c>
      <c r="F2289" s="12" t="inlineStr">
        <is>
          <t>Is it just me, or is it cold in here?</t>
        </is>
      </c>
      <c r="G2289" s="12" t="inlineStr">
        <is>
          <t>여기 좀 춥지 않아? 나만 그런가?</t>
        </is>
      </c>
      <c r="H2289" s="9">
        <f>HYPERLINK("https://www.youtube.com/watch?v=89lCIeVEJZY", "영상 보기 ▶")</f>
        <v/>
      </c>
    </row>
    <row r="2290" ht="26" customHeight="1">
      <c r="A2290" s="2" t="n">
        <v>2289</v>
      </c>
      <c r="B2290" s="3" t="inlineStr">
        <is>
          <t>총정리 46탄</t>
        </is>
      </c>
      <c r="C2290" s="3" t="inlineStr">
        <is>
          <t>의견/의사결정</t>
        </is>
      </c>
      <c r="D2290" s="4" t="inlineStr">
        <is>
          <t>I'm feeling nostalgic.</t>
        </is>
      </c>
      <c r="E2290" s="11" t="inlineStr">
        <is>
          <t>옛날 생각 나네/추억돋네</t>
        </is>
      </c>
      <c r="F2290" s="11" t="inlineStr">
        <is>
          <t>I'm feeling nostalgic.</t>
        </is>
      </c>
      <c r="G2290" s="11" t="inlineStr">
        <is>
          <t>옛날 생각 나네/추억돋네</t>
        </is>
      </c>
      <c r="H2290" s="5">
        <f>HYPERLINK("https://www.youtube.com/watch?v=89lCIeVEJZY", "영상 보기 ▶")</f>
        <v/>
      </c>
    </row>
    <row r="2291" ht="26" customHeight="1">
      <c r="A2291" s="6" t="n">
        <v>2290</v>
      </c>
      <c r="B2291" s="7" t="inlineStr">
        <is>
          <t>총정리 46탄</t>
        </is>
      </c>
      <c r="C2291" s="7" t="inlineStr">
        <is>
          <t>실전회화/표현</t>
        </is>
      </c>
      <c r="D2291" s="8" t="inlineStr">
        <is>
          <t>I don't mean to 동사원형</t>
        </is>
      </c>
      <c r="E2291" s="12" t="inlineStr">
        <is>
          <t>일부러 ~하려는 건 아니야/의도한건 아니야 (변명 조)</t>
        </is>
      </c>
      <c r="F2291" s="12" t="inlineStr">
        <is>
          <t>I don't mean to put you on the spot, but what do you think?</t>
        </is>
      </c>
      <c r="G2291" s="12" t="inlineStr">
        <is>
          <t>널 곤란하게/부담주려는 건 아닌데 넌 어떻게 생각해?</t>
        </is>
      </c>
      <c r="H2291" s="9">
        <f>HYPERLINK("https://www.youtube.com/watch?v=89lCIeVEJZY", "영상 보기 ▶")</f>
        <v/>
      </c>
    </row>
    <row r="2292" ht="26" customHeight="1">
      <c r="A2292" s="2" t="n">
        <v>2291</v>
      </c>
      <c r="B2292" s="3" t="inlineStr">
        <is>
          <t>총정리 46탄</t>
        </is>
      </c>
      <c r="C2292" s="3" t="inlineStr">
        <is>
          <t>실전회화/표현</t>
        </is>
      </c>
      <c r="D2292" s="4" t="inlineStr">
        <is>
          <t>How's ~ treating you? ~</t>
        </is>
      </c>
      <c r="E2292" s="11" t="inlineStr">
        <is>
          <t>는 좀 어때?</t>
        </is>
      </c>
      <c r="F2292" s="11" t="inlineStr">
        <is>
          <t>How's work treating you?</t>
        </is>
      </c>
      <c r="G2292" s="11" t="inlineStr">
        <is>
          <t>일은 좀 어때?/할만해?</t>
        </is>
      </c>
      <c r="H2292" s="5">
        <f>HYPERLINK("https://www.youtube.com/watch?v=89lCIeVEJZY", "영상 보기 ▶")</f>
        <v/>
      </c>
    </row>
    <row r="2293" ht="26" customHeight="1">
      <c r="A2293" s="6" t="n">
        <v>2292</v>
      </c>
      <c r="B2293" s="7" t="inlineStr">
        <is>
          <t>총정리 46탄</t>
        </is>
      </c>
      <c r="C2293" s="7" t="inlineStr">
        <is>
          <t>전화 영어</t>
        </is>
      </c>
      <c r="D2293" s="8" t="inlineStr">
        <is>
          <t>put on speaker</t>
        </is>
      </c>
      <c r="E2293" s="12" t="inlineStr">
        <is>
          <t>스피커폰으로 켜다/전환하다 (통화 상대에게 사전 양해)</t>
        </is>
      </c>
      <c r="F2293" s="12" t="inlineStr">
        <is>
          <t>I'm putting you on speaker so the entire team can hear.</t>
        </is>
      </c>
      <c r="G2293" s="12" t="inlineStr">
        <is>
          <t>팀원들 모두가 들을 수 있도록 지금 스피커폰으로 켤게요.</t>
        </is>
      </c>
      <c r="H2293" s="9">
        <f>HYPERLINK("https://www.youtube.com/watch?v=89lCIeVEJZY", "영상 보기 ▶")</f>
        <v/>
      </c>
    </row>
    <row r="2294" ht="26" customHeight="1">
      <c r="A2294" s="2" t="n">
        <v>2293</v>
      </c>
      <c r="B2294" s="3" t="inlineStr">
        <is>
          <t>총정리 46탄</t>
        </is>
      </c>
      <c r="C2294" s="3" t="inlineStr">
        <is>
          <t>실전회화/표현</t>
        </is>
      </c>
      <c r="D2294" s="4" t="inlineStr">
        <is>
          <t>oversleep</t>
        </is>
      </c>
      <c r="E2294" s="11" t="inlineStr">
        <is>
          <t>(실수로) 늦잠자다</t>
        </is>
      </c>
      <c r="F2294" s="11" t="inlineStr">
        <is>
          <t>Sorry I'm late. I overslept.</t>
        </is>
      </c>
      <c r="G2294" s="11" t="inlineStr">
        <is>
          <t>늦어서 미안해. 늦잠잤어.</t>
        </is>
      </c>
      <c r="H2294" s="5">
        <f>HYPERLINK("https://www.youtube.com/watch?v=89lCIeVEJZY", "영상 보기 ▶")</f>
        <v/>
      </c>
    </row>
    <row r="2295" ht="26" customHeight="1">
      <c r="A2295" s="6" t="n">
        <v>2294</v>
      </c>
      <c r="B2295" s="7" t="inlineStr">
        <is>
          <t>총정리 46탄</t>
        </is>
      </c>
      <c r="C2295" s="7" t="inlineStr">
        <is>
          <t>실전회화/표현</t>
        </is>
      </c>
      <c r="D2295" s="8" t="inlineStr">
        <is>
          <t>sleep in</t>
        </is>
      </c>
      <c r="E2295" s="12" t="inlineStr">
        <is>
          <t>늦잠자다</t>
        </is>
      </c>
      <c r="F2295" s="12" t="inlineStr">
        <is>
          <t>I can sleep in tomorrow. (</t>
        </is>
      </c>
      <c r="G2295" s="12" t="inlineStr">
        <is>
          <t>휴일 전) 내일 늦게 일어나도 되네.</t>
        </is>
      </c>
      <c r="H2295" s="9">
        <f>HYPERLINK("https://www.youtube.com/watch?v=89lCIeVEJZY", "영상 보기 ▶")</f>
        <v/>
      </c>
    </row>
    <row r="2296" ht="26" customHeight="1">
      <c r="A2296" s="2" t="n">
        <v>2295</v>
      </c>
      <c r="B2296" s="3" t="inlineStr">
        <is>
          <t>총정리 46탄</t>
        </is>
      </c>
      <c r="C2296" s="3" t="inlineStr">
        <is>
          <t>실전회화/표현</t>
        </is>
      </c>
      <c r="D2296" s="4" t="inlineStr">
        <is>
          <t>I'm on my way.</t>
        </is>
      </c>
      <c r="E2296" s="11" t="inlineStr">
        <is>
          <t>지금 가는 중/이동 중이야.</t>
        </is>
      </c>
      <c r="F2296" s="11" t="inlineStr">
        <is>
          <t>Are you on your way?</t>
        </is>
      </c>
      <c r="G2296" s="11" t="inlineStr">
        <is>
          <t>지금 오고 있지?</t>
        </is>
      </c>
      <c r="H2296" s="5">
        <f>HYPERLINK("https://www.youtube.com/watch?v=89lCIeVEJZY", "영상 보기 ▶")</f>
        <v/>
      </c>
    </row>
    <row r="2297" ht="26" customHeight="1">
      <c r="A2297" s="6" t="n">
        <v>2296</v>
      </c>
      <c r="B2297" s="7" t="inlineStr">
        <is>
          <t>총정리 46탄</t>
        </is>
      </c>
      <c r="C2297" s="7" t="inlineStr">
        <is>
          <t>실전회화/표현</t>
        </is>
      </c>
      <c r="D2297" s="8" t="inlineStr">
        <is>
          <t>'</t>
        </is>
      </c>
      <c r="E2297" s="12" t="inlineStr">
        <is>
          <t>중요하다'의 matter</t>
        </is>
      </c>
      <c r="F2297" s="12" t="inlineStr">
        <is>
          <t>It doesn't matter.</t>
        </is>
      </c>
      <c r="G2297" s="12" t="inlineStr">
        <is>
          <t>그건 안 중요해/상관 없어</t>
        </is>
      </c>
      <c r="H2297" s="9">
        <f>HYPERLINK("https://www.youtube.com/watch?v=89lCIeVEJZY", "영상 보기 ▶")</f>
        <v/>
      </c>
    </row>
    <row r="2298" ht="26" customHeight="1">
      <c r="A2298" s="2" t="n">
        <v>2297</v>
      </c>
      <c r="B2298" s="3" t="inlineStr">
        <is>
          <t>총정리 46탄</t>
        </is>
      </c>
      <c r="C2298" s="3" t="inlineStr">
        <is>
          <t>실전회화/표현</t>
        </is>
      </c>
      <c r="D2298" s="4" t="inlineStr">
        <is>
          <t>That's all that matters.</t>
        </is>
      </c>
      <c r="E2298" s="11" t="inlineStr">
        <is>
          <t>그게 가장 중요해/그거면 충분해.</t>
        </is>
      </c>
      <c r="F2298" s="11" t="inlineStr">
        <is>
          <t>You're happy. That's all that matters.</t>
        </is>
      </c>
      <c r="G2298" s="11" t="inlineStr">
        <is>
          <t>너가 행복하면 된거지, 뭐.</t>
        </is>
      </c>
      <c r="H2298" s="5">
        <f>HYPERLINK("https://www.youtube.com/watch?v=89lCIeVEJZY", "영상 보기 ▶")</f>
        <v/>
      </c>
    </row>
    <row r="2299" ht="26" customHeight="1">
      <c r="A2299" s="6" t="n">
        <v>2298</v>
      </c>
      <c r="B2299" s="7" t="inlineStr">
        <is>
          <t>총정리 46탄</t>
        </is>
      </c>
      <c r="C2299" s="7" t="inlineStr">
        <is>
          <t>실전회화/표현</t>
        </is>
      </c>
      <c r="D2299" s="8" t="inlineStr">
        <is>
          <t>overhear</t>
        </is>
      </c>
      <c r="E2299" s="12" t="inlineStr">
        <is>
          <t>우연히 듣다</t>
        </is>
      </c>
      <c r="F2299" s="12" t="inlineStr">
        <is>
          <t>A: How do you know?</t>
        </is>
      </c>
      <c r="G2299" s="12" t="inlineStr">
        <is>
          <t>어떻게 알아?</t>
        </is>
      </c>
      <c r="H2299" s="9">
        <f>HYPERLINK("https://www.youtube.com/watch?v=89lCIeVEJZY", "영상 보기 ▶")</f>
        <v/>
      </c>
    </row>
    <row r="2300" ht="26" customHeight="1">
      <c r="A2300" s="2" t="n">
        <v>2299</v>
      </c>
      <c r="B2300" s="3" t="inlineStr">
        <is>
          <t>총정리 46탄</t>
        </is>
      </c>
      <c r="C2300" s="3" t="inlineStr">
        <is>
          <t>실전회화/표현</t>
        </is>
      </c>
      <c r="D2300" s="4" t="inlineStr">
        <is>
          <t>eavesdrop</t>
        </is>
      </c>
      <c r="E2300" s="11" t="inlineStr">
        <is>
          <t>(의도적으로) 엿듣다</t>
        </is>
      </c>
      <c r="F2300" s="11" t="inlineStr">
        <is>
          <t>Come on, let's not eavesdrop.</t>
        </is>
      </c>
      <c r="G2300" s="11" t="inlineStr">
        <is>
          <t>에이, 엿듣지 말자.</t>
        </is>
      </c>
      <c r="H2300" s="5">
        <f>HYPERLINK("https://www.youtube.com/watch?v=89lCIeVEJZY", "영상 보기 ▶")</f>
        <v/>
      </c>
    </row>
    <row r="2301" ht="26" customHeight="1">
      <c r="A2301" s="6" t="n">
        <v>2300</v>
      </c>
      <c r="B2301" s="7" t="inlineStr">
        <is>
          <t>총정리 46탄</t>
        </is>
      </c>
      <c r="C2301" s="7" t="inlineStr">
        <is>
          <t>실전회화/표현</t>
        </is>
      </c>
      <c r="D2301" s="8" t="inlineStr">
        <is>
          <t>I couldn't help but 동사원형</t>
        </is>
      </c>
      <c r="E2301" s="12" t="inlineStr">
        <is>
          <t>~하지 않을 수/~할 수 밖에 없었어</t>
        </is>
      </c>
      <c r="F2301" s="12" t="inlineStr">
        <is>
          <t>I couldn't help but wonder what happened.</t>
        </is>
      </c>
      <c r="G2301" s="12" t="inlineStr">
        <is>
          <t>어떻게 된건지 궁금할 수 밖에 없었어.</t>
        </is>
      </c>
      <c r="H2301" s="9">
        <f>HYPERLINK("https://www.youtube.com/watch?v=89lCIeVEJZY", "영상 보기 ▶")</f>
        <v/>
      </c>
    </row>
    <row r="2302" ht="26" customHeight="1">
      <c r="A2302" s="2" t="n">
        <v>2301</v>
      </c>
      <c r="B2302" s="3" t="inlineStr">
        <is>
          <t>총정리 47탄</t>
        </is>
      </c>
      <c r="C2302" s="3" t="inlineStr">
        <is>
          <t>의견/의사결정</t>
        </is>
      </c>
      <c r="D2302" s="4" t="inlineStr">
        <is>
          <t>take 사람 up on</t>
        </is>
      </c>
      <c r="E2302" s="11" t="inlineStr">
        <is>
          <t>~가 한 제안/초대를 받아들이다</t>
        </is>
      </c>
      <c r="F2302" s="11" t="inlineStr">
        <is>
          <t>I'll take you up on that.</t>
        </is>
      </c>
      <c r="G2302" s="11" t="inlineStr">
        <is>
          <t>제안 받아들일게/진짜 얻어먹는다~</t>
        </is>
      </c>
      <c r="H2302" s="5">
        <f>HYPERLINK("https://www.youtube.com/watch?v=0v7FzPh99QY", "영상 보기 ▶")</f>
        <v/>
      </c>
    </row>
    <row r="2303" ht="26" customHeight="1">
      <c r="A2303" s="6" t="n">
        <v>2302</v>
      </c>
      <c r="B2303" s="7" t="inlineStr">
        <is>
          <t>총정리 47탄</t>
        </is>
      </c>
      <c r="C2303" s="7" t="inlineStr">
        <is>
          <t>실전회화/표현</t>
        </is>
      </c>
      <c r="D2303" s="8" t="inlineStr">
        <is>
          <t>usual</t>
        </is>
      </c>
      <c r="E2303" s="12" t="inlineStr">
        <is>
          <t>평소 흔히 하는, 늘 먹는/마시는 것</t>
        </is>
      </c>
      <c r="F2303" s="12" t="inlineStr">
        <is>
          <t>Do you want your usual?</t>
        </is>
      </c>
      <c r="G2303" s="12" t="inlineStr">
        <is>
          <t>평소 마시는 걸로 살까?</t>
        </is>
      </c>
      <c r="H2303" s="9">
        <f>HYPERLINK("https://www.youtube.com/watch?v=0v7FzPh99QY", "영상 보기 ▶")</f>
        <v/>
      </c>
    </row>
    <row r="2304" ht="26" customHeight="1">
      <c r="A2304" s="2" t="n">
        <v>2303</v>
      </c>
      <c r="B2304" s="3" t="inlineStr">
        <is>
          <t>총정리 47탄</t>
        </is>
      </c>
      <c r="C2304" s="3" t="inlineStr">
        <is>
          <t>실전회화/표현</t>
        </is>
      </c>
      <c r="D2304" s="4" t="inlineStr">
        <is>
          <t>lay off</t>
        </is>
      </c>
      <c r="E2304" s="11" t="inlineStr">
        <is>
          <t>해고하다/감원하다</t>
        </is>
      </c>
      <c r="F2304" s="11" t="inlineStr">
        <is>
          <t>He got laid off last month.</t>
        </is>
      </c>
      <c r="G2304" s="11" t="inlineStr">
        <is>
          <t>그는 지난달에 해고됐어.</t>
        </is>
      </c>
      <c r="H2304" s="5">
        <f>HYPERLINK("https://www.youtube.com/watch?v=0v7FzPh99QY", "영상 보기 ▶")</f>
        <v/>
      </c>
    </row>
    <row r="2305" ht="26" customHeight="1">
      <c r="A2305" s="6" t="n">
        <v>2304</v>
      </c>
      <c r="B2305" s="7" t="inlineStr">
        <is>
          <t>총정리 47탄</t>
        </is>
      </c>
      <c r="C2305" s="7" t="inlineStr">
        <is>
          <t>실전회화/표현</t>
        </is>
      </c>
      <c r="D2305" s="8" t="inlineStr">
        <is>
          <t>lay off 대상</t>
        </is>
      </c>
      <c r="E2305" s="12" t="inlineStr">
        <is>
          <t>~를 그만하다</t>
        </is>
      </c>
      <c r="F2305" s="12" t="inlineStr">
        <is>
          <t>I should lay off the beer.</t>
        </is>
      </c>
      <c r="G2305" s="12" t="inlineStr">
        <is>
          <t>맥주 좀 줄여야겠어/자제해야겠어.</t>
        </is>
      </c>
      <c r="H2305" s="9">
        <f>HYPERLINK("https://www.youtube.com/watch?v=0v7FzPh99QY", "영상 보기 ▶")</f>
        <v/>
      </c>
    </row>
    <row r="2306" ht="26" customHeight="1">
      <c r="A2306" s="2" t="n">
        <v>2305</v>
      </c>
      <c r="B2306" s="3" t="inlineStr">
        <is>
          <t>총정리 47탄</t>
        </is>
      </c>
      <c r="C2306" s="3" t="inlineStr">
        <is>
          <t>실전회화/표현</t>
        </is>
      </c>
      <c r="D2306" s="4" t="inlineStr">
        <is>
          <t>take in</t>
        </is>
      </c>
      <c r="E2306" s="11" t="inlineStr">
        <is>
          <t>받아들이다, 만끽하다</t>
        </is>
      </c>
      <c r="F2306" s="11" t="inlineStr">
        <is>
          <t>I'm just taking it all in.</t>
        </is>
      </c>
      <c r="G2306" s="11" t="inlineStr">
        <is>
          <t>온전히 느끼며 감상 중이야/다 눈에 담고 있어.</t>
        </is>
      </c>
      <c r="H2306" s="5">
        <f>HYPERLINK("https://www.youtube.com/watch?v=0v7FzPh99QY", "영상 보기 ▶")</f>
        <v/>
      </c>
    </row>
    <row r="2307" ht="26" customHeight="1">
      <c r="A2307" s="6" t="n">
        <v>2306</v>
      </c>
      <c r="B2307" s="7" t="inlineStr">
        <is>
          <t>총정리 47탄</t>
        </is>
      </c>
      <c r="C2307" s="7" t="inlineStr">
        <is>
          <t>공감/감정</t>
        </is>
      </c>
      <c r="D2307" s="8" t="inlineStr">
        <is>
          <t>It's a lot to take in.</t>
        </is>
      </c>
      <c r="E2307" s="12" t="inlineStr">
        <is>
          <t>바로 이해하기/흡수하기 힘드네요.</t>
        </is>
      </c>
      <c r="F2307" s="12" t="inlineStr">
        <is>
          <t>It's a lot to take in.</t>
        </is>
      </c>
      <c r="G2307" s="12" t="inlineStr">
        <is>
          <t>바로 이해하기/흡수하기 힘드네요.</t>
        </is>
      </c>
      <c r="H2307" s="9">
        <f>HYPERLINK("https://www.youtube.com/watch?v=0v7FzPh99QY", "영상 보기 ▶")</f>
        <v/>
      </c>
    </row>
    <row r="2308" ht="26" customHeight="1">
      <c r="A2308" s="2" t="n">
        <v>2307</v>
      </c>
      <c r="B2308" s="3" t="inlineStr">
        <is>
          <t>총정리 47탄</t>
        </is>
      </c>
      <c r="C2308" s="3" t="inlineStr">
        <is>
          <t>실전회화/표현</t>
        </is>
      </c>
      <c r="D2308" s="4" t="inlineStr">
        <is>
          <t>jump through hoops</t>
        </is>
      </c>
      <c r="E2308" s="11" t="inlineStr">
        <is>
          <t>(복잡한 절차, 작업을 통과하느라) 고생하다</t>
        </is>
      </c>
      <c r="F2308" s="11" t="inlineStr">
        <is>
          <t>I had to jump through hoops to get this approved.</t>
        </is>
      </c>
      <c r="G2308" s="11" t="inlineStr">
        <is>
          <t>이거 승인 받으려 엄청 고생했어.</t>
        </is>
      </c>
      <c r="H2308" s="5">
        <f>HYPERLINK("https://www.youtube.com/watch?v=0v7FzPh99QY", "영상 보기 ▶")</f>
        <v/>
      </c>
    </row>
    <row r="2309" ht="26" customHeight="1">
      <c r="A2309" s="6" t="n">
        <v>2308</v>
      </c>
      <c r="B2309" s="7" t="inlineStr">
        <is>
          <t>총정리 47탄</t>
        </is>
      </c>
      <c r="C2309" s="7" t="inlineStr">
        <is>
          <t>실전회화/표현</t>
        </is>
      </c>
      <c r="D2309" s="8" t="inlineStr">
        <is>
          <t>show 사람 up</t>
        </is>
      </c>
      <c r="E2309" s="12" t="inlineStr">
        <is>
          <t>망신주다/무안하게 만들다</t>
        </is>
      </c>
      <c r="F2309" s="12" t="inlineStr">
        <is>
          <t>You're showing me up today!</t>
        </is>
      </c>
      <c r="G2309" s="12" t="inlineStr">
        <is>
          <t>야, 너 때문에 내가 오늘 초라해보인다, 야.</t>
        </is>
      </c>
      <c r="H2309" s="9">
        <f>HYPERLINK("https://www.youtube.com/watch?v=0v7FzPh99QY", "영상 보기 ▶")</f>
        <v/>
      </c>
    </row>
    <row r="2310" ht="26" customHeight="1">
      <c r="A2310" s="2" t="n">
        <v>2309</v>
      </c>
      <c r="B2310" s="3" t="inlineStr">
        <is>
          <t>총정리 47탄</t>
        </is>
      </c>
      <c r="C2310" s="3" t="inlineStr">
        <is>
          <t>실전회화/표현</t>
        </is>
      </c>
      <c r="D2310" s="4" t="inlineStr">
        <is>
          <t>Tell me about it.</t>
        </is>
      </c>
      <c r="E2310" s="11" t="inlineStr">
        <is>
          <t>그러니까/내말이</t>
        </is>
      </c>
      <c r="F2310" s="11" t="inlineStr">
        <is>
          <t>A: I'm tired of these long meetings.</t>
        </is>
      </c>
      <c r="G2310" s="11" t="inlineStr">
        <is>
          <t>이 긴 미팅들 지긋지긋하다.</t>
        </is>
      </c>
      <c r="H2310" s="5">
        <f>HYPERLINK("https://www.youtube.com/watch?v=0v7FzPh99QY", "영상 보기 ▶")</f>
        <v/>
      </c>
    </row>
    <row r="2311" ht="26" customHeight="1">
      <c r="A2311" s="6" t="n">
        <v>2310</v>
      </c>
      <c r="B2311" s="7" t="inlineStr">
        <is>
          <t>총정리 47탄</t>
        </is>
      </c>
      <c r="C2311" s="7" t="inlineStr">
        <is>
          <t>실전회화/표현</t>
        </is>
      </c>
      <c r="D2311" s="8" t="inlineStr">
        <is>
          <t>This is a Hail Mary.</t>
        </is>
      </c>
      <c r="E2311" s="12" t="inlineStr">
        <is>
          <t>마지막으로 한 번 해보는거야/어차피 이거 아니면 끝이야.</t>
        </is>
      </c>
      <c r="F2311" s="12" t="inlineStr">
        <is>
          <t>This is a Hail Mary.</t>
        </is>
      </c>
      <c r="G2311" s="12" t="inlineStr">
        <is>
          <t>마지막으로 한 번 해보는거야/어차피 이거 아니면 끝이야.</t>
        </is>
      </c>
      <c r="H2311" s="9">
        <f>HYPERLINK("https://www.youtube.com/watch?v=0v7FzPh99QY", "영상 보기 ▶")</f>
        <v/>
      </c>
    </row>
    <row r="2312" ht="26" customHeight="1">
      <c r="A2312" s="2" t="n">
        <v>2311</v>
      </c>
      <c r="B2312" s="3" t="inlineStr">
        <is>
          <t>총정리 47탄</t>
        </is>
      </c>
      <c r="C2312" s="3" t="inlineStr">
        <is>
          <t>실전회화/표현</t>
        </is>
      </c>
      <c r="D2312" s="4" t="inlineStr">
        <is>
          <t>It's a long shot.</t>
        </is>
      </c>
      <c r="E2312" s="11" t="inlineStr">
        <is>
          <t>거의 승산 없어/잘될 가능성이 희박해.</t>
        </is>
      </c>
      <c r="F2312" s="11" t="inlineStr">
        <is>
          <t>It's a long shot, but it's worth a try.</t>
        </is>
      </c>
      <c r="G2312" s="11" t="inlineStr">
        <is>
          <t>가능성은 낮지만 그래도 시도해볼만 해.</t>
        </is>
      </c>
      <c r="H2312" s="5">
        <f>HYPERLINK("https://www.youtube.com/watch?v=0v7FzPh99QY", "영상 보기 ▶")</f>
        <v/>
      </c>
    </row>
    <row r="2313" ht="26" customHeight="1">
      <c r="A2313" s="6" t="n">
        <v>2312</v>
      </c>
      <c r="B2313" s="7" t="inlineStr">
        <is>
          <t>총정리 47탄</t>
        </is>
      </c>
      <c r="C2313" s="7" t="inlineStr">
        <is>
          <t>실전회화/표현</t>
        </is>
      </c>
      <c r="D2313" s="8" t="inlineStr">
        <is>
          <t>lay out</t>
        </is>
      </c>
      <c r="E2313" s="12" t="inlineStr">
        <is>
          <t>펼쳐놓다, (잘 정리해) 제시/설명하다</t>
        </is>
      </c>
      <c r="F2313" s="12" t="inlineStr">
        <is>
          <t>Just lay it out for me.</t>
        </is>
      </c>
      <c r="G2313" s="12" t="inlineStr">
        <is>
          <t>그냥 어떤 상황인지 말해줘.</t>
        </is>
      </c>
      <c r="H2313" s="9">
        <f>HYPERLINK("https://www.youtube.com/watch?v=0v7FzPh99QY", "영상 보기 ▶")</f>
        <v/>
      </c>
    </row>
    <row r="2314" ht="26" customHeight="1">
      <c r="A2314" s="2" t="n">
        <v>2313</v>
      </c>
      <c r="B2314" s="3" t="inlineStr">
        <is>
          <t>총정리 47탄</t>
        </is>
      </c>
      <c r="C2314" s="3" t="inlineStr">
        <is>
          <t>실전회화/표현</t>
        </is>
      </c>
      <c r="D2314" s="4" t="inlineStr">
        <is>
          <t>far from</t>
        </is>
      </c>
      <c r="E2314" s="11" t="inlineStr">
        <is>
          <t>~와는 거리가 먼</t>
        </is>
      </c>
      <c r="F2314" s="11" t="inlineStr">
        <is>
          <t>It's far from over.</t>
        </is>
      </c>
      <c r="G2314" s="11" t="inlineStr">
        <is>
          <t>끝나려면 아직 멀었어/한참 남았어.</t>
        </is>
      </c>
      <c r="H2314" s="5">
        <f>HYPERLINK("https://www.youtube.com/watch?v=0v7FzPh99QY", "영상 보기 ▶")</f>
        <v/>
      </c>
    </row>
    <row r="2315" ht="26" customHeight="1">
      <c r="A2315" s="6" t="n">
        <v>2314</v>
      </c>
      <c r="B2315" s="7" t="inlineStr">
        <is>
          <t>총정리 47탄</t>
        </is>
      </c>
      <c r="C2315" s="7" t="inlineStr">
        <is>
          <t>실전회화/표현</t>
        </is>
      </c>
      <c r="D2315" s="8" t="inlineStr">
        <is>
          <t>pull the trigger</t>
        </is>
      </c>
      <c r="E2315" s="12" t="inlineStr">
        <is>
          <t>결단을 내리다, (고민 끝에) 실행에 옮기다</t>
        </is>
      </c>
      <c r="F2315" s="12" t="inlineStr">
        <is>
          <t>I've always wanted to, but I never pulled the trigger.</t>
        </is>
      </c>
      <c r="G2315" s="12" t="inlineStr">
        <is>
          <t>늘 해보고 싶었는데 결국 실행에 옮기진 못했</t>
        </is>
      </c>
      <c r="H2315" s="9">
        <f>HYPERLINK("https://www.youtube.com/watch?v=0v7FzPh99QY", "영상 보기 ▶")</f>
        <v/>
      </c>
    </row>
    <row r="2316" ht="26" customHeight="1">
      <c r="A2316" s="2" t="n">
        <v>2315</v>
      </c>
      <c r="B2316" s="3" t="inlineStr">
        <is>
          <t>총정리 47탄</t>
        </is>
      </c>
      <c r="C2316" s="3" t="inlineStr">
        <is>
          <t>의견/의사결정</t>
        </is>
      </c>
      <c r="D2316" s="4" t="inlineStr">
        <is>
          <t>make of</t>
        </is>
      </c>
      <c r="E2316" s="11" t="inlineStr">
        <is>
          <t>해석하다/생각하다</t>
        </is>
      </c>
      <c r="F2316" s="11" t="inlineStr">
        <is>
          <t>What do you make of this?</t>
        </is>
      </c>
      <c r="G2316" s="11" t="inlineStr">
        <is>
          <t>이거 어떻게 생각해/어떻게 봐?</t>
        </is>
      </c>
      <c r="H2316" s="5">
        <f>HYPERLINK("https://www.youtube.com/watch?v=0v7FzPh99QY", "영상 보기 ▶")</f>
        <v/>
      </c>
    </row>
    <row r="2317" ht="26" customHeight="1">
      <c r="A2317" s="6" t="n">
        <v>2316</v>
      </c>
      <c r="B2317" s="7" t="inlineStr">
        <is>
          <t>총정리 47탄</t>
        </is>
      </c>
      <c r="C2317" s="7" t="inlineStr">
        <is>
          <t>실전회화/표현</t>
        </is>
      </c>
      <c r="D2317" s="8" t="inlineStr">
        <is>
          <t>lay down (lie down)</t>
        </is>
      </c>
      <c r="E2317" s="12" t="inlineStr">
        <is>
          <t>(편히 쉬기 위해) 잠시 눕다, 몸을 뉘다</t>
        </is>
      </c>
      <c r="F2317" s="12" t="inlineStr">
        <is>
          <t>I'm just going to lay down for twenty minutes.</t>
        </is>
      </c>
      <c r="G2317" s="12" t="inlineStr">
        <is>
          <t>나 피곤해서 20분만 잠시 편하게 누워 있을게.</t>
        </is>
      </c>
      <c r="H2317" s="9">
        <f>HYPERLINK("https://www.youtube.com/watch?v=0v7FzPh99QY", "영상 보기 ▶")</f>
        <v/>
      </c>
    </row>
    <row r="2318" ht="26" customHeight="1">
      <c r="A2318" s="2" t="n">
        <v>2317</v>
      </c>
      <c r="B2318" s="3" t="inlineStr">
        <is>
          <t>총정리 47탄</t>
        </is>
      </c>
      <c r="C2318" s="3" t="inlineStr">
        <is>
          <t>실전회화/표현</t>
        </is>
      </c>
      <c r="D2318" s="4" t="inlineStr">
        <is>
          <t>lay down</t>
        </is>
      </c>
      <c r="E2318" s="11" t="inlineStr">
        <is>
          <t>(규칙, 기준 등을 공식적으로) 정하다</t>
        </is>
      </c>
      <c r="F2318" s="11" t="inlineStr">
        <is>
          <t>We should lay down some guidelines.</t>
        </is>
      </c>
      <c r="G2318" s="11" t="inlineStr">
        <is>
          <t>가이드라인을 좀 정해놓는게 좋겠어.</t>
        </is>
      </c>
      <c r="H2318" s="5">
        <f>HYPERLINK("https://www.youtube.com/watch?v=0v7FzPh99QY", "영상 보기 ▶")</f>
        <v/>
      </c>
    </row>
    <row r="2319" ht="26" customHeight="1">
      <c r="A2319" s="6" t="n">
        <v>2318</v>
      </c>
      <c r="B2319" s="7" t="inlineStr">
        <is>
          <t>총정리 47탄</t>
        </is>
      </c>
      <c r="C2319" s="7" t="inlineStr">
        <is>
          <t>실전회화/표현</t>
        </is>
      </c>
      <c r="D2319" s="8" t="inlineStr">
        <is>
          <t>lay into 사람</t>
        </is>
      </c>
      <c r="E2319" s="12" t="inlineStr">
        <is>
          <t>~을 몰아붙이다/나무라다/비난하다</t>
        </is>
      </c>
      <c r="F2319" s="12" t="inlineStr">
        <is>
          <t>He laid into me.</t>
        </is>
      </c>
      <c r="G2319" s="12" t="inlineStr">
        <is>
          <t>날 엄청 몰아붙였어.</t>
        </is>
      </c>
      <c r="H2319" s="9">
        <f>HYPERLINK("https://www.youtube.com/watch?v=0v7FzPh99QY", "영상 보기 ▶")</f>
        <v/>
      </c>
    </row>
    <row r="2320" ht="26" customHeight="1">
      <c r="A2320" s="2" t="n">
        <v>2319</v>
      </c>
      <c r="B2320" s="3" t="inlineStr">
        <is>
          <t>총정리 47탄</t>
        </is>
      </c>
      <c r="C2320" s="3" t="inlineStr">
        <is>
          <t>실전회화/표현</t>
        </is>
      </c>
      <c r="D2320" s="4" t="inlineStr">
        <is>
          <t>I couldn't care less.</t>
        </is>
      </c>
      <c r="E2320" s="11" t="inlineStr">
        <is>
          <t>전혀 눈곱만큼도 신경 안 써 (완전 무관심)</t>
        </is>
      </c>
      <c r="F2320" s="11" t="inlineStr">
        <is>
          <t>What competitors do? Honestly, I couldn't care less.</t>
        </is>
      </c>
      <c r="G2320" s="11" t="inlineStr">
        <is>
          <t>경쟁사들이 무얼 하든 솔직히 난 눈곱만큼도 신경 안 써.</t>
        </is>
      </c>
      <c r="H2320" s="5">
        <f>HYPERLINK("https://www.youtube.com/watch?v=0v7FzPh99QY", "영상 보기 ▶")</f>
        <v/>
      </c>
    </row>
    <row r="2321" ht="26" customHeight="1">
      <c r="A2321" s="6" t="n">
        <v>2320</v>
      </c>
      <c r="B2321" s="7" t="inlineStr">
        <is>
          <t>총정리 47탄</t>
        </is>
      </c>
      <c r="C2321" s="7" t="inlineStr">
        <is>
          <t>실전회화/표현</t>
        </is>
      </c>
      <c r="D2321" s="8" t="inlineStr">
        <is>
          <t>couldn't vs. could</t>
        </is>
      </c>
      <c r="E2321" s="12" t="inlineStr">
        <is>
          <t>대표 표현</t>
        </is>
      </c>
      <c r="F2321" s="12" t="inlineStr">
        <is>
          <t>Things couldn't be better.</t>
        </is>
      </c>
      <c r="G2321" s="12" t="inlineStr">
        <is>
          <t>이보다 더 좋을 순 없어.</t>
        </is>
      </c>
      <c r="H2321" s="9">
        <f>HYPERLINK("https://www.youtube.com/watch?v=0v7FzPh99QY", "영상 보기 ▶")</f>
        <v/>
      </c>
    </row>
    <row r="2322" ht="26" customHeight="1">
      <c r="A2322" s="2" t="n">
        <v>2321</v>
      </c>
      <c r="B2322" s="3" t="inlineStr">
        <is>
          <t>총정리 47탄</t>
        </is>
      </c>
      <c r="C2322" s="3" t="inlineStr">
        <is>
          <t>실전회화/표현</t>
        </is>
      </c>
      <c r="D2322" s="4" t="inlineStr">
        <is>
          <t>You're glowing.</t>
        </is>
      </c>
      <c r="E2322" s="11" t="inlineStr">
        <is>
          <t>너한테 빛이나네/얼굴이 폈네!</t>
        </is>
      </c>
      <c r="F2322" s="11" t="inlineStr">
        <is>
          <t>What's going on? You're glowing!</t>
        </is>
      </c>
      <c r="G2322" s="11" t="inlineStr">
        <is>
          <t>요즘 좋은일 있어? 얼굴이 폈네!</t>
        </is>
      </c>
      <c r="H2322" s="5">
        <f>HYPERLINK("https://www.youtube.com/watch?v=0v7FzPh99QY", "영상 보기 ▶")</f>
        <v/>
      </c>
    </row>
    <row r="2323" ht="26" customHeight="1">
      <c r="A2323" s="6" t="n">
        <v>2322</v>
      </c>
      <c r="B2323" s="7" t="inlineStr">
        <is>
          <t>총정리 47탄</t>
        </is>
      </c>
      <c r="C2323" s="7" t="inlineStr">
        <is>
          <t>실전회화/표현</t>
        </is>
      </c>
      <c r="D2323" s="8" t="inlineStr">
        <is>
          <t>make something of</t>
        </is>
      </c>
      <c r="E2323" s="12" t="inlineStr">
        <is>
          <t>~를 가치/의미있게 만들다, 성공하다</t>
        </is>
      </c>
      <c r="F2323" s="12" t="inlineStr">
        <is>
          <t>He made something of himself.</t>
        </is>
      </c>
      <c r="G2323" s="12" t="inlineStr">
        <is>
          <t>걔 성공했어.</t>
        </is>
      </c>
      <c r="H2323" s="9">
        <f>HYPERLINK("https://www.youtube.com/watch?v=0v7FzPh99QY", "영상 보기 ▶")</f>
        <v/>
      </c>
    </row>
    <row r="2324" ht="26" customHeight="1">
      <c r="A2324" s="2" t="n">
        <v>2323</v>
      </c>
      <c r="B2324" s="3" t="inlineStr">
        <is>
          <t>총정리 47탄</t>
        </is>
      </c>
      <c r="C2324" s="3" t="inlineStr">
        <is>
          <t>실전회화/표현</t>
        </is>
      </c>
      <c r="D2324" s="4" t="inlineStr">
        <is>
          <t>make the most of</t>
        </is>
      </c>
      <c r="E2324" s="11" t="inlineStr">
        <is>
          <t>(아깝지 않게) 최대한 활용하다, 알차게 쓰다</t>
        </is>
      </c>
      <c r="F2324" s="11" t="inlineStr">
        <is>
          <t>Make the most of your day.</t>
        </is>
      </c>
      <c r="G2324" s="11" t="inlineStr">
        <is>
          <t>오늘 하루 알차게 보내.</t>
        </is>
      </c>
      <c r="H2324" s="5">
        <f>HYPERLINK("https://www.youtube.com/watch?v=0v7FzPh99QY", "영상 보기 ▶")</f>
        <v/>
      </c>
    </row>
    <row r="2325" ht="26" customHeight="1">
      <c r="A2325" s="6" t="n">
        <v>2324</v>
      </c>
      <c r="B2325" s="7" t="inlineStr">
        <is>
          <t>총정리 47탄</t>
        </is>
      </c>
      <c r="C2325" s="7" t="inlineStr">
        <is>
          <t>실전회화/표현</t>
        </is>
      </c>
      <c r="D2325" s="8" t="inlineStr">
        <is>
          <t>laid-back</t>
        </is>
      </c>
      <c r="E2325" s="12" t="inlineStr">
        <is>
          <t>느긋한 되게 편하고 여유로운</t>
        </is>
      </c>
      <c r="F2325" s="12" t="inlineStr">
        <is>
          <t>I like how laid-back he is.</t>
        </is>
      </c>
      <c r="G2325" s="12" t="inlineStr">
        <is>
          <t>느긋해서 마음에 들어.</t>
        </is>
      </c>
      <c r="H2325" s="9">
        <f>HYPERLINK("https://www.youtube.com/watch?v=0v7FzPh99QY", "영상 보기 ▶")</f>
        <v/>
      </c>
    </row>
    <row r="2326" ht="26" customHeight="1">
      <c r="A2326" s="2" t="n">
        <v>2325</v>
      </c>
      <c r="B2326" s="3" t="inlineStr">
        <is>
          <t>총정리 47탄</t>
        </is>
      </c>
      <c r="C2326" s="3" t="inlineStr">
        <is>
          <t>실전회화/표현</t>
        </is>
      </c>
      <c r="D2326" s="4" t="inlineStr">
        <is>
          <t>I'm invested in this.</t>
        </is>
      </c>
      <c r="E2326" s="11" t="inlineStr">
        <is>
          <t>나 이거에 진심이야/완전 몰입해있어.</t>
        </is>
      </c>
      <c r="F2326" s="11" t="inlineStr">
        <is>
          <t>I'm invested in this project.</t>
        </is>
      </c>
      <c r="G2326" s="11" t="inlineStr">
        <is>
          <t>이 프로젝트에 진심이야/완전 몰입해 있어.</t>
        </is>
      </c>
      <c r="H2326" s="5">
        <f>HYPERLINK("https://www.youtube.com/watch?v=0v7FzPh99QY", "영상 보기 ▶")</f>
        <v/>
      </c>
    </row>
    <row r="2327" ht="26" customHeight="1">
      <c r="A2327" s="6" t="n">
        <v>2326</v>
      </c>
      <c r="B2327" s="7" t="inlineStr">
        <is>
          <t>총정리 47탄</t>
        </is>
      </c>
      <c r="C2327" s="7" t="inlineStr">
        <is>
          <t>실전회화/표현</t>
        </is>
      </c>
      <c r="D2327" s="8" t="inlineStr">
        <is>
          <t>be obsessed with</t>
        </is>
      </c>
      <c r="E2327" s="12" t="inlineStr">
        <is>
          <t>~에 집착하다시피 좋아하다</t>
        </is>
      </c>
      <c r="F2327" s="12" t="inlineStr">
        <is>
          <t>I'm obsessed with that show.</t>
        </is>
      </c>
      <c r="G2327" s="12" t="inlineStr">
        <is>
          <t>나 그 쇼 진짜 엄청 좋아해.</t>
        </is>
      </c>
      <c r="H2327" s="9">
        <f>HYPERLINK("https://www.youtube.com/watch?v=0v7FzPh99QY", "영상 보기 ▶")</f>
        <v/>
      </c>
    </row>
    <row r="2328" ht="26" customHeight="1">
      <c r="A2328" s="2" t="n">
        <v>2327</v>
      </c>
      <c r="B2328" s="3" t="inlineStr">
        <is>
          <t>총정리 47탄</t>
        </is>
      </c>
      <c r="C2328" s="3" t="inlineStr">
        <is>
          <t>실전회화/표현</t>
        </is>
      </c>
      <c r="D2328" s="4" t="inlineStr">
        <is>
          <t>get sidetracked</t>
        </is>
      </c>
      <c r="E2328" s="11" t="inlineStr">
        <is>
          <t>딴길로 새다</t>
        </is>
      </c>
      <c r="F2328" s="11" t="inlineStr">
        <is>
          <t>I think we're getting sidetracked. (</t>
        </is>
      </c>
      <c r="G2328" s="11" t="inlineStr">
        <is>
          <t>대화 중 갑자기 딴얘기로 빠질 때) 지금 얘기가 좀 샌것 같아요.</t>
        </is>
      </c>
      <c r="H2328" s="5">
        <f>HYPERLINK("https://www.youtube.com/watch?v=0v7FzPh99QY", "영상 보기 ▶")</f>
        <v/>
      </c>
    </row>
    <row r="2329" ht="26" customHeight="1">
      <c r="A2329" s="6" t="n">
        <v>2328</v>
      </c>
      <c r="B2329" s="7" t="inlineStr">
        <is>
          <t>총정리 47탄</t>
        </is>
      </c>
      <c r="C2329" s="7" t="inlineStr">
        <is>
          <t>실전회화/표현</t>
        </is>
      </c>
      <c r="D2329" s="8" t="inlineStr">
        <is>
          <t>go sideways</t>
        </is>
      </c>
      <c r="E2329" s="12" t="inlineStr">
        <is>
          <t>계획이 틀어지다, 상황이 꼬이다</t>
        </is>
      </c>
      <c r="F2329" s="12" t="inlineStr">
        <is>
          <t>It went sideways real fast.</t>
        </is>
      </c>
      <c r="G2329" s="12" t="inlineStr">
        <is>
          <t>순식간에 상황이 꼬여버렸어.</t>
        </is>
      </c>
      <c r="H2329" s="9">
        <f>HYPERLINK("https://www.youtube.com/watch?v=0v7FzPh99QY", "영상 보기 ▶")</f>
        <v/>
      </c>
    </row>
    <row r="2330" ht="26" customHeight="1">
      <c r="A2330" s="2" t="n">
        <v>2329</v>
      </c>
      <c r="B2330" s="3" t="inlineStr">
        <is>
          <t>총정리 47탄</t>
        </is>
      </c>
      <c r="C2330" s="3" t="inlineStr">
        <is>
          <t>실전회화/표현</t>
        </is>
      </c>
      <c r="D2330" s="4" t="inlineStr">
        <is>
          <t>It's a slim chance.</t>
        </is>
      </c>
      <c r="E2330" s="11" t="inlineStr">
        <is>
          <t>가능성이 희박해.</t>
        </is>
      </c>
      <c r="F2330" s="11" t="inlineStr">
        <is>
          <t>It's a slim chance.</t>
        </is>
      </c>
      <c r="G2330" s="11" t="inlineStr">
        <is>
          <t>가능성이 희박해.</t>
        </is>
      </c>
      <c r="H2330" s="5">
        <f>HYPERLINK("https://www.youtube.com/watch?v=0v7FzPh99QY", "영상 보기 ▶")</f>
        <v/>
      </c>
    </row>
    <row r="2331" ht="26" customHeight="1">
      <c r="A2331" s="6" t="n">
        <v>2330</v>
      </c>
      <c r="B2331" s="7" t="inlineStr">
        <is>
          <t>총정리 47탄</t>
        </is>
      </c>
      <c r="C2331" s="7" t="inlineStr">
        <is>
          <t>실전회화/표현</t>
        </is>
      </c>
      <c r="D2331" s="8" t="inlineStr">
        <is>
          <t>가능성이 거의 0일 때 fat chance</t>
        </is>
      </c>
      <c r="E2331" s="12" t="inlineStr">
        <is>
          <t>어림도 없어, 그럴리가</t>
        </is>
      </c>
      <c r="F2331" s="12" t="inlineStr">
        <is>
          <t>A: He might say yes. Yes</t>
        </is>
      </c>
      <c r="G2331" s="12" t="inlineStr">
        <is>
          <t>라고 할지도 몰라.</t>
        </is>
      </c>
      <c r="H2331" s="9">
        <f>HYPERLINK("https://www.youtube.com/watch?v=0v7FzPh99QY", "영상 보기 ▶")</f>
        <v/>
      </c>
    </row>
    <row r="2332" ht="26" customHeight="1">
      <c r="A2332" s="2" t="n">
        <v>2331</v>
      </c>
      <c r="B2332" s="3" t="inlineStr">
        <is>
          <t>총정리 47탄</t>
        </is>
      </c>
      <c r="C2332" s="3" t="inlineStr">
        <is>
          <t>실전회화/표현</t>
        </is>
      </c>
      <c r="D2332" s="4" t="inlineStr">
        <is>
          <t>show off</t>
        </is>
      </c>
      <c r="E2332" s="11" t="inlineStr">
        <is>
          <t>자랑하다/잘난척하다/뽐내다</t>
        </is>
      </c>
      <c r="F2332" s="11" t="inlineStr">
        <is>
          <t>You should show off your cooking skills.</t>
        </is>
      </c>
      <c r="G2332" s="11" t="inlineStr">
        <is>
          <t>요리 실력 좀 뽐내봐/자랑해봐.</t>
        </is>
      </c>
      <c r="H2332" s="5">
        <f>HYPERLINK("https://www.youtube.com/watch?v=0v7FzPh99QY", "영상 보기 ▶")</f>
        <v/>
      </c>
    </row>
    <row r="2333" ht="26" customHeight="1">
      <c r="A2333" s="6" t="n">
        <v>2332</v>
      </c>
      <c r="B2333" s="7" t="inlineStr">
        <is>
          <t>총정리 47탄</t>
        </is>
      </c>
      <c r="C2333" s="7" t="inlineStr">
        <is>
          <t>실전회화/표현</t>
        </is>
      </c>
      <c r="D2333" s="8" t="inlineStr">
        <is>
          <t>by a long shot</t>
        </is>
      </c>
      <c r="E2333" s="12" t="inlineStr">
        <is>
          <t>(차이/격차가 큰거) 큰 차이로</t>
        </is>
      </c>
      <c r="F2333" s="12" t="inlineStr">
        <is>
          <t>They won by a long shot.</t>
        </is>
      </c>
      <c r="G2333" s="12" t="inlineStr">
        <is>
          <t>큰 차이로 이겼어.</t>
        </is>
      </c>
      <c r="H2333" s="9">
        <f>HYPERLINK("https://www.youtube.com/watch?v=0v7FzPh99QY", "영상 보기 ▶")</f>
        <v/>
      </c>
    </row>
    <row r="2334" ht="26" customHeight="1">
      <c r="A2334" s="2" t="n">
        <v>2333</v>
      </c>
      <c r="B2334" s="3" t="inlineStr">
        <is>
          <t>총정리 47탄</t>
        </is>
      </c>
      <c r="C2334" s="3" t="inlineStr">
        <is>
          <t>실전회화/표현</t>
        </is>
      </c>
      <c r="D2334" s="4" t="inlineStr">
        <is>
          <t>Not by a long shot.</t>
        </is>
      </c>
      <c r="E2334" s="11" t="inlineStr">
        <is>
          <t>전혀 아니야, 택도 없어</t>
        </is>
      </c>
      <c r="F2334" s="11" t="inlineStr">
        <is>
          <t>A: Are you almost done?</t>
        </is>
      </c>
      <c r="G2334" s="11" t="inlineStr">
        <is>
          <t>거의 다 됐어?</t>
        </is>
      </c>
      <c r="H2334" s="5">
        <f>HYPERLINK("https://www.youtube.com/watch?v=0v7FzPh99QY", "영상 보기 ▶")</f>
        <v/>
      </c>
    </row>
    <row r="2335" ht="26" customHeight="1">
      <c r="A2335" s="6" t="n">
        <v>2334</v>
      </c>
      <c r="B2335" s="7" t="inlineStr">
        <is>
          <t>총정리 47탄</t>
        </is>
      </c>
      <c r="C2335" s="7" t="inlineStr">
        <is>
          <t>실전회화/표현</t>
        </is>
      </c>
      <c r="D2335" s="8" t="inlineStr">
        <is>
          <t>~suits you</t>
        </is>
      </c>
      <c r="E2335" s="12" t="inlineStr">
        <is>
          <t>~가 잘 어울려/잘 맞아</t>
        </is>
      </c>
      <c r="F2335" s="12" t="inlineStr">
        <is>
          <t>It suits your vibe.</t>
        </is>
      </c>
      <c r="G2335" s="12" t="inlineStr">
        <is>
          <t>네 느낌/분위기랑 잘 어울려.</t>
        </is>
      </c>
      <c r="H2335" s="9">
        <f>HYPERLINK("https://www.youtube.com/watch?v=0v7FzPh99QY", "영상 보기 ▶")</f>
        <v/>
      </c>
    </row>
    <row r="2336" ht="26" customHeight="1">
      <c r="A2336" s="2" t="n">
        <v>2335</v>
      </c>
      <c r="B2336" s="3" t="inlineStr">
        <is>
          <t>총정리 47탄</t>
        </is>
      </c>
      <c r="C2336" s="3" t="inlineStr">
        <is>
          <t>실전회화/표현</t>
        </is>
      </c>
      <c r="D2336" s="4" t="inlineStr">
        <is>
          <t>a couple / a couple of</t>
        </is>
      </c>
      <c r="E2336" s="11" t="inlineStr">
        <is>
          <t>한 두번</t>
        </is>
      </c>
      <c r="F2336" s="11" t="inlineStr">
        <is>
          <t>I've seen it a couple times.</t>
        </is>
      </c>
      <c r="G2336" s="11" t="inlineStr">
        <is>
          <t>그거 한 두번 봤어.</t>
        </is>
      </c>
      <c r="H2336" s="5">
        <f>HYPERLINK("https://www.youtube.com/watch?v=0v7FzPh99QY", "영상 보기 ▶")</f>
        <v/>
      </c>
    </row>
    <row r="2337" ht="26" customHeight="1">
      <c r="A2337" s="6" t="n">
        <v>2336</v>
      </c>
      <c r="B2337" s="7" t="inlineStr">
        <is>
          <t>총정리 47탄</t>
        </is>
      </c>
      <c r="C2337" s="7" t="inlineStr">
        <is>
          <t>공감/감정</t>
        </is>
      </c>
      <c r="D2337" s="8" t="inlineStr">
        <is>
          <t>It's perfectly normal to ~</t>
        </is>
      </c>
      <c r="E2337" s="12" t="inlineStr">
        <is>
          <t>~하는 건 지극히 당연하고 정상이야 (공감과 위로)</t>
        </is>
      </c>
      <c r="F2337" s="12" t="inlineStr">
        <is>
          <t>It's perfectly normal to feel nervous before a keynote.</t>
        </is>
      </c>
      <c r="G2337" s="12" t="inlineStr">
        <is>
          <t>기조연설 발표를 앞두고 긴장되는 건 지극히 당연한 일이야.</t>
        </is>
      </c>
      <c r="H2337" s="9">
        <f>HYPERLINK("https://www.youtube.com/watch?v=0v7FzPh99QY", "영상 보기 ▶")</f>
        <v/>
      </c>
    </row>
    <row r="2338" ht="26" customHeight="1">
      <c r="A2338" s="2" t="n">
        <v>2337</v>
      </c>
      <c r="B2338" s="3" t="inlineStr">
        <is>
          <t>총정리 47탄</t>
        </is>
      </c>
      <c r="C2338" s="3" t="inlineStr">
        <is>
          <t>실전회화/표현</t>
        </is>
      </c>
      <c r="D2338" s="4" t="inlineStr">
        <is>
          <t>show up</t>
        </is>
      </c>
      <c r="E2338" s="11" t="inlineStr">
        <is>
          <t>나타나다 *오다</t>
        </is>
      </c>
      <c r="F2338" s="11" t="inlineStr">
        <is>
          <t>Did he show up?</t>
        </is>
      </c>
      <c r="G2338" s="11" t="inlineStr">
        <is>
          <t>걔 왔어?</t>
        </is>
      </c>
      <c r="H2338" s="5">
        <f>HYPERLINK("https://www.youtube.com/watch?v=0v7FzPh99QY", "영상 보기 ▶")</f>
        <v/>
      </c>
    </row>
    <row r="2339" ht="26" customHeight="1">
      <c r="A2339" s="6" t="n">
        <v>2338</v>
      </c>
      <c r="B2339" s="7" t="inlineStr">
        <is>
          <t>총정리 47탄</t>
        </is>
      </c>
      <c r="C2339" s="7" t="inlineStr">
        <is>
          <t>실전회화/표현</t>
        </is>
      </c>
      <c r="D2339" s="8" t="inlineStr">
        <is>
          <t>show up for 사람</t>
        </is>
      </c>
      <c r="E2339" s="12" t="inlineStr">
        <is>
          <t>~를 지지하다/힘이 돼주다</t>
        </is>
      </c>
      <c r="F2339" s="12" t="inlineStr">
        <is>
          <t>He showed up for me.</t>
        </is>
      </c>
      <c r="G2339" s="12" t="inlineStr">
        <is>
          <t>걔가 날 지지해줬어/내 편이 되어줬어.</t>
        </is>
      </c>
      <c r="H2339" s="9">
        <f>HYPERLINK("https://www.youtube.com/watch?v=0v7FzPh99QY", "영상 보기 ▶")</f>
        <v/>
      </c>
    </row>
    <row r="2340" ht="26" customHeight="1">
      <c r="A2340" s="2" t="n">
        <v>2339</v>
      </c>
      <c r="B2340" s="3" t="inlineStr">
        <is>
          <t>총정리 47탄</t>
        </is>
      </c>
      <c r="C2340" s="3" t="inlineStr">
        <is>
          <t>의견/의사결정</t>
        </is>
      </c>
      <c r="D2340" s="4" t="inlineStr">
        <is>
          <t>owe</t>
        </is>
      </c>
      <c r="E2340" s="11" t="inlineStr">
        <is>
          <t>빚지다, ~해야 한다고 생각한다</t>
        </is>
      </c>
      <c r="F2340" s="11" t="inlineStr">
        <is>
          <t>I owe you one. (</t>
        </is>
      </c>
      <c r="G2340" s="11" t="inlineStr">
        <is>
          <t>도움 받고) 네게 빚졌네/나중에 꼭 갚을게.</t>
        </is>
      </c>
      <c r="H2340" s="5">
        <f>HYPERLINK("https://www.youtube.com/watch?v=0v7FzPh99QY", "영상 보기 ▶")</f>
        <v/>
      </c>
    </row>
    <row r="2341" ht="26" customHeight="1">
      <c r="A2341" s="6" t="n">
        <v>2340</v>
      </c>
      <c r="B2341" s="7" t="inlineStr">
        <is>
          <t>총정리 47탄</t>
        </is>
      </c>
      <c r="C2341" s="7" t="inlineStr">
        <is>
          <t>비즈니스/업무</t>
        </is>
      </c>
      <c r="D2341" s="8" t="inlineStr">
        <is>
          <t>Where should we start?</t>
        </is>
      </c>
      <c r="E2341" s="12" t="inlineStr">
        <is>
          <t>(회의나 논의를 시작하며) 뭐부터 먼저 이야기해 볼까요?</t>
        </is>
      </c>
      <c r="F2341" s="12" t="inlineStr">
        <is>
          <t>Welcome everyone. Where should we start on today's agenda?</t>
        </is>
      </c>
      <c r="G2341" s="12" t="inlineStr">
        <is>
          <t>모두 환영합니다. 오늘의 안건 중 뭐부터 먼저 논의해 볼까요?</t>
        </is>
      </c>
      <c r="H2341" s="9">
        <f>HYPERLINK("https://www.youtube.com/watch?v=0v7FzPh99QY", "영상 보기 ▶")</f>
        <v/>
      </c>
    </row>
    <row r="2342" ht="26" customHeight="1">
      <c r="A2342" s="2" t="n">
        <v>2341</v>
      </c>
      <c r="B2342" s="3" t="inlineStr">
        <is>
          <t>총정리 47탄</t>
        </is>
      </c>
      <c r="C2342" s="3" t="inlineStr">
        <is>
          <t>실전회화/표현</t>
        </is>
      </c>
      <c r="D2342" s="4" t="inlineStr">
        <is>
          <t>dive in</t>
        </is>
      </c>
      <c r="E2342" s="11" t="inlineStr">
        <is>
          <t>본격적으로 착수하다</t>
        </is>
      </c>
      <c r="F2342" s="11" t="inlineStr">
        <is>
          <t>Let's dive right in.</t>
        </is>
      </c>
      <c r="G2342" s="11" t="inlineStr">
        <is>
          <t>바로 시작하죠.</t>
        </is>
      </c>
      <c r="H2342" s="5">
        <f>HYPERLINK("https://www.youtube.com/watch?v=0v7FzPh99QY", "영상 보기 ▶")</f>
        <v/>
      </c>
    </row>
    <row r="2343" ht="26" customHeight="1">
      <c r="A2343" s="6" t="n">
        <v>2342</v>
      </c>
      <c r="B2343" s="7" t="inlineStr">
        <is>
          <t>총정리 47탄</t>
        </is>
      </c>
      <c r="C2343" s="7" t="inlineStr">
        <is>
          <t>의견/의사결정</t>
        </is>
      </c>
      <c r="D2343" s="8" t="inlineStr">
        <is>
          <t>sit with</t>
        </is>
      </c>
      <c r="E2343" s="12" t="inlineStr">
        <is>
          <t>(있는 그대로 받아들이며) 곰곰이 생각해보다</t>
        </is>
      </c>
      <c r="F2343" s="12" t="inlineStr">
        <is>
          <t>Don't do anything rash. Let it sit with you.</t>
        </is>
      </c>
      <c r="G2343" s="12" t="inlineStr">
        <is>
          <t>섣불리 행동하지 말고 충분히 생각해봐.</t>
        </is>
      </c>
      <c r="H2343" s="9">
        <f>HYPERLINK("https://www.youtube.com/watch?v=0v7FzPh99QY", "영상 보기 ▶")</f>
        <v/>
      </c>
    </row>
    <row r="2344" ht="26" customHeight="1">
      <c r="A2344" s="2" t="n">
        <v>2343</v>
      </c>
      <c r="B2344" s="3" t="inlineStr">
        <is>
          <t>총정리 47탄</t>
        </is>
      </c>
      <c r="C2344" s="3" t="inlineStr">
        <is>
          <t>실전회화/표현</t>
        </is>
      </c>
      <c r="D2344" s="4" t="inlineStr">
        <is>
          <t>It doesn't sit well with me.</t>
        </is>
      </c>
      <c r="E2344" s="11" t="inlineStr">
        <is>
          <t>그건 받아들이기 힘들어/납득이 안돼/불편해.</t>
        </is>
      </c>
      <c r="F2344" s="11" t="inlineStr">
        <is>
          <t>It doesn't sit well with me.</t>
        </is>
      </c>
      <c r="G2344" s="11" t="inlineStr">
        <is>
          <t>그건 받아들이기 힘들어/납득이 안돼/불편해.</t>
        </is>
      </c>
      <c r="H2344" s="5">
        <f>HYPERLINK("https://www.youtube.com/watch?v=0v7FzPh99QY", "영상 보기 ▶")</f>
        <v/>
      </c>
    </row>
    <row r="2345" ht="26" customHeight="1">
      <c r="A2345" s="6" t="n">
        <v>2344</v>
      </c>
      <c r="B2345" s="7" t="inlineStr">
        <is>
          <t>총정리 47탄</t>
        </is>
      </c>
      <c r="C2345" s="7" t="inlineStr">
        <is>
          <t>실전회화/표현</t>
        </is>
      </c>
      <c r="D2345" s="8" t="inlineStr">
        <is>
          <t>clarify</t>
        </is>
      </c>
      <c r="E2345" s="12" t="inlineStr">
        <is>
          <t>명확하게/분명히 하다</t>
        </is>
      </c>
      <c r="F2345" s="12" t="inlineStr">
        <is>
          <t>Could you clarify that?</t>
        </is>
      </c>
      <c r="G2345" s="12" t="inlineStr">
        <is>
          <t>그 부분 좀 더 명확히 설명해줄 수 있어?</t>
        </is>
      </c>
      <c r="H2345" s="9">
        <f>HYPERLINK("https://www.youtube.com/watch?v=0v7FzPh99QY", "영상 보기 ▶")</f>
        <v/>
      </c>
    </row>
    <row r="2346" ht="26" customHeight="1">
      <c r="A2346" s="2" t="n">
        <v>2345</v>
      </c>
      <c r="B2346" s="3" t="inlineStr">
        <is>
          <t>총정리 47탄</t>
        </is>
      </c>
      <c r="C2346" s="3" t="inlineStr">
        <is>
          <t>실전회화/표현</t>
        </is>
      </c>
      <c r="D2346" s="4" t="inlineStr">
        <is>
          <t>walk through</t>
        </is>
      </c>
      <c r="E2346" s="11" t="inlineStr">
        <is>
          <t>하나하나/차근차근 설명하다</t>
        </is>
      </c>
      <c r="F2346" s="11" t="inlineStr">
        <is>
          <t>Could you walk me through what happened? (</t>
        </is>
      </c>
      <c r="G2346" s="11" t="inlineStr">
        <is>
          <t>복잡한 절차/과정를 손을 잡고 걸어가듯) 어떻게 된건지 차근차근 설명해 줄 수 있어?</t>
        </is>
      </c>
      <c r="H2346" s="5">
        <f>HYPERLINK("https://www.youtube.com/watch?v=0v7FzPh99QY", "영상 보기 ▶")</f>
        <v/>
      </c>
    </row>
    <row r="2347" ht="26" customHeight="1">
      <c r="A2347" s="6" t="n">
        <v>2346</v>
      </c>
      <c r="B2347" s="7" t="inlineStr">
        <is>
          <t>총정리 47탄</t>
        </is>
      </c>
      <c r="C2347" s="7" t="inlineStr">
        <is>
          <t>실전회화/표현</t>
        </is>
      </c>
      <c r="D2347" s="8" t="inlineStr">
        <is>
          <t>elaborate</t>
        </is>
      </c>
      <c r="E2347" s="12" t="inlineStr">
        <is>
          <t>더 자세히 말하다</t>
        </is>
      </c>
      <c r="F2347" s="12" t="inlineStr">
        <is>
          <t>Could you elaborate on that?</t>
        </is>
      </c>
      <c r="G2347" s="12" t="inlineStr">
        <is>
          <t>부연설명/더 자세히 말해줄 수 있어?</t>
        </is>
      </c>
      <c r="H2347" s="9">
        <f>HYPERLINK("https://www.youtube.com/watch?v=0v7FzPh99QY", "영상 보기 ▶")</f>
        <v/>
      </c>
    </row>
    <row r="2348" ht="26" customHeight="1">
      <c r="A2348" s="2" t="n">
        <v>2347</v>
      </c>
      <c r="B2348" s="3" t="inlineStr">
        <is>
          <t>총정리 47탄</t>
        </is>
      </c>
      <c r="C2348" s="3" t="inlineStr">
        <is>
          <t>실전회화/표현</t>
        </is>
      </c>
      <c r="D2348" s="4" t="inlineStr">
        <is>
          <t>remarkable</t>
        </is>
      </c>
      <c r="E2348" s="11" t="inlineStr">
        <is>
          <t>정말 놀라운/대단한</t>
        </is>
      </c>
      <c r="F2348" s="11" t="inlineStr">
        <is>
          <t>It's remarkable.</t>
        </is>
      </c>
      <c r="G2348" s="11" t="inlineStr">
        <is>
          <t>정말 놀라워/대단해.</t>
        </is>
      </c>
      <c r="H2348" s="5">
        <f>HYPERLINK("https://www.youtube.com/watch?v=0v7FzPh99QY", "영상 보기 ▶")</f>
        <v/>
      </c>
    </row>
    <row r="2349" ht="26" customHeight="1">
      <c r="A2349" s="6" t="n">
        <v>2348</v>
      </c>
      <c r="B2349" s="7" t="inlineStr">
        <is>
          <t>총정리 47탄</t>
        </is>
      </c>
      <c r="C2349" s="7" t="inlineStr">
        <is>
          <t>실전회화/표현</t>
        </is>
      </c>
      <c r="D2349" s="8" t="inlineStr">
        <is>
          <t>thrilled</t>
        </is>
      </c>
      <c r="E2349" s="12" t="inlineStr">
        <is>
          <t>정말 신나는/기쁜</t>
        </is>
      </c>
      <c r="F2349" s="12" t="inlineStr">
        <is>
          <t>I'm thrilled for you.</t>
        </is>
      </c>
      <c r="G2349" s="12" t="inlineStr">
        <is>
          <t>정말 잘됐다.</t>
        </is>
      </c>
      <c r="H2349" s="9">
        <f>HYPERLINK("https://www.youtube.com/watch?v=0v7FzPh99QY", "영상 보기 ▶")</f>
        <v/>
      </c>
    </row>
    <row r="2350" ht="26" customHeight="1">
      <c r="A2350" s="2" t="n">
        <v>2349</v>
      </c>
      <c r="B2350" s="3" t="inlineStr">
        <is>
          <t>총정리 47탄</t>
        </is>
      </c>
      <c r="C2350" s="3" t="inlineStr">
        <is>
          <t>실전회화/표현</t>
        </is>
      </c>
      <c r="D2350" s="4" t="inlineStr">
        <is>
          <t>touch base</t>
        </is>
      </c>
      <c r="E2350" s="11" t="inlineStr">
        <is>
          <t>(가볍게) 다시 연락/얘기하다</t>
        </is>
      </c>
      <c r="F2350" s="11" t="inlineStr">
        <is>
          <t>Let's touch base next week.</t>
        </is>
      </c>
      <c r="G2350" s="11" t="inlineStr">
        <is>
          <t>다음주에 다시 연락/얘기하자.</t>
        </is>
      </c>
      <c r="H2350" s="5">
        <f>HYPERLINK("https://www.youtube.com/watch?v=0v7FzPh99QY", "영상 보기 ▶")</f>
        <v/>
      </c>
    </row>
    <row r="2351" ht="26" customHeight="1">
      <c r="A2351" s="6" t="n">
        <v>2350</v>
      </c>
      <c r="B2351" s="7" t="inlineStr">
        <is>
          <t>총정리 47탄</t>
        </is>
      </c>
      <c r="C2351" s="7" t="inlineStr">
        <is>
          <t>실전회화/표현</t>
        </is>
      </c>
      <c r="D2351" s="8" t="inlineStr">
        <is>
          <t>I can't get over~ ~</t>
        </is>
      </c>
      <c r="E2351" s="12" t="inlineStr">
        <is>
          <t>를 잊지 못하다/믿기지 않다/놀랍다</t>
        </is>
      </c>
      <c r="F2351" s="12" t="inlineStr">
        <is>
          <t>I can't get over the design. 1)</t>
        </is>
      </c>
      <c r="G2351" s="12" t="inlineStr">
        <is>
          <t>디자인이 너무 멋져서 계속 생각나 2) 디자인이 너무 이상해서 계속 생각</t>
        </is>
      </c>
      <c r="H2351" s="9">
        <f>HYPERLINK("https://www.youtube.com/watch?v=0v7FzPh99QY", "영상 보기 ▶")</f>
        <v/>
      </c>
    </row>
    <row r="2352" ht="26" customHeight="1">
      <c r="A2352" s="2" t="n">
        <v>2351</v>
      </c>
      <c r="B2352" s="3" t="inlineStr">
        <is>
          <t>총정리 48탄</t>
        </is>
      </c>
      <c r="C2352" s="3" t="inlineStr">
        <is>
          <t>실전회화/표현</t>
        </is>
      </c>
      <c r="D2352" s="4" t="inlineStr">
        <is>
          <t>Fair enough.</t>
        </is>
      </c>
      <c r="E2352" s="11" t="inlineStr">
        <is>
          <t>그럴만하네/알겠어/인정</t>
        </is>
      </c>
      <c r="F2352" s="11" t="inlineStr">
        <is>
          <t>A: That's why we need to raise the price.</t>
        </is>
      </c>
      <c r="G2352" s="11" t="inlineStr">
        <is>
          <t>그래서 가격을 올려야 돼요.</t>
        </is>
      </c>
      <c r="H2352" s="5">
        <f>HYPERLINK("https://www.youtube.com/watch?v=ju8QXhDzKms", "영상 보기 ▶")</f>
        <v/>
      </c>
    </row>
    <row r="2353" ht="26" customHeight="1">
      <c r="A2353" s="6" t="n">
        <v>2352</v>
      </c>
      <c r="B2353" s="7" t="inlineStr">
        <is>
          <t>총정리 48탄</t>
        </is>
      </c>
      <c r="C2353" s="7" t="inlineStr">
        <is>
          <t>공감/감정</t>
        </is>
      </c>
      <c r="D2353" s="8" t="inlineStr">
        <is>
          <t>resonate with</t>
        </is>
      </c>
      <c r="E2353" s="12" t="inlineStr">
        <is>
          <t>~에게 깊이 와닿다/공감되다</t>
        </is>
      </c>
      <c r="F2353" s="12" t="inlineStr">
        <is>
          <t>That really resonated with me.</t>
        </is>
      </c>
      <c r="G2353" s="12" t="inlineStr">
        <is>
          <t>그 부분이 정말 와닿았어/공감됐어.</t>
        </is>
      </c>
      <c r="H2353" s="9">
        <f>HYPERLINK("https://www.youtube.com/watch?v=ju8QXhDzKms", "영상 보기 ▶")</f>
        <v/>
      </c>
    </row>
    <row r="2354" ht="26" customHeight="1">
      <c r="A2354" s="2" t="n">
        <v>2353</v>
      </c>
      <c r="B2354" s="3" t="inlineStr">
        <is>
          <t>총정리 48탄</t>
        </is>
      </c>
      <c r="C2354" s="3" t="inlineStr">
        <is>
          <t>실전회화/표현</t>
        </is>
      </c>
      <c r="D2354" s="4" t="inlineStr">
        <is>
          <t>hit home</t>
        </is>
      </c>
      <c r="E2354" s="11" t="inlineStr">
        <is>
          <t>크게 와닿다/(현실로 확) 느껴지다</t>
        </is>
      </c>
      <c r="F2354" s="11" t="inlineStr">
        <is>
          <t>Her story really hit home.</t>
        </is>
      </c>
      <c r="G2354" s="11" t="inlineStr">
        <is>
          <t>그녀의 얘기가 완전 와닿았어.</t>
        </is>
      </c>
      <c r="H2354" s="5">
        <f>HYPERLINK("https://www.youtube.com/watch?v=ju8QXhDzKms", "영상 보기 ▶")</f>
        <v/>
      </c>
    </row>
    <row r="2355" ht="26" customHeight="1">
      <c r="A2355" s="6" t="n">
        <v>2354</v>
      </c>
      <c r="B2355" s="7" t="inlineStr">
        <is>
          <t>총정리 48탄</t>
        </is>
      </c>
      <c r="C2355" s="7" t="inlineStr">
        <is>
          <t>실전회화/표현</t>
        </is>
      </c>
      <c r="D2355" s="8" t="inlineStr">
        <is>
          <t>make do</t>
        </is>
      </c>
      <c r="E2355" s="12" t="inlineStr">
        <is>
          <t>(있는걸로) 어떻게든 버티다/해결하다</t>
        </is>
      </c>
      <c r="F2355" s="12" t="inlineStr">
        <is>
          <t>We'll make do.</t>
        </is>
      </c>
      <c r="G2355" s="12" t="inlineStr">
        <is>
          <t>어쩔 수 없지만 이걸로 해결해보자/있는걸로 어떻게든 해보자</t>
        </is>
      </c>
      <c r="H2355" s="9">
        <f>HYPERLINK("https://www.youtube.com/watch?v=ju8QXhDzKms", "영상 보기 ▶")</f>
        <v/>
      </c>
    </row>
    <row r="2356" ht="26" customHeight="1">
      <c r="A2356" s="2" t="n">
        <v>2355</v>
      </c>
      <c r="B2356" s="3" t="inlineStr">
        <is>
          <t>총정리 48탄</t>
        </is>
      </c>
      <c r="C2356" s="3" t="inlineStr">
        <is>
          <t>실전회화/표현</t>
        </is>
      </c>
      <c r="D2356" s="4" t="inlineStr">
        <is>
          <t>I figured.</t>
        </is>
      </c>
      <c r="E2356" s="11" t="inlineStr">
        <is>
          <t>난 그럴 줄 알았어/내 예상대로네</t>
        </is>
      </c>
      <c r="F2356" s="11" t="inlineStr">
        <is>
          <t>I figured.</t>
        </is>
      </c>
      <c r="G2356" s="11" t="inlineStr">
        <is>
          <t>난 그럴 줄 알았어/내 예상대로네</t>
        </is>
      </c>
      <c r="H2356" s="5">
        <f>HYPERLINK("https://www.youtube.com/watch?v=ju8QXhDzKms", "영상 보기 ▶")</f>
        <v/>
      </c>
    </row>
    <row r="2357" ht="26" customHeight="1">
      <c r="A2357" s="6" t="n">
        <v>2356</v>
      </c>
      <c r="B2357" s="7" t="inlineStr">
        <is>
          <t>총정리 48탄</t>
        </is>
      </c>
      <c r="C2357" s="7" t="inlineStr">
        <is>
          <t>실전회화/표현</t>
        </is>
      </c>
      <c r="D2357" s="8" t="inlineStr">
        <is>
          <t>That figures.</t>
        </is>
      </c>
      <c r="E2357" s="12" t="inlineStr">
        <is>
          <t>역시 그렇지/말 되네/그럴만해</t>
        </is>
      </c>
      <c r="F2357" s="12" t="inlineStr">
        <is>
          <t>That figures.</t>
        </is>
      </c>
      <c r="G2357" s="12" t="inlineStr">
        <is>
          <t>역시 그렇지/말 되네/그럴만해</t>
        </is>
      </c>
      <c r="H2357" s="9">
        <f>HYPERLINK("https://www.youtube.com/watch?v=ju8QXhDzKms", "영상 보기 ▶")</f>
        <v/>
      </c>
    </row>
    <row r="2358" ht="26" customHeight="1">
      <c r="A2358" s="2" t="n">
        <v>2357</v>
      </c>
      <c r="B2358" s="3" t="inlineStr">
        <is>
          <t>총정리 48탄</t>
        </is>
      </c>
      <c r="C2358" s="3" t="inlineStr">
        <is>
          <t>공감/감정</t>
        </is>
      </c>
      <c r="D2358" s="4" t="inlineStr">
        <is>
          <t>Go figure. (</t>
        </is>
      </c>
      <c r="E2358" s="11" t="inlineStr">
        <is>
          <t>놀람 / 아이러니 / 비꼼) 이해가 안돼, 기가 막히네, 어이가 없네.</t>
        </is>
      </c>
      <c r="F2358" s="11" t="inlineStr">
        <is>
          <t>Go figure. (</t>
        </is>
      </c>
      <c r="G2358" s="11" t="inlineStr">
        <is>
          <t>놀람 / 아이러니 / 비꼼) 이해가 안돼, 기가 막히네, 어이가 없네.</t>
        </is>
      </c>
      <c r="H2358" s="5">
        <f>HYPERLINK("https://www.youtube.com/watch?v=ju8QXhDzKms", "영상 보기 ▶")</f>
        <v/>
      </c>
    </row>
    <row r="2359" ht="26" customHeight="1">
      <c r="A2359" s="6" t="n">
        <v>2358</v>
      </c>
      <c r="B2359" s="7" t="inlineStr">
        <is>
          <t>총정리 48탄</t>
        </is>
      </c>
      <c r="C2359" s="7" t="inlineStr">
        <is>
          <t>실전회화/표현</t>
        </is>
      </c>
      <c r="D2359" s="8" t="inlineStr">
        <is>
          <t>hit the spot</t>
        </is>
      </c>
      <c r="E2359" s="12" t="inlineStr">
        <is>
          <t>딱 좋다/바로 그거지</t>
        </is>
      </c>
      <c r="F2359" s="12" t="inlineStr">
        <is>
          <t>This coffee hits the spot. (</t>
        </is>
      </c>
      <c r="G2359" s="12" t="inlineStr">
        <is>
          <t>갈증 해소/카페인, 당 충전) 커피 진짜 딱 좋다.</t>
        </is>
      </c>
      <c r="H2359" s="9">
        <f>HYPERLINK("https://www.youtube.com/watch?v=ju8QXhDzKms", "영상 보기 ▶")</f>
        <v/>
      </c>
    </row>
    <row r="2360" ht="26" customHeight="1">
      <c r="A2360" s="2" t="n">
        <v>2359</v>
      </c>
      <c r="B2360" s="3" t="inlineStr">
        <is>
          <t>총정리 48탄</t>
        </is>
      </c>
      <c r="C2360" s="3" t="inlineStr">
        <is>
          <t>실전회화/표현</t>
        </is>
      </c>
      <c r="D2360" s="4" t="inlineStr">
        <is>
          <t>Tomato, Tomahto.</t>
        </is>
      </c>
      <c r="E2360" s="11" t="inlineStr">
        <is>
          <t>뭐, 그게 그거지.</t>
        </is>
      </c>
      <c r="F2360" s="11" t="inlineStr">
        <is>
          <t>Tomato, Tomahto. It's basically the same thing.</t>
        </is>
      </c>
      <c r="G2360" s="11" t="inlineStr">
        <is>
          <t>뭐, 그거나 저거나. 거의 같은거나 마찬가지야.</t>
        </is>
      </c>
      <c r="H2360" s="5">
        <f>HYPERLINK("https://www.youtube.com/watch?v=ju8QXhDzKms", "영상 보기 ▶")</f>
        <v/>
      </c>
    </row>
    <row r="2361" ht="26" customHeight="1">
      <c r="A2361" s="6" t="n">
        <v>2360</v>
      </c>
      <c r="B2361" s="7" t="inlineStr">
        <is>
          <t>총정리 48탄</t>
        </is>
      </c>
      <c r="C2361" s="7" t="inlineStr">
        <is>
          <t>실전회화/표현</t>
        </is>
      </c>
      <c r="D2361" s="8" t="inlineStr">
        <is>
          <t>I'll leave you to it.</t>
        </is>
      </c>
      <c r="E2361" s="12" t="inlineStr">
        <is>
          <t>그럼 계속 일 봐/방해 안할게/난 이만 가볼게</t>
        </is>
      </c>
      <c r="F2361" s="12" t="inlineStr">
        <is>
          <t>You look busy, so I'll leave you to it.</t>
        </is>
      </c>
      <c r="G2361" s="12" t="inlineStr">
        <is>
          <t>바빠 보이는데 그럼 난 이만 가볼게</t>
        </is>
      </c>
      <c r="H2361" s="9">
        <f>HYPERLINK("https://www.youtube.com/watch?v=ju8QXhDzKms", "영상 보기 ▶")</f>
        <v/>
      </c>
    </row>
    <row r="2362" ht="26" customHeight="1">
      <c r="A2362" s="2" t="n">
        <v>2361</v>
      </c>
      <c r="B2362" s="3" t="inlineStr">
        <is>
          <t>총정리 48탄</t>
        </is>
      </c>
      <c r="C2362" s="3" t="inlineStr">
        <is>
          <t>실전회화/표현</t>
        </is>
      </c>
      <c r="D2362" s="4" t="inlineStr">
        <is>
          <t>I'll leave it to you. (</t>
        </is>
      </c>
      <c r="E2362" s="11" t="inlineStr">
        <is>
          <t>일/권한/책임 토스) 네게 맡길게/네 판단대로 해/알아서 처리해줘</t>
        </is>
      </c>
      <c r="F2362" s="11" t="inlineStr">
        <is>
          <t>A: Which one should we go with?</t>
        </is>
      </c>
      <c r="G2362" s="11" t="inlineStr">
        <is>
          <t>어떤걸로 하는게 좋을까?</t>
        </is>
      </c>
      <c r="H2362" s="5">
        <f>HYPERLINK("https://www.youtube.com/watch?v=ju8QXhDzKms", "영상 보기 ▶")</f>
        <v/>
      </c>
    </row>
    <row r="2363" ht="26" customHeight="1">
      <c r="A2363" s="6" t="n">
        <v>2362</v>
      </c>
      <c r="B2363" s="7" t="inlineStr">
        <is>
          <t>총정리 48탄</t>
        </is>
      </c>
      <c r="C2363" s="7" t="inlineStr">
        <is>
          <t>전화 영어</t>
        </is>
      </c>
      <c r="D2363" s="8" t="inlineStr">
        <is>
          <t>hit on</t>
        </is>
      </c>
      <c r="E2363" s="12" t="inlineStr">
        <is>
          <t>작업걸다</t>
        </is>
      </c>
      <c r="F2363" s="12" t="inlineStr">
        <is>
          <t>Are you hitting on me?</t>
        </is>
      </c>
      <c r="G2363" s="12" t="inlineStr">
        <is>
          <t>너 지금 나한테 작업거는거야?</t>
        </is>
      </c>
      <c r="H2363" s="9">
        <f>HYPERLINK("https://www.youtube.com/watch?v=ju8QXhDzKms", "영상 보기 ▶")</f>
        <v/>
      </c>
    </row>
    <row r="2364" ht="26" customHeight="1">
      <c r="A2364" s="2" t="n">
        <v>2363</v>
      </c>
      <c r="B2364" s="3" t="inlineStr">
        <is>
          <t>총정리 48탄</t>
        </is>
      </c>
      <c r="C2364" s="3" t="inlineStr">
        <is>
          <t>실전회화/표현</t>
        </is>
      </c>
      <c r="D2364" s="4" t="inlineStr">
        <is>
          <t>promising</t>
        </is>
      </c>
      <c r="E2364" s="11" t="inlineStr">
        <is>
          <t>유망한/촉망되는/조짐이 좋은</t>
        </is>
      </c>
      <c r="F2364" s="11" t="inlineStr">
        <is>
          <t>That's a promising field.</t>
        </is>
      </c>
      <c r="G2364" s="11" t="inlineStr">
        <is>
          <t>전망이 좋은 분야야.</t>
        </is>
      </c>
      <c r="H2364" s="5">
        <f>HYPERLINK("https://www.youtube.com/watch?v=ju8QXhDzKms", "영상 보기 ▶")</f>
        <v/>
      </c>
    </row>
    <row r="2365" ht="26" customHeight="1">
      <c r="A2365" s="6" t="n">
        <v>2364</v>
      </c>
      <c r="B2365" s="7" t="inlineStr">
        <is>
          <t>총정리 48탄</t>
        </is>
      </c>
      <c r="C2365" s="7" t="inlineStr">
        <is>
          <t>실전회화/표현</t>
        </is>
      </c>
      <c r="D2365" s="8" t="inlineStr">
        <is>
          <t>You wish.</t>
        </is>
      </c>
      <c r="E2365" s="12" t="inlineStr">
        <is>
          <t>꿈깨, 어림도 없어, 그럴리가 (네 희망사항일뿐)</t>
        </is>
      </c>
      <c r="F2365" s="12" t="inlineStr">
        <is>
          <t>A: I'm gonna beat you this time.</t>
        </is>
      </c>
      <c r="G2365" s="12" t="inlineStr">
        <is>
          <t>이번엔 내가 너 이길거야.</t>
        </is>
      </c>
      <c r="H2365" s="9">
        <f>HYPERLINK("https://www.youtube.com/watch?v=ju8QXhDzKms", "영상 보기 ▶")</f>
        <v/>
      </c>
    </row>
    <row r="2366" ht="26" customHeight="1">
      <c r="A2366" s="2" t="n">
        <v>2365</v>
      </c>
      <c r="B2366" s="3" t="inlineStr">
        <is>
          <t>총정리 48탄</t>
        </is>
      </c>
      <c r="C2366" s="3" t="inlineStr">
        <is>
          <t>실전회화/표현</t>
        </is>
      </c>
      <c r="D2366" s="4" t="inlineStr">
        <is>
          <t>I wish.</t>
        </is>
      </c>
      <c r="E2366" s="11" t="inlineStr">
        <is>
          <t>그럼 좋겠지만 그럴리가/나도 그러고싶다</t>
        </is>
      </c>
      <c r="F2366" s="11" t="inlineStr">
        <is>
          <t>A: Do you get off at 6 today?</t>
        </is>
      </c>
      <c r="G2366" s="11" t="inlineStr">
        <is>
          <t>오늘 6시에 퇴근해?</t>
        </is>
      </c>
      <c r="H2366" s="5">
        <f>HYPERLINK("https://www.youtube.com/watch?v=ju8QXhDzKms", "영상 보기 ▶")</f>
        <v/>
      </c>
    </row>
    <row r="2367" ht="26" customHeight="1">
      <c r="A2367" s="6" t="n">
        <v>2366</v>
      </c>
      <c r="B2367" s="7" t="inlineStr">
        <is>
          <t>총정리 48탄</t>
        </is>
      </c>
      <c r="C2367" s="7" t="inlineStr">
        <is>
          <t>실전회화/표현</t>
        </is>
      </c>
      <c r="D2367" s="8" t="inlineStr">
        <is>
          <t>That's rich! (</t>
        </is>
      </c>
      <c r="E2367" s="12" t="inlineStr">
        <is>
          <t>위선, 모순, 뻔뻔함) 진짜 웃기네/어이가 없네</t>
        </is>
      </c>
      <c r="F2367" s="12" t="inlineStr">
        <is>
          <t>That's rich coming from her. (</t>
        </is>
      </c>
      <c r="G2367" s="12" t="inlineStr">
        <is>
          <t>다른 사람도 아니고) 걔가 그런 말을 하다니 어이가 없다.</t>
        </is>
      </c>
      <c r="H2367" s="9">
        <f>HYPERLINK("https://www.youtube.com/watch?v=ju8QXhDzKms", "영상 보기 ▶")</f>
        <v/>
      </c>
    </row>
    <row r="2368" ht="26" customHeight="1">
      <c r="A2368" s="2" t="n">
        <v>2367</v>
      </c>
      <c r="B2368" s="3" t="inlineStr">
        <is>
          <t>총정리 48탄</t>
        </is>
      </c>
      <c r="C2368" s="3" t="inlineStr">
        <is>
          <t>실전회화/표현</t>
        </is>
      </c>
      <c r="D2368" s="4" t="inlineStr">
        <is>
          <t>I'm on it. 1) 아직 하기 전</t>
        </is>
      </c>
      <c r="E2368" s="11" t="inlineStr">
        <is>
          <t>"바로 할게요" 2) 이미 하고 있을 때: "지금 하고 있어/처리 중이야"</t>
        </is>
      </c>
      <c r="F2368" s="11" t="inlineStr">
        <is>
          <t>I'm on it. 1) 아직 하기 전</t>
        </is>
      </c>
      <c r="G2368" s="11" t="inlineStr">
        <is>
          <t>"바로 할게요" 2) 이미 하고 있을 때: "지금 하고 있어/처리 중이야"</t>
        </is>
      </c>
      <c r="H2368" s="5">
        <f>HYPERLINK("https://www.youtube.com/watch?v=ju8QXhDzKms", "영상 보기 ▶")</f>
        <v/>
      </c>
    </row>
    <row r="2369" ht="26" customHeight="1">
      <c r="A2369" s="6" t="n">
        <v>2368</v>
      </c>
      <c r="B2369" s="7" t="inlineStr">
        <is>
          <t>총정리 48탄</t>
        </is>
      </c>
      <c r="C2369" s="7" t="inlineStr">
        <is>
          <t>의견/의사결정</t>
        </is>
      </c>
      <c r="D2369" s="8" t="inlineStr">
        <is>
          <t>It hit me (that)</t>
        </is>
      </c>
      <c r="E2369" s="12" t="inlineStr">
        <is>
          <t>~란 생각이 들었어/~란걸 깨달았어</t>
        </is>
      </c>
      <c r="F2369" s="12" t="inlineStr">
        <is>
          <t>It hit me that I need to exercise.</t>
        </is>
      </c>
      <c r="G2369" s="12" t="inlineStr">
        <is>
          <t>운동해야겠다는 생각이 들더라고.</t>
        </is>
      </c>
      <c r="H2369" s="9">
        <f>HYPERLINK("https://www.youtube.com/watch?v=ju8QXhDzKms", "영상 보기 ▶")</f>
        <v/>
      </c>
    </row>
    <row r="2370" ht="26" customHeight="1">
      <c r="A2370" s="2" t="n">
        <v>2369</v>
      </c>
      <c r="B2370" s="3" t="inlineStr">
        <is>
          <t>총정리 48탄</t>
        </is>
      </c>
      <c r="C2370" s="3" t="inlineStr">
        <is>
          <t>실전회화/표현</t>
        </is>
      </c>
      <c r="D2370" s="4" t="inlineStr">
        <is>
          <t>count on</t>
        </is>
      </c>
      <c r="E2370" s="11" t="inlineStr">
        <is>
          <t>기대하다/믿다/의지하다</t>
        </is>
      </c>
      <c r="F2370" s="11" t="inlineStr">
        <is>
          <t>I'm counting on you. (</t>
        </is>
      </c>
      <c r="G2370" s="11" t="inlineStr">
        <is>
          <t>네가 잘 해줄거라) 믿고 있어/기대하고 있어/(의역) 그럼, 부탁해</t>
        </is>
      </c>
      <c r="H2370" s="5">
        <f>HYPERLINK("https://www.youtube.com/watch?v=ju8QXhDzKms", "영상 보기 ▶")</f>
        <v/>
      </c>
    </row>
    <row r="2371" ht="26" customHeight="1">
      <c r="A2371" s="6" t="n">
        <v>2370</v>
      </c>
      <c r="B2371" s="7" t="inlineStr">
        <is>
          <t>총정리 48탄</t>
        </is>
      </c>
      <c r="C2371" s="7" t="inlineStr">
        <is>
          <t>실전회화/표현</t>
        </is>
      </c>
      <c r="D2371" s="8" t="inlineStr">
        <is>
          <t>Suit yourself.</t>
        </is>
      </c>
      <c r="E2371" s="12" t="inlineStr">
        <is>
          <t>네 맘대로 해/너가 그렇다면야</t>
        </is>
      </c>
      <c r="F2371" s="12" t="inlineStr">
        <is>
          <t>A: I'm not gonna go.</t>
        </is>
      </c>
      <c r="G2371" s="12" t="inlineStr">
        <is>
          <t>난 안갈래.</t>
        </is>
      </c>
      <c r="H2371" s="9">
        <f>HYPERLINK("https://www.youtube.com/watch?v=ju8QXhDzKms", "영상 보기 ▶")</f>
        <v/>
      </c>
    </row>
    <row r="2372" ht="26" customHeight="1">
      <c r="A2372" s="2" t="n">
        <v>2371</v>
      </c>
      <c r="B2372" s="3" t="inlineStr">
        <is>
          <t>총정리 48탄</t>
        </is>
      </c>
      <c r="C2372" s="3" t="inlineStr">
        <is>
          <t>실전회화/표현</t>
        </is>
      </c>
      <c r="D2372" s="4" t="inlineStr">
        <is>
          <t>buy</t>
        </is>
      </c>
      <c r="E2372" s="11" t="inlineStr">
        <is>
          <t>(어떤 말이 사실이라고) 믿다</t>
        </is>
      </c>
      <c r="F2372" s="11" t="inlineStr">
        <is>
          <t>I'm not buying it. (</t>
        </is>
      </c>
      <c r="G2372" s="11" t="inlineStr">
        <is>
          <t>수상할 때) 그말 안 믿어/납득이 안돼</t>
        </is>
      </c>
      <c r="H2372" s="5">
        <f>HYPERLINK("https://www.youtube.com/watch?v=ju8QXhDzKms", "영상 보기 ▶")</f>
        <v/>
      </c>
    </row>
    <row r="2373" ht="26" customHeight="1">
      <c r="A2373" s="6" t="n">
        <v>2372</v>
      </c>
      <c r="B2373" s="7" t="inlineStr">
        <is>
          <t>총정리 48탄</t>
        </is>
      </c>
      <c r="C2373" s="7" t="inlineStr">
        <is>
          <t>실전회화/표현</t>
        </is>
      </c>
      <c r="D2373" s="8" t="inlineStr">
        <is>
          <t>I'll pass.</t>
        </is>
      </c>
      <c r="E2373" s="12" t="inlineStr">
        <is>
          <t>난 이번엔 안 할래, 정중히 사양할게</t>
        </is>
      </c>
      <c r="F2373" s="12" t="inlineStr">
        <is>
          <t>Do you want some dessert? - Thanks, but I'll pass.</t>
        </is>
      </c>
      <c r="G2373" s="12" t="inlineStr">
        <is>
          <t>디저트 좀 드실래요? - 고맙지만 이번엔 사양할게요.</t>
        </is>
      </c>
      <c r="H2373" s="9">
        <f>HYPERLINK("https://www.youtube.com/watch?v=ju8QXhDzKms", "영상 보기 ▶")</f>
        <v/>
      </c>
    </row>
    <row r="2374" ht="26" customHeight="1">
      <c r="A2374" s="2" t="n">
        <v>2373</v>
      </c>
      <c r="B2374" s="3" t="inlineStr">
        <is>
          <t>총정리 48탄</t>
        </is>
      </c>
      <c r="C2374" s="3" t="inlineStr">
        <is>
          <t>실전회화/표현</t>
        </is>
      </c>
      <c r="D2374" s="4" t="inlineStr">
        <is>
          <t>pushover</t>
        </is>
      </c>
      <c r="E2374" s="11" t="inlineStr">
        <is>
          <t>호락호락한/만만한 사람</t>
        </is>
      </c>
      <c r="F2374" s="11" t="inlineStr">
        <is>
          <t>Don't be a pushover.</t>
        </is>
      </c>
      <c r="G2374" s="11" t="inlineStr">
        <is>
          <t>너무 다 받아주지 마/만만하게 굴지 마.</t>
        </is>
      </c>
      <c r="H2374" s="5">
        <f>HYPERLINK("https://www.youtube.com/watch?v=ju8QXhDzKms", "영상 보기 ▶")</f>
        <v/>
      </c>
    </row>
    <row r="2375" ht="26" customHeight="1">
      <c r="A2375" s="6" t="n">
        <v>2374</v>
      </c>
      <c r="B2375" s="7" t="inlineStr">
        <is>
          <t>총정리 48탄</t>
        </is>
      </c>
      <c r="C2375" s="7" t="inlineStr">
        <is>
          <t>실전회화/표현</t>
        </is>
      </c>
      <c r="D2375" s="8" t="inlineStr">
        <is>
          <t>hit a wall</t>
        </is>
      </c>
      <c r="E2375" s="12" t="inlineStr">
        <is>
          <t>벽에 부딪히다, 막히다</t>
        </is>
      </c>
      <c r="F2375" s="12" t="inlineStr">
        <is>
          <t>I've hit a wall.</t>
        </is>
      </c>
      <c r="G2375" s="12" t="inlineStr">
        <is>
          <t>답이 안나와/방법이 안 보여/완전 막혔어</t>
        </is>
      </c>
      <c r="H2375" s="9">
        <f>HYPERLINK("https://www.youtube.com/watch?v=ju8QXhDzKms", "영상 보기 ▶")</f>
        <v/>
      </c>
    </row>
    <row r="2376" ht="26" customHeight="1">
      <c r="A2376" s="2" t="n">
        <v>2375</v>
      </c>
      <c r="B2376" s="3" t="inlineStr">
        <is>
          <t>총정리 48탄</t>
        </is>
      </c>
      <c r="C2376" s="3" t="inlineStr">
        <is>
          <t>실전회화/표현</t>
        </is>
      </c>
      <c r="D2376" s="4" t="inlineStr">
        <is>
          <t>My bad. (</t>
        </is>
      </c>
      <c r="E2376" s="11" t="inlineStr">
        <is>
          <t>실수나 잘못을 가볍게 인정) 아, 내가 틀렸네/미안/내 실수야</t>
        </is>
      </c>
      <c r="F2376" s="11" t="inlineStr">
        <is>
          <t>A: You sent the wrong file.</t>
        </is>
      </c>
      <c r="G2376" s="11" t="inlineStr">
        <is>
          <t>파일 잘못 보냈어.</t>
        </is>
      </c>
      <c r="H2376" s="5">
        <f>HYPERLINK("https://www.youtube.com/watch?v=ju8QXhDzKms", "영상 보기 ▶")</f>
        <v/>
      </c>
    </row>
    <row r="2377" ht="26" customHeight="1">
      <c r="A2377" s="6" t="n">
        <v>2376</v>
      </c>
      <c r="B2377" s="7" t="inlineStr">
        <is>
          <t>총정리 48탄</t>
        </is>
      </c>
      <c r="C2377" s="7" t="inlineStr">
        <is>
          <t>의견/의사결정</t>
        </is>
      </c>
      <c r="D2377" s="8" t="inlineStr">
        <is>
          <t>call out</t>
        </is>
      </c>
      <c r="E2377" s="12" t="inlineStr">
        <is>
          <t>(특히 공개적/직접적으로) 지적하다</t>
        </is>
      </c>
      <c r="F2377" s="12" t="inlineStr">
        <is>
          <t>You didn't have to call her out in front of everyone.</t>
        </is>
      </c>
      <c r="G2377" s="12" t="inlineStr">
        <is>
          <t>그렇게 대놓고 뭐라고 할 필요는 없었잖아.</t>
        </is>
      </c>
      <c r="H2377" s="9">
        <f>HYPERLINK("https://www.youtube.com/watch?v=ju8QXhDzKms", "영상 보기 ▶")</f>
        <v/>
      </c>
    </row>
    <row r="2378" ht="26" customHeight="1">
      <c r="A2378" s="2" t="n">
        <v>2377</v>
      </c>
      <c r="B2378" s="3" t="inlineStr">
        <is>
          <t>총정리 48탄</t>
        </is>
      </c>
      <c r="C2378" s="3" t="inlineStr">
        <is>
          <t>실전회화/표현</t>
        </is>
      </c>
      <c r="D2378" s="4" t="inlineStr">
        <is>
          <t>back out</t>
        </is>
      </c>
      <c r="E2378" s="11" t="inlineStr">
        <is>
          <t>(하기로 했던 일에서) 발 빼다/취소하다/빠지다</t>
        </is>
      </c>
      <c r="F2378" s="11" t="inlineStr">
        <is>
          <t>He backed out.</t>
        </is>
      </c>
      <c r="G2378" s="11" t="inlineStr">
        <is>
          <t>걔 발 뺐어/취소했어/안한대.</t>
        </is>
      </c>
      <c r="H2378" s="5">
        <f>HYPERLINK("https://www.youtube.com/watch?v=ju8QXhDzKms", "영상 보기 ▶")</f>
        <v/>
      </c>
    </row>
    <row r="2379" ht="26" customHeight="1">
      <c r="A2379" s="6" t="n">
        <v>2378</v>
      </c>
      <c r="B2379" s="7" t="inlineStr">
        <is>
          <t>총정리 48탄</t>
        </is>
      </c>
      <c r="C2379" s="7" t="inlineStr">
        <is>
          <t>실전회화/표현</t>
        </is>
      </c>
      <c r="D2379" s="8" t="inlineStr">
        <is>
          <t>bail</t>
        </is>
      </c>
      <c r="E2379" s="12" t="inlineStr">
        <is>
          <t>(약속이나 계획을) 취소하다/바람 맞히다</t>
        </is>
      </c>
      <c r="F2379" s="12" t="inlineStr">
        <is>
          <t>Don't bail on me.</t>
        </is>
      </c>
      <c r="G2379" s="12" t="inlineStr">
        <is>
          <t>온다고 해놓고 안 오면 안돼/나 혼자 가게 하지마.</t>
        </is>
      </c>
      <c r="H2379" s="9">
        <f>HYPERLINK("https://www.youtube.com/watch?v=ju8QXhDzKms", "영상 보기 ▶")</f>
        <v/>
      </c>
    </row>
    <row r="2380" ht="26" customHeight="1">
      <c r="A2380" s="2" t="n">
        <v>2379</v>
      </c>
      <c r="B2380" s="3" t="inlineStr">
        <is>
          <t>총정리 48탄</t>
        </is>
      </c>
      <c r="C2380" s="3" t="inlineStr">
        <is>
          <t>실전회화/표현</t>
        </is>
      </c>
      <c r="D2380" s="4" t="inlineStr">
        <is>
          <t>hit up 사람</t>
        </is>
      </c>
      <c r="E2380" s="11" t="inlineStr">
        <is>
          <t>연락하다</t>
        </is>
      </c>
      <c r="F2380" s="11" t="inlineStr">
        <is>
          <t>Just hit me up when you're free.</t>
        </is>
      </c>
      <c r="G2380" s="11" t="inlineStr">
        <is>
          <t>시간될 때 연락해.</t>
        </is>
      </c>
      <c r="H2380" s="5">
        <f>HYPERLINK("https://www.youtube.com/watch?v=ju8QXhDzKms", "영상 보기 ▶")</f>
        <v/>
      </c>
    </row>
    <row r="2381" ht="26" customHeight="1">
      <c r="A2381" s="6" t="n">
        <v>2380</v>
      </c>
      <c r="B2381" s="7" t="inlineStr">
        <is>
          <t>총정리 48탄</t>
        </is>
      </c>
      <c r="C2381" s="7" t="inlineStr">
        <is>
          <t>실전회화/표현</t>
        </is>
      </c>
      <c r="D2381" s="8" t="inlineStr">
        <is>
          <t>hit up 장소</t>
        </is>
      </c>
      <c r="E2381" s="12" t="inlineStr">
        <is>
          <t>(즉흥적/가법게) 들르다, 가다</t>
        </is>
      </c>
      <c r="F2381" s="12" t="inlineStr">
        <is>
          <t>What do you say we hit up the bar?</t>
        </is>
      </c>
      <c r="G2381" s="12" t="inlineStr">
        <is>
          <t>술 한 잔 하러 가는게 어때?</t>
        </is>
      </c>
      <c r="H2381" s="9">
        <f>HYPERLINK("https://www.youtube.com/watch?v=ju8QXhDzKms", "영상 보기 ▶")</f>
        <v/>
      </c>
    </row>
    <row r="2382" ht="26" customHeight="1">
      <c r="A2382" s="2" t="n">
        <v>2381</v>
      </c>
      <c r="B2382" s="3" t="inlineStr">
        <is>
          <t>총정리 48탄</t>
        </is>
      </c>
      <c r="C2382" s="3" t="inlineStr">
        <is>
          <t>실전회화/표현</t>
        </is>
      </c>
      <c r="D2382" s="4" t="inlineStr">
        <is>
          <t>Coming through!</t>
        </is>
      </c>
      <c r="E2382" s="11" t="inlineStr">
        <is>
          <t>(인파나 뜨거운 음식을 들고) 잠시 지나갈게요! 비켜주세요!</t>
        </is>
      </c>
      <c r="F2382" s="11" t="inlineStr">
        <is>
          <t>Watch your step, hot soup coming through!</t>
        </is>
      </c>
      <c r="G2382" s="11" t="inlineStr">
        <is>
          <t>발밑 조심하세요, 뜨거운 국물 지나갑니다!</t>
        </is>
      </c>
      <c r="H2382" s="5">
        <f>HYPERLINK("https://www.youtube.com/watch?v=ju8QXhDzKms", "영상 보기 ▶")</f>
        <v/>
      </c>
    </row>
    <row r="2383" ht="26" customHeight="1">
      <c r="A2383" s="6" t="n">
        <v>2382</v>
      </c>
      <c r="B2383" s="7" t="inlineStr">
        <is>
          <t>총정리 48탄</t>
        </is>
      </c>
      <c r="C2383" s="7" t="inlineStr">
        <is>
          <t>실전회화/표현</t>
        </is>
      </c>
      <c r="D2383" s="8" t="inlineStr">
        <is>
          <t>come through</t>
        </is>
      </c>
      <c r="E2383" s="12" t="inlineStr">
        <is>
          <t>(기대/약속한대로) 해내다/완수하다</t>
        </is>
      </c>
      <c r="F2383" s="12" t="inlineStr">
        <is>
          <t>Don't worry. He'll come through.</t>
        </is>
      </c>
      <c r="G2383" s="12" t="inlineStr">
        <is>
          <t>잘 해낼거니 걱정마.</t>
        </is>
      </c>
      <c r="H2383" s="9">
        <f>HYPERLINK("https://www.youtube.com/watch?v=ju8QXhDzKms", "영상 보기 ▶")</f>
        <v/>
      </c>
    </row>
    <row r="2384" ht="26" customHeight="1">
      <c r="A2384" s="2" t="n">
        <v>2383</v>
      </c>
      <c r="B2384" s="3" t="inlineStr">
        <is>
          <t>총정리 48탄</t>
        </is>
      </c>
      <c r="C2384" s="3" t="inlineStr">
        <is>
          <t>실전회화/표현</t>
        </is>
      </c>
      <c r="D2384" s="4" t="inlineStr">
        <is>
          <t>rhetorical question</t>
        </is>
      </c>
      <c r="E2384" s="11" t="inlineStr">
        <is>
          <t>수사의문문</t>
        </is>
      </c>
      <c r="F2384" s="11" t="inlineStr">
        <is>
          <t>It's a rhetorical question.</t>
        </is>
      </c>
      <c r="G2384" s="11" t="inlineStr">
        <is>
          <t>답 안해도 돼.</t>
        </is>
      </c>
      <c r="H2384" s="5">
        <f>HYPERLINK("https://www.youtube.com/watch?v=ju8QXhDzKms", "영상 보기 ▶")</f>
        <v/>
      </c>
    </row>
    <row r="2385" ht="26" customHeight="1">
      <c r="A2385" s="6" t="n">
        <v>2384</v>
      </c>
      <c r="B2385" s="7" t="inlineStr">
        <is>
          <t>총정리 48탄</t>
        </is>
      </c>
      <c r="C2385" s="7" t="inlineStr">
        <is>
          <t>실전회화/표현</t>
        </is>
      </c>
      <c r="D2385" s="8" t="inlineStr">
        <is>
          <t>Isn't that something?</t>
        </is>
      </c>
      <c r="E2385" s="12" t="inlineStr">
        <is>
          <t>정말 대단하지/놀랍지 않아?</t>
        </is>
      </c>
      <c r="F2385" s="12" t="inlineStr">
        <is>
          <t>Isn't that something?</t>
        </is>
      </c>
      <c r="G2385" s="12" t="inlineStr">
        <is>
          <t>정말 대단하지/놀랍지 않아?</t>
        </is>
      </c>
      <c r="H2385" s="9">
        <f>HYPERLINK("https://www.youtube.com/watch?v=ju8QXhDzKms", "영상 보기 ▶")</f>
        <v/>
      </c>
    </row>
    <row r="2386" ht="26" customHeight="1">
      <c r="A2386" s="2" t="n">
        <v>2385</v>
      </c>
      <c r="B2386" s="3" t="inlineStr">
        <is>
          <t>총정리 48탄</t>
        </is>
      </c>
      <c r="C2386" s="3" t="inlineStr">
        <is>
          <t>실전회화/표현</t>
        </is>
      </c>
      <c r="D2386" s="4" t="inlineStr">
        <is>
          <t>What are the odds?</t>
        </is>
      </c>
      <c r="E2386" s="11" t="inlineStr">
        <is>
          <t>이런 우연이/그럴 확률이 얼마나 돼?</t>
        </is>
      </c>
      <c r="F2386" s="11" t="inlineStr">
        <is>
          <t>I can't believe I ran into you. What are the odds?</t>
        </is>
      </c>
      <c r="G2386" s="11" t="inlineStr">
        <is>
          <t>여기서 널 보다니 이런 우연이/정말 신기하다</t>
        </is>
      </c>
      <c r="H2386" s="5">
        <f>HYPERLINK("https://www.youtube.com/watch?v=ju8QXhDzKms", "영상 보기 ▶")</f>
        <v/>
      </c>
    </row>
    <row r="2387" ht="26" customHeight="1">
      <c r="A2387" s="6" t="n">
        <v>2386</v>
      </c>
      <c r="B2387" s="7" t="inlineStr">
        <is>
          <t>총정리 48탄</t>
        </is>
      </c>
      <c r="C2387" s="7" t="inlineStr">
        <is>
          <t>실전회화/표현</t>
        </is>
      </c>
      <c r="D2387" s="8" t="inlineStr">
        <is>
          <t>What's not to like?</t>
        </is>
      </c>
      <c r="E2387" s="12" t="inlineStr">
        <is>
          <t>안 좋아할 이유가 뭐 있어?</t>
        </is>
      </c>
      <c r="F2387" s="12" t="inlineStr">
        <is>
          <t>It's free. What's not to like?</t>
        </is>
      </c>
      <c r="G2387" s="12" t="inlineStr">
        <is>
          <t>공짠데, 안 좋아할 이유가 뭐가 있어?</t>
        </is>
      </c>
      <c r="H2387" s="9">
        <f>HYPERLINK("https://www.youtube.com/watch?v=ju8QXhDzKms", "영상 보기 ▶")</f>
        <v/>
      </c>
    </row>
    <row r="2388" ht="26" customHeight="1">
      <c r="A2388" s="2" t="n">
        <v>2387</v>
      </c>
      <c r="B2388" s="3" t="inlineStr">
        <is>
          <t>총정리 48탄</t>
        </is>
      </c>
      <c r="C2388" s="3" t="inlineStr">
        <is>
          <t>실전회화/표현</t>
        </is>
      </c>
      <c r="D2388" s="4" t="inlineStr">
        <is>
          <t>hit it off</t>
        </is>
      </c>
      <c r="E2388" s="11" t="inlineStr">
        <is>
          <t>금방 친해지다, 죽이 잘 맞다</t>
        </is>
      </c>
      <c r="F2388" s="11" t="inlineStr">
        <is>
          <t>I knew you guys would hit it off.</t>
        </is>
      </c>
      <c r="G2388" s="11" t="inlineStr">
        <is>
          <t>너네 잘 통할 줄 알았어.</t>
        </is>
      </c>
      <c r="H2388" s="5">
        <f>HYPERLINK("https://www.youtube.com/watch?v=ju8QXhDzKms", "영상 보기 ▶")</f>
        <v/>
      </c>
    </row>
    <row r="2389" ht="26" customHeight="1">
      <c r="A2389" s="6" t="n">
        <v>2388</v>
      </c>
      <c r="B2389" s="7" t="inlineStr">
        <is>
          <t>총정리 48탄</t>
        </is>
      </c>
      <c r="C2389" s="7" t="inlineStr">
        <is>
          <t>실전회화/표현</t>
        </is>
      </c>
      <c r="D2389" s="8" t="inlineStr">
        <is>
          <t>right off the bat</t>
        </is>
      </c>
      <c r="E2389" s="12" t="inlineStr">
        <is>
          <t>곧바로/즉시  (&amp;#x3D; immediately)</t>
        </is>
      </c>
      <c r="F2389" s="12" t="inlineStr">
        <is>
          <t>We hit it off right off the bat.</t>
        </is>
      </c>
      <c r="G2389" s="12" t="inlineStr">
        <is>
          <t>처음부터 잘 통했어/죽이 잘 맞았어.</t>
        </is>
      </c>
      <c r="H2389" s="9">
        <f>HYPERLINK("https://www.youtube.com/watch?v=ju8QXhDzKms", "영상 보기 ▶")</f>
        <v/>
      </c>
    </row>
    <row r="2390" ht="26" customHeight="1">
      <c r="A2390" s="2" t="n">
        <v>2389</v>
      </c>
      <c r="B2390" s="3" t="inlineStr">
        <is>
          <t>총정리 48탄</t>
        </is>
      </c>
      <c r="C2390" s="3" t="inlineStr">
        <is>
          <t>실전회화/표현</t>
        </is>
      </c>
      <c r="D2390" s="4" t="inlineStr">
        <is>
          <t>be up for</t>
        </is>
      </c>
      <c r="E2390" s="11" t="inlineStr">
        <is>
          <t>~ 하고 싶다/~할 의향이 있다.</t>
        </is>
      </c>
      <c r="F2390" s="11" t="inlineStr">
        <is>
          <t>Are you up for coffee later?</t>
        </is>
      </c>
      <c r="G2390" s="11" t="inlineStr">
        <is>
          <t>이따 커피 마실래?</t>
        </is>
      </c>
      <c r="H2390" s="5">
        <f>HYPERLINK("https://www.youtube.com/watch?v=ju8QXhDzKms", "영상 보기 ▶")</f>
        <v/>
      </c>
    </row>
    <row r="2391" ht="26" customHeight="1">
      <c r="A2391" s="6" t="n">
        <v>2390</v>
      </c>
      <c r="B2391" s="7" t="inlineStr">
        <is>
          <t>총정리 48탄</t>
        </is>
      </c>
      <c r="C2391" s="7" t="inlineStr">
        <is>
          <t>실전회화/표현</t>
        </is>
      </c>
      <c r="D2391" s="8" t="inlineStr">
        <is>
          <t>be up to</t>
        </is>
      </c>
      <c r="E2391" s="12" t="inlineStr">
        <is>
          <t>(육체적/정신적/능력상) ~를 해낼 수/감당할 수 있다</t>
        </is>
      </c>
      <c r="F2391" s="12" t="inlineStr">
        <is>
          <t>I don't think he's up to the job.</t>
        </is>
      </c>
      <c r="G2391" s="12" t="inlineStr">
        <is>
          <t>걔가 그 일을 해낼 그릇은 안되는 것 같은데.</t>
        </is>
      </c>
      <c r="H2391" s="9">
        <f>HYPERLINK("https://www.youtube.com/watch?v=ju8QXhDzKms", "영상 보기 ▶")</f>
        <v/>
      </c>
    </row>
    <row r="2392" ht="26" customHeight="1">
      <c r="A2392" s="2" t="n">
        <v>2391</v>
      </c>
      <c r="B2392" s="3" t="inlineStr">
        <is>
          <t>총정리 48탄</t>
        </is>
      </c>
      <c r="C2392" s="3" t="inlineStr">
        <is>
          <t>실전회화/표현</t>
        </is>
      </c>
      <c r="D2392" s="4" t="inlineStr">
        <is>
          <t>be up to something</t>
        </is>
      </c>
      <c r="E2392" s="11" t="inlineStr">
        <is>
          <t>뭔가 일을 꾸미고 있다/꿍꿍이가 있다</t>
        </is>
      </c>
      <c r="F2392" s="11" t="inlineStr">
        <is>
          <t>He's up to something.</t>
        </is>
      </c>
      <c r="G2392" s="11" t="inlineStr">
        <is>
          <t>걔 뭔가 수상해/뭔가 꾸미고 있어.</t>
        </is>
      </c>
      <c r="H2392" s="5">
        <f>HYPERLINK("https://www.youtube.com/watch?v=ju8QXhDzKms", "영상 보기 ▶")</f>
        <v/>
      </c>
    </row>
    <row r="2393" ht="26" customHeight="1">
      <c r="A2393" s="6" t="n">
        <v>2392</v>
      </c>
      <c r="B2393" s="7" t="inlineStr">
        <is>
          <t>총정리 48탄</t>
        </is>
      </c>
      <c r="C2393" s="7" t="inlineStr">
        <is>
          <t>실전회화/표현</t>
        </is>
      </c>
      <c r="D2393" s="8" t="inlineStr">
        <is>
          <t>'</t>
        </is>
      </c>
      <c r="E2393" s="12" t="inlineStr">
        <is>
          <t>피하다'의 beat</t>
        </is>
      </c>
      <c r="F2393" s="12" t="inlineStr">
        <is>
          <t>We should hit the road to beat the traffic.</t>
        </is>
      </c>
      <c r="G2393" s="12" t="inlineStr">
        <is>
          <t>차 막히니 지금 출발하는게 좋겠어.</t>
        </is>
      </c>
      <c r="H2393" s="9">
        <f>HYPERLINK("https://www.youtube.com/watch?v=ju8QXhDzKms", "영상 보기 ▶")</f>
        <v/>
      </c>
    </row>
    <row r="2394" ht="26" customHeight="1">
      <c r="A2394" s="2" t="n">
        <v>2393</v>
      </c>
      <c r="B2394" s="3" t="inlineStr">
        <is>
          <t>총정리 48탄</t>
        </is>
      </c>
      <c r="C2394" s="3" t="inlineStr">
        <is>
          <t>실전회화/표현</t>
        </is>
      </c>
      <c r="D2394" s="4" t="inlineStr">
        <is>
          <t>hit the gym / hit the road</t>
        </is>
      </c>
      <c r="E2394" s="11" t="inlineStr">
        <is>
          <t>(어떤 장소로) 향하다, 가다 (hit the gym: 헬스장 가다)</t>
        </is>
      </c>
      <c r="F2394" s="11" t="inlineStr">
        <is>
          <t>I try to hit the gym at least four days a week.</t>
        </is>
      </c>
      <c r="G2394" s="11" t="inlineStr">
        <is>
          <t>난 적어도 일주일에 나흘은 헬스장에 운동하러 가려고 해.</t>
        </is>
      </c>
      <c r="H2394" s="5">
        <f>HYPERLINK("https://www.youtube.com/watch?v=ju8QXhDzKms", "영상 보기 ▶")</f>
        <v/>
      </c>
    </row>
    <row r="2395" ht="26" customHeight="1">
      <c r="A2395" s="6" t="n">
        <v>2394</v>
      </c>
      <c r="B2395" s="7" t="inlineStr">
        <is>
          <t>총정리 48탄</t>
        </is>
      </c>
      <c r="C2395" s="7" t="inlineStr">
        <is>
          <t>실전회화/표현</t>
        </is>
      </c>
      <c r="D2395" s="8" t="inlineStr">
        <is>
          <t>be into</t>
        </is>
      </c>
      <c r="E2395" s="12" t="inlineStr">
        <is>
          <t>(푹 빠지듯) ~를 좋아하다/~에 관심있다</t>
        </is>
      </c>
      <c r="F2395" s="12" t="inlineStr">
        <is>
          <t>What are you into? (</t>
        </is>
      </c>
      <c r="G2395" s="12" t="inlineStr">
        <is>
          <t>스몰톡) 뭐 하는 거 좋아해?/뭐에 관심 있어?</t>
        </is>
      </c>
      <c r="H2395" s="9">
        <f>HYPERLINK("https://www.youtube.com/watch?v=ju8QXhDzKms", "영상 보기 ▶")</f>
        <v/>
      </c>
    </row>
    <row r="2396" ht="26" customHeight="1">
      <c r="A2396" s="2" t="n">
        <v>2395</v>
      </c>
      <c r="B2396" s="3" t="inlineStr">
        <is>
          <t>총정리 48탄</t>
        </is>
      </c>
      <c r="C2396" s="3" t="inlineStr">
        <is>
          <t>비즈니스/업무</t>
        </is>
      </c>
      <c r="D2396" s="4" t="inlineStr">
        <is>
          <t>push back</t>
        </is>
      </c>
      <c r="E2396" s="11" t="inlineStr">
        <is>
          <t>① (일정을) 뒤로 미루다, 연기하다 ② 이의를 제기하다</t>
        </is>
      </c>
      <c r="F2396" s="11" t="inlineStr">
        <is>
          <t>Can we push back the deadline to next Wednesday?</t>
        </is>
      </c>
      <c r="G2396" s="11" t="inlineStr">
        <is>
          <t>마감 기한을 다음 주 수요일로 조금 늦출 수 있을까요?</t>
        </is>
      </c>
      <c r="H2396" s="5">
        <f>HYPERLINK("https://www.youtube.com/watch?v=ju8QXhDzKms", "영상 보기 ▶")</f>
        <v/>
      </c>
    </row>
    <row r="2397" ht="26" customHeight="1">
      <c r="A2397" s="6" t="n">
        <v>2396</v>
      </c>
      <c r="B2397" s="7" t="inlineStr">
        <is>
          <t>총정리 48탄</t>
        </is>
      </c>
      <c r="C2397" s="7" t="inlineStr">
        <is>
          <t>공감/감정</t>
        </is>
      </c>
      <c r="D2397" s="8" t="inlineStr">
        <is>
          <t>명사 pushback</t>
        </is>
      </c>
      <c r="E2397" s="12" t="inlineStr">
        <is>
          <t>(계획/변화 등에 대한) 반발, 부정적인 반응</t>
        </is>
      </c>
      <c r="F2397" s="12" t="inlineStr">
        <is>
          <t>I got some pushback.</t>
        </is>
      </c>
      <c r="G2397" s="12" t="inlineStr">
        <is>
          <t>반발이 좀 있었어.</t>
        </is>
      </c>
      <c r="H2397" s="9">
        <f>HYPERLINK("https://www.youtube.com/watch?v=ju8QXhDzKms", "영상 보기 ▶")</f>
        <v/>
      </c>
    </row>
    <row r="2398" ht="26" customHeight="1">
      <c r="A2398" s="2" t="n">
        <v>2397</v>
      </c>
      <c r="B2398" s="3" t="inlineStr">
        <is>
          <t>총정리 48탄</t>
        </is>
      </c>
      <c r="C2398" s="3" t="inlineStr">
        <is>
          <t>실전회화/표현</t>
        </is>
      </c>
      <c r="D2398" s="4" t="inlineStr">
        <is>
          <t>hit out (at)</t>
        </is>
      </c>
      <c r="E2398" s="11" t="inlineStr">
        <is>
          <t>강하게 비난하다</t>
        </is>
      </c>
      <c r="F2398" s="11" t="inlineStr">
        <is>
          <t>He hit out at the policy.</t>
        </is>
      </c>
      <c r="G2398" s="11" t="inlineStr">
        <is>
          <t>그 정책을 강하게 비난했어.</t>
        </is>
      </c>
      <c r="H2398" s="5">
        <f>HYPERLINK("https://www.youtube.com/watch?v=ju8QXhDzKms", "영상 보기 ▶")</f>
        <v/>
      </c>
    </row>
    <row r="2399" ht="26" customHeight="1">
      <c r="A2399" s="6" t="n">
        <v>2398</v>
      </c>
      <c r="B2399" s="7" t="inlineStr">
        <is>
          <t>총정리 48탄</t>
        </is>
      </c>
      <c r="C2399" s="7" t="inlineStr">
        <is>
          <t>실전회화/표현</t>
        </is>
      </c>
      <c r="D2399" s="8" t="inlineStr">
        <is>
          <t>hit back</t>
        </is>
      </c>
      <c r="E2399" s="12" t="inlineStr">
        <is>
          <t>반박/맞대응하다</t>
        </is>
      </c>
      <c r="F2399" s="12" t="inlineStr">
        <is>
          <t>You should hit back.</t>
        </is>
      </c>
      <c r="G2399" s="12" t="inlineStr">
        <is>
          <t>너도 맞대응 해.</t>
        </is>
      </c>
      <c r="H2399" s="9">
        <f>HYPERLINK("https://www.youtube.com/watch?v=ju8QXhDzKms", "영상 보기 ▶")</f>
        <v/>
      </c>
    </row>
    <row r="2400" ht="26" customHeight="1">
      <c r="A2400" s="2" t="n">
        <v>2399</v>
      </c>
      <c r="B2400" s="3" t="inlineStr">
        <is>
          <t>총정리 48탄</t>
        </is>
      </c>
      <c r="C2400" s="3" t="inlineStr">
        <is>
          <t>실전회화/표현</t>
        </is>
      </c>
      <c r="D2400" s="4" t="inlineStr">
        <is>
          <t>tension</t>
        </is>
      </c>
      <c r="E2400" s="11" t="inlineStr">
        <is>
          <t>긴장/갈등</t>
        </is>
      </c>
      <c r="F2400" s="11" t="inlineStr">
        <is>
          <t>I'm sensing some tension here.</t>
        </is>
      </c>
      <c r="G2400" s="11" t="inlineStr">
        <is>
          <t>긴장감이 좀 느껴지네/분위기가 좀 이상한데.</t>
        </is>
      </c>
      <c r="H2400" s="5">
        <f>HYPERLINK("https://www.youtube.com/watch?v=ju8QXhDzKms", "영상 보기 ▶")</f>
        <v/>
      </c>
    </row>
    <row r="2401" ht="26" customHeight="1">
      <c r="A2401" s="6" t="n">
        <v>2400</v>
      </c>
      <c r="B2401" s="7" t="inlineStr">
        <is>
          <t>총정리 48탄</t>
        </is>
      </c>
      <c r="C2401" s="7" t="inlineStr">
        <is>
          <t>실전회화/표현</t>
        </is>
      </c>
      <c r="D2401" s="8" t="inlineStr">
        <is>
          <t>Guess what?</t>
        </is>
      </c>
      <c r="E2401" s="12" t="inlineStr">
        <is>
          <t>무슨 일이 있었게?, 그거 알아?, 놀라지마, 들어봐</t>
        </is>
      </c>
      <c r="F2401" s="12" t="inlineStr">
        <is>
          <t>Guess what? I got the job!</t>
        </is>
      </c>
      <c r="G2401" s="12" t="inlineStr">
        <is>
          <t>놀라지 마, 나 그 일 따냈어!</t>
        </is>
      </c>
      <c r="H2401" s="9">
        <f>HYPERLINK("https://www.youtube.com/watch?v=ju8QXhDzKms", "영상 보기 ▶")</f>
        <v/>
      </c>
    </row>
    <row r="2402" ht="26" customHeight="1">
      <c r="A2402" s="2" t="n">
        <v>2401</v>
      </c>
      <c r="B2402" s="3" t="inlineStr">
        <is>
          <t>총정리 49탄</t>
        </is>
      </c>
      <c r="C2402" s="3" t="inlineStr">
        <is>
          <t>공감/감정</t>
        </is>
      </c>
      <c r="D2402" s="4" t="inlineStr">
        <is>
          <t>lean toward(s)</t>
        </is>
      </c>
      <c r="E2402" s="11" t="inlineStr">
        <is>
          <t>~쪽으로 마음이 기울다</t>
        </is>
      </c>
      <c r="F2402" s="11" t="inlineStr">
        <is>
          <t>I'm leaning towards option A. option A</t>
        </is>
      </c>
      <c r="G2402" s="11" t="inlineStr">
        <is>
          <t>로 마음이 기울고 있어.</t>
        </is>
      </c>
      <c r="H2402" s="5">
        <f>HYPERLINK("https://www.youtube.com/watch?v=CuzNMPzAnpo", "영상 보기 ▶")</f>
        <v/>
      </c>
    </row>
    <row r="2403" ht="26" customHeight="1">
      <c r="A2403" s="6" t="n">
        <v>2402</v>
      </c>
      <c r="B2403" s="7" t="inlineStr">
        <is>
          <t>총정리 49탄</t>
        </is>
      </c>
      <c r="C2403" s="7" t="inlineStr">
        <is>
          <t>실전회화/표현</t>
        </is>
      </c>
      <c r="D2403" s="8" t="inlineStr">
        <is>
          <t>gravitate toward(s)</t>
        </is>
      </c>
      <c r="E2403" s="12" t="inlineStr">
        <is>
          <t>(자연스레) 관심이가다, 끌리다</t>
        </is>
      </c>
      <c r="F2403" s="12" t="inlineStr">
        <is>
          <t>I gravitate towards simple designs.</t>
        </is>
      </c>
      <c r="G2403" s="12" t="inlineStr">
        <is>
          <t>난 심플한 디자인을 선호해/끌려.</t>
        </is>
      </c>
      <c r="H2403" s="9">
        <f>HYPERLINK("https://www.youtube.com/watch?v=CuzNMPzAnpo", "영상 보기 ▶")</f>
        <v/>
      </c>
    </row>
    <row r="2404" ht="26" customHeight="1">
      <c r="A2404" s="2" t="n">
        <v>2403</v>
      </c>
      <c r="B2404" s="3" t="inlineStr">
        <is>
          <t>총정리 49탄</t>
        </is>
      </c>
      <c r="C2404" s="3" t="inlineStr">
        <is>
          <t>실전회화/표현</t>
        </is>
      </c>
      <c r="D2404" s="4" t="inlineStr">
        <is>
          <t>It's just a matter of preference.</t>
        </is>
      </c>
      <c r="E2404" s="11" t="inlineStr">
        <is>
          <t>그건 정답이 없고 순전히 개인 취향 차이일 뿐이야</t>
        </is>
      </c>
      <c r="F2404" s="11" t="inlineStr">
        <is>
          <t>Coffee vs tea? It's just a matter of preference.</t>
        </is>
      </c>
      <c r="G2404" s="11" t="inlineStr">
        <is>
          <t>커피냐 차냐는 그냥 개인 취향 차이일 뿐이지.</t>
        </is>
      </c>
      <c r="H2404" s="5">
        <f>HYPERLINK("https://www.youtube.com/watch?v=CuzNMPzAnpo", "영상 보기 ▶")</f>
        <v/>
      </c>
    </row>
    <row r="2405" ht="26" customHeight="1">
      <c r="A2405" s="6" t="n">
        <v>2404</v>
      </c>
      <c r="B2405" s="7" t="inlineStr">
        <is>
          <t>총정리 49탄</t>
        </is>
      </c>
      <c r="C2405" s="7" t="inlineStr">
        <is>
          <t>실전회화/표현</t>
        </is>
      </c>
      <c r="D2405" s="8" t="inlineStr">
        <is>
          <t>blow over</t>
        </is>
      </c>
      <c r="E2405" s="12" t="inlineStr">
        <is>
          <t>(심각한 피해 없이) 사그라들다, 잠잠해지다</t>
        </is>
      </c>
      <c r="F2405" s="12" t="inlineStr">
        <is>
          <t>Don't worry, it'll blow over.</t>
        </is>
      </c>
      <c r="G2405" s="12" t="inlineStr">
        <is>
          <t>곧 괜찮아질 거니 걱정 마.</t>
        </is>
      </c>
      <c r="H2405" s="9">
        <f>HYPERLINK("https://www.youtube.com/watch?v=CuzNMPzAnpo", "영상 보기 ▶")</f>
        <v/>
      </c>
    </row>
    <row r="2406" ht="26" customHeight="1">
      <c r="A2406" s="2" t="n">
        <v>2405</v>
      </c>
      <c r="B2406" s="3" t="inlineStr">
        <is>
          <t>총정리 49탄</t>
        </is>
      </c>
      <c r="C2406" s="3" t="inlineStr">
        <is>
          <t>실전회화/표현</t>
        </is>
      </c>
      <c r="D2406" s="4" t="inlineStr">
        <is>
          <t>blow up</t>
        </is>
      </c>
      <c r="E2406" s="11" t="inlineStr">
        <is>
          <t>터지다, 폭발하다</t>
        </is>
      </c>
      <c r="F2406" s="11" t="inlineStr">
        <is>
          <t>blow over (</t>
        </is>
      </c>
      <c r="G2406" s="11" t="inlineStr">
        <is>
          <t>사그라지는거) vs. blow up (터지는 거)</t>
        </is>
      </c>
      <c r="H2406" s="5">
        <f>HYPERLINK("https://www.youtube.com/watch?v=CuzNMPzAnpo", "영상 보기 ▶")</f>
        <v/>
      </c>
    </row>
    <row r="2407" ht="26" customHeight="1">
      <c r="A2407" s="6" t="n">
        <v>2406</v>
      </c>
      <c r="B2407" s="7" t="inlineStr">
        <is>
          <t>총정리 49탄</t>
        </is>
      </c>
      <c r="C2407" s="7" t="inlineStr">
        <is>
          <t>실전회화/표현</t>
        </is>
      </c>
      <c r="D2407" s="8" t="inlineStr">
        <is>
          <t>chalk it up to</t>
        </is>
      </c>
      <c r="E2407" s="12" t="inlineStr">
        <is>
          <t>~때문이라 여기다/~라고 치다</t>
        </is>
      </c>
      <c r="F2407" s="12" t="inlineStr">
        <is>
          <t>Let's chalk it up to bad luck.</t>
        </is>
      </c>
      <c r="G2407" s="12" t="inlineStr">
        <is>
          <t>그냥 운이 안 좋았던 걸로 치자.</t>
        </is>
      </c>
      <c r="H2407" s="9">
        <f>HYPERLINK("https://www.youtube.com/watch?v=CuzNMPzAnpo", "영상 보기 ▶")</f>
        <v/>
      </c>
    </row>
    <row r="2408" ht="26" customHeight="1">
      <c r="A2408" s="2" t="n">
        <v>2407</v>
      </c>
      <c r="B2408" s="3" t="inlineStr">
        <is>
          <t>총정리 49탄</t>
        </is>
      </c>
      <c r="C2408" s="3" t="inlineStr">
        <is>
          <t>실전회화/표현</t>
        </is>
      </c>
      <c r="D2408" s="4" t="inlineStr">
        <is>
          <t>at all</t>
        </is>
      </c>
      <c r="E2408" s="11" t="inlineStr">
        <is>
          <t>조금이라도 - Did you eat at all? 뭐 좀 먹었어?</t>
        </is>
      </c>
      <c r="F2408" s="11" t="inlineStr">
        <is>
          <t>Do you like it at all?</t>
        </is>
      </c>
      <c r="G2408" s="11" t="inlineStr">
        <is>
          <t>조금이라도 마음에 들어?</t>
        </is>
      </c>
      <c r="H2408" s="5">
        <f>HYPERLINK("https://www.youtube.com/watch?v=CuzNMPzAnpo", "영상 보기 ▶")</f>
        <v/>
      </c>
    </row>
    <row r="2409" ht="26" customHeight="1">
      <c r="A2409" s="6" t="n">
        <v>2408</v>
      </c>
      <c r="B2409" s="7" t="inlineStr">
        <is>
          <t>총정리 49탄</t>
        </is>
      </c>
      <c r="C2409" s="7" t="inlineStr">
        <is>
          <t>실전회화/표현</t>
        </is>
      </c>
      <c r="D2409" s="8" t="inlineStr">
        <is>
          <t>not at all</t>
        </is>
      </c>
      <c r="E2409" s="12" t="inlineStr">
        <is>
          <t>전혀</t>
        </is>
      </c>
      <c r="F2409" s="12" t="inlineStr">
        <is>
          <t>It's no problem at all.</t>
        </is>
      </c>
      <c r="G2409" s="12" t="inlineStr">
        <is>
          <t>전혀 문제 안돼/신경쓰지 마</t>
        </is>
      </c>
      <c r="H2409" s="9">
        <f>HYPERLINK("https://www.youtube.com/watch?v=CuzNMPzAnpo", "영상 보기 ▶")</f>
        <v/>
      </c>
    </row>
    <row r="2410" ht="26" customHeight="1">
      <c r="A2410" s="2" t="n">
        <v>2409</v>
      </c>
      <c r="B2410" s="3" t="inlineStr">
        <is>
          <t>총정리 49탄</t>
        </is>
      </c>
      <c r="C2410" s="3" t="inlineStr">
        <is>
          <t>실전회화/표현</t>
        </is>
      </c>
      <c r="D2410" s="4" t="inlineStr">
        <is>
          <t>not remotely</t>
        </is>
      </c>
      <c r="E2410" s="11" t="inlineStr">
        <is>
          <t>조금도 ~하지 않은, 전혀</t>
        </is>
      </c>
      <c r="F2410" s="11" t="inlineStr">
        <is>
          <t>remotely</t>
        </is>
      </c>
      <c r="G2410" s="11" t="inlineStr">
        <is>
          <t>멀리서, 아주 희박하게, 조금이라도</t>
        </is>
      </c>
      <c r="H2410" s="5">
        <f>HYPERLINK("https://www.youtube.com/watch?v=CuzNMPzAnpo", "영상 보기 ▶")</f>
        <v/>
      </c>
    </row>
    <row r="2411" ht="26" customHeight="1">
      <c r="A2411" s="6" t="n">
        <v>2410</v>
      </c>
      <c r="B2411" s="7" t="inlineStr">
        <is>
          <t>총정리 49탄</t>
        </is>
      </c>
      <c r="C2411" s="7" t="inlineStr">
        <is>
          <t>실전회화/표현</t>
        </is>
      </c>
      <c r="D2411" s="8" t="inlineStr">
        <is>
          <t>lash out</t>
        </is>
      </c>
      <c r="E2411" s="12" t="inlineStr">
        <is>
          <t>격하게 쏘아붙이다, 마구 비난하다</t>
        </is>
      </c>
      <c r="F2411" s="12" t="inlineStr">
        <is>
          <t>He lashed out at his employee.</t>
        </is>
      </c>
      <c r="G2411" s="12" t="inlineStr">
        <is>
          <t>직원한테 엄청 쏘아붙였어.</t>
        </is>
      </c>
      <c r="H2411" s="9">
        <f>HYPERLINK("https://www.youtube.com/watch?v=CuzNMPzAnpo", "영상 보기 ▶")</f>
        <v/>
      </c>
    </row>
    <row r="2412" ht="26" customHeight="1">
      <c r="A2412" s="2" t="n">
        <v>2411</v>
      </c>
      <c r="B2412" s="3" t="inlineStr">
        <is>
          <t>총정리 49탄</t>
        </is>
      </c>
      <c r="C2412" s="3" t="inlineStr">
        <is>
          <t>공감/감정</t>
        </is>
      </c>
      <c r="D2412" s="4" t="inlineStr">
        <is>
          <t>snap at</t>
        </is>
      </c>
      <c r="E2412" s="11" t="inlineStr">
        <is>
          <t>~에게 화내다</t>
        </is>
      </c>
      <c r="F2412" s="11" t="inlineStr">
        <is>
          <t>Sorry for snapping at you.</t>
        </is>
      </c>
      <c r="G2412" s="11" t="inlineStr">
        <is>
          <t>너한테 쏘아붙여서/버럭해서 미안해.</t>
        </is>
      </c>
      <c r="H2412" s="5">
        <f>HYPERLINK("https://www.youtube.com/watch?v=CuzNMPzAnpo", "영상 보기 ▶")</f>
        <v/>
      </c>
    </row>
    <row r="2413" ht="26" customHeight="1">
      <c r="A2413" s="6" t="n">
        <v>2412</v>
      </c>
      <c r="B2413" s="7" t="inlineStr">
        <is>
          <t>총정리 49탄</t>
        </is>
      </c>
      <c r="C2413" s="7" t="inlineStr">
        <is>
          <t>실전회화/표현</t>
        </is>
      </c>
      <c r="D2413" s="8" t="inlineStr">
        <is>
          <t>Snap out of it</t>
        </is>
      </c>
      <c r="E2413" s="12" t="inlineStr">
        <is>
          <t>(안 좋은 상황에서) 빠져나와/정신차려</t>
        </is>
      </c>
      <c r="F2413" s="12" t="inlineStr">
        <is>
          <t>Snap out of it.</t>
        </is>
      </c>
      <c r="G2413" s="12" t="inlineStr">
        <is>
          <t>정신차려.</t>
        </is>
      </c>
      <c r="H2413" s="9">
        <f>HYPERLINK("https://www.youtube.com/watch?v=CuzNMPzAnpo", "영상 보기 ▶")</f>
        <v/>
      </c>
    </row>
    <row r="2414" ht="26" customHeight="1">
      <c r="A2414" s="2" t="n">
        <v>2413</v>
      </c>
      <c r="B2414" s="3" t="inlineStr">
        <is>
          <t>총정리 49탄</t>
        </is>
      </c>
      <c r="C2414" s="3" t="inlineStr">
        <is>
          <t>실전회화/표현</t>
        </is>
      </c>
      <c r="D2414" s="4" t="inlineStr">
        <is>
          <t>동사 jinx</t>
        </is>
      </c>
      <c r="E2414" s="11" t="inlineStr">
        <is>
          <t>불운을 가져오다</t>
        </is>
      </c>
      <c r="F2414" s="11" t="inlineStr">
        <is>
          <t>Don't jinx it.</t>
        </is>
      </c>
      <c r="G2414" s="11" t="inlineStr">
        <is>
          <t>괜히 그런 말 하지 마/부정타게 그러지마</t>
        </is>
      </c>
      <c r="H2414" s="5">
        <f>HYPERLINK("https://www.youtube.com/watch?v=CuzNMPzAnpo", "영상 보기 ▶")</f>
        <v/>
      </c>
    </row>
    <row r="2415" ht="26" customHeight="1">
      <c r="A2415" s="6" t="n">
        <v>2414</v>
      </c>
      <c r="B2415" s="7" t="inlineStr">
        <is>
          <t>총정리 49탄</t>
        </is>
      </c>
      <c r="C2415" s="7" t="inlineStr">
        <is>
          <t>실전회화/표현</t>
        </is>
      </c>
      <c r="D2415" s="8" t="inlineStr">
        <is>
          <t>It's a stretch.</t>
        </is>
      </c>
      <c r="E2415" s="12" t="inlineStr">
        <is>
          <t>그건 억지야/너무 나갔어/무리야 1) 억지해석 2) 힘든일</t>
        </is>
      </c>
      <c r="F2415" s="12" t="inlineStr">
        <is>
          <t>It's a stretch, but it's doable.</t>
        </is>
      </c>
      <c r="G2415" s="12" t="inlineStr">
        <is>
          <t>무리긴 한데 그래도 할 수는 있어.</t>
        </is>
      </c>
      <c r="H2415" s="9">
        <f>HYPERLINK("https://www.youtube.com/watch?v=CuzNMPzAnpo", "영상 보기 ▶")</f>
        <v/>
      </c>
    </row>
    <row r="2416" ht="26" customHeight="1">
      <c r="A2416" s="2" t="n">
        <v>2415</v>
      </c>
      <c r="B2416" s="3" t="inlineStr">
        <is>
          <t>총정리 49탄</t>
        </is>
      </c>
      <c r="C2416" s="3" t="inlineStr">
        <is>
          <t>공감/감정</t>
        </is>
      </c>
      <c r="D2416" s="4" t="inlineStr">
        <is>
          <t>go through the motions</t>
        </is>
      </c>
      <c r="E2416" s="11" t="inlineStr">
        <is>
          <t>형식적으로만/마음없이 하다</t>
        </is>
      </c>
      <c r="F2416" s="11" t="inlineStr">
        <is>
          <t>I'm burned out. I'm just going through the motions.</t>
        </is>
      </c>
      <c r="G2416" s="11" t="inlineStr">
        <is>
          <t>번아웃 와서 형식적으로 할 일만 하는 것</t>
        </is>
      </c>
      <c r="H2416" s="5">
        <f>HYPERLINK("https://www.youtube.com/watch?v=CuzNMPzAnpo", "영상 보기 ▶")</f>
        <v/>
      </c>
    </row>
    <row r="2417" ht="26" customHeight="1">
      <c r="A2417" s="6" t="n">
        <v>2416</v>
      </c>
      <c r="B2417" s="7" t="inlineStr">
        <is>
          <t>총정리 49탄</t>
        </is>
      </c>
      <c r="C2417" s="7" t="inlineStr">
        <is>
          <t>공감/감정</t>
        </is>
      </c>
      <c r="D2417" s="8" t="inlineStr">
        <is>
          <t>sway</t>
        </is>
      </c>
      <c r="E2417" s="12" t="inlineStr">
        <is>
          <t>(마음을) 흔들다/동요시키다</t>
        </is>
      </c>
      <c r="F2417" s="12" t="inlineStr">
        <is>
          <t>What swayed you?</t>
        </is>
      </c>
      <c r="G2417" s="12" t="inlineStr">
        <is>
          <t>뭐에 흔들린거야/맘 바뀐 이유가 뭐야?</t>
        </is>
      </c>
      <c r="H2417" s="9">
        <f>HYPERLINK("https://www.youtube.com/watch?v=CuzNMPzAnpo", "영상 보기 ▶")</f>
        <v/>
      </c>
    </row>
    <row r="2418" ht="26" customHeight="1">
      <c r="A2418" s="2" t="n">
        <v>2417</v>
      </c>
      <c r="B2418" s="3" t="inlineStr">
        <is>
          <t>총정리 49탄</t>
        </is>
      </c>
      <c r="C2418" s="3" t="inlineStr">
        <is>
          <t>실전회화/표현</t>
        </is>
      </c>
      <c r="D2418" s="4" t="inlineStr">
        <is>
          <t>crush</t>
        </is>
      </c>
      <c r="E2418" s="11" t="inlineStr">
        <is>
          <t>정말 잘 하다</t>
        </is>
      </c>
      <c r="F2418" s="11" t="inlineStr">
        <is>
          <t>He's crushing it.</t>
        </is>
      </c>
      <c r="G2418" s="11" t="inlineStr">
        <is>
          <t>진짜 잘하고 있어.</t>
        </is>
      </c>
      <c r="H2418" s="5">
        <f>HYPERLINK("https://www.youtube.com/watch?v=CuzNMPzAnpo", "영상 보기 ▶")</f>
        <v/>
      </c>
    </row>
    <row r="2419" ht="26" customHeight="1">
      <c r="A2419" s="6" t="n">
        <v>2418</v>
      </c>
      <c r="B2419" s="7" t="inlineStr">
        <is>
          <t>총정리 49탄</t>
        </is>
      </c>
      <c r="C2419" s="7" t="inlineStr">
        <is>
          <t>공감/감정</t>
        </is>
      </c>
      <c r="D2419" s="8" t="inlineStr">
        <is>
          <t>He's crushed.</t>
        </is>
      </c>
      <c r="E2419" s="12" t="inlineStr">
        <is>
          <t>완전 상심했어/마음이 무너졌어</t>
        </is>
      </c>
      <c r="F2419" s="12" t="inlineStr">
        <is>
          <t>He's crushed.</t>
        </is>
      </c>
      <c r="G2419" s="12" t="inlineStr">
        <is>
          <t>완전 상심했어/마음이 무너졌어</t>
        </is>
      </c>
      <c r="H2419" s="9">
        <f>HYPERLINK("https://www.youtube.com/watch?v=CuzNMPzAnpo", "영상 보기 ▶")</f>
        <v/>
      </c>
    </row>
    <row r="2420" ht="26" customHeight="1">
      <c r="A2420" s="2" t="n">
        <v>2419</v>
      </c>
      <c r="B2420" s="3" t="inlineStr">
        <is>
          <t>총정리 49탄</t>
        </is>
      </c>
      <c r="C2420" s="3" t="inlineStr">
        <is>
          <t>공감/감정</t>
        </is>
      </c>
      <c r="D2420" s="4" t="inlineStr">
        <is>
          <t>end on a high note</t>
        </is>
      </c>
      <c r="E2420" s="11" t="inlineStr">
        <is>
          <t>좋게 마무리하다/기분 좋게 끝내다</t>
        </is>
      </c>
      <c r="F2420" s="11" t="inlineStr">
        <is>
          <t>Let's end on a high note.</t>
        </is>
      </c>
      <c r="G2420" s="11" t="inlineStr">
        <is>
          <t>기분 좋게 마무리하죠.</t>
        </is>
      </c>
      <c r="H2420" s="5">
        <f>HYPERLINK("https://www.youtube.com/watch?v=CuzNMPzAnpo", "영상 보기 ▶")</f>
        <v/>
      </c>
    </row>
    <row r="2421" ht="26" customHeight="1">
      <c r="A2421" s="6" t="n">
        <v>2420</v>
      </c>
      <c r="B2421" s="7" t="inlineStr">
        <is>
          <t>총정리 49탄</t>
        </is>
      </c>
      <c r="C2421" s="7" t="inlineStr">
        <is>
          <t>공감/감정</t>
        </is>
      </c>
      <c r="D2421" s="8" t="inlineStr">
        <is>
          <t>note (</t>
        </is>
      </c>
      <c r="E2421" s="12" t="inlineStr">
        <is>
          <t>분위기/톤) On a positive note, 그래도 좋음 점은/기분 좋은 얘기로 넘어가서</t>
        </is>
      </c>
      <c r="F2421" s="12" t="inlineStr">
        <is>
          <t>On a serious note,</t>
        </is>
      </c>
      <c r="G2421" s="12" t="inlineStr">
        <is>
          <t>진지한 분위기로</t>
        </is>
      </c>
      <c r="H2421" s="9">
        <f>HYPERLINK("https://www.youtube.com/watch?v=CuzNMPzAnpo", "영상 보기 ▶")</f>
        <v/>
      </c>
    </row>
    <row r="2422" ht="26" customHeight="1">
      <c r="A2422" s="2" t="n">
        <v>2421</v>
      </c>
      <c r="B2422" s="3" t="inlineStr">
        <is>
          <t>총정리 49탄</t>
        </is>
      </c>
      <c r="C2422" s="3" t="inlineStr">
        <is>
          <t>비즈니스/업무</t>
        </is>
      </c>
      <c r="D2422" s="4" t="inlineStr">
        <is>
          <t>locked in</t>
        </is>
      </c>
      <c r="E2422" s="11" t="inlineStr">
        <is>
          <t>완벽히 몰입한/집중한, 계약이나 합의가 확정된</t>
        </is>
      </c>
      <c r="F2422" s="11" t="inlineStr">
        <is>
          <t>Our final design is completely locked in.</t>
        </is>
      </c>
      <c r="G2422" s="11" t="inlineStr">
        <is>
          <t>우리의 최종 디자인 시안은 완전히 확정되었습니다.</t>
        </is>
      </c>
      <c r="H2422" s="5">
        <f>HYPERLINK("https://www.youtube.com/watch?v=CuzNMPzAnpo", "영상 보기 ▶")</f>
        <v/>
      </c>
    </row>
    <row r="2423" ht="26" customHeight="1">
      <c r="A2423" s="6" t="n">
        <v>2422</v>
      </c>
      <c r="B2423" s="7" t="inlineStr">
        <is>
          <t>총정리 49탄</t>
        </is>
      </c>
      <c r="C2423" s="7" t="inlineStr">
        <is>
          <t>실전회화/표현</t>
        </is>
      </c>
      <c r="D2423" s="8" t="inlineStr">
        <is>
          <t>savvy</t>
        </is>
      </c>
      <c r="E2423" s="12" t="inlineStr">
        <is>
          <t>요령있는/수완있는</t>
        </is>
      </c>
      <c r="F2423" s="12" t="inlineStr">
        <is>
          <t>He's very savvy.</t>
        </is>
      </c>
      <c r="G2423" s="12" t="inlineStr">
        <is>
          <t>걘 정말 수완이 좋아.</t>
        </is>
      </c>
      <c r="H2423" s="9">
        <f>HYPERLINK("https://www.youtube.com/watch?v=CuzNMPzAnpo", "영상 보기 ▶")</f>
        <v/>
      </c>
    </row>
    <row r="2424" ht="26" customHeight="1">
      <c r="A2424" s="2" t="n">
        <v>2423</v>
      </c>
      <c r="B2424" s="3" t="inlineStr">
        <is>
          <t>총정리 49탄</t>
        </is>
      </c>
      <c r="C2424" s="3" t="inlineStr">
        <is>
          <t>실전회화/표현</t>
        </is>
      </c>
      <c r="D2424" s="4" t="inlineStr">
        <is>
          <t>명사+savvy</t>
        </is>
      </c>
      <c r="E2424" s="11" t="inlineStr">
        <is>
          <t>~를 잘 다루는/감각있는</t>
        </is>
      </c>
      <c r="F2424" s="11" t="inlineStr">
        <is>
          <t>He's tech-savvy.</t>
        </is>
      </c>
      <c r="G2424" s="11" t="inlineStr">
        <is>
          <t>기술/기계를 잘 다뤄</t>
        </is>
      </c>
      <c r="H2424" s="5">
        <f>HYPERLINK("https://www.youtube.com/watch?v=CuzNMPzAnpo", "영상 보기 ▶")</f>
        <v/>
      </c>
    </row>
    <row r="2425" ht="26" customHeight="1">
      <c r="A2425" s="6" t="n">
        <v>2424</v>
      </c>
      <c r="B2425" s="7" t="inlineStr">
        <is>
          <t>총정리 49탄</t>
        </is>
      </c>
      <c r="C2425" s="7" t="inlineStr">
        <is>
          <t>실전회화/표현</t>
        </is>
      </c>
      <c r="D2425" s="8" t="inlineStr">
        <is>
          <t>I gotta hand it to you.</t>
        </is>
      </c>
      <c r="E2425" s="12" t="inlineStr">
        <is>
          <t>인정해야해/알아줘야해</t>
        </is>
      </c>
      <c r="F2425" s="12" t="inlineStr">
        <is>
          <t>I gotta hand it to you. That was a smart move.</t>
        </is>
      </c>
      <c r="G2425" s="12" t="inlineStr">
        <is>
          <t>너 인정할 수밖에 없네. 정말 똑똑한 행동이었어.</t>
        </is>
      </c>
      <c r="H2425" s="9">
        <f>HYPERLINK("https://www.youtube.com/watch?v=CuzNMPzAnpo", "영상 보기 ▶")</f>
        <v/>
      </c>
    </row>
    <row r="2426" ht="26" customHeight="1">
      <c r="A2426" s="2" t="n">
        <v>2425</v>
      </c>
      <c r="B2426" s="3" t="inlineStr">
        <is>
          <t>총정리 49탄</t>
        </is>
      </c>
      <c r="C2426" s="3" t="inlineStr">
        <is>
          <t>의견/의사결정</t>
        </is>
      </c>
      <c r="D2426" s="4" t="inlineStr">
        <is>
          <t>Not too shabby.</t>
        </is>
      </c>
      <c r="E2426" s="11" t="inlineStr">
        <is>
          <t>나쁘지 않은데, 꽤 괜찮은데, 생각보다 좋은데?</t>
        </is>
      </c>
      <c r="F2426" s="11" t="inlineStr">
        <is>
          <t>Not too shabby.</t>
        </is>
      </c>
      <c r="G2426" s="11" t="inlineStr">
        <is>
          <t>나쁘지 않은데, 꽤 괜찮은데, 생각보다 좋은데?</t>
        </is>
      </c>
      <c r="H2426" s="5">
        <f>HYPERLINK("https://www.youtube.com/watch?v=CuzNMPzAnpo", "영상 보기 ▶")</f>
        <v/>
      </c>
    </row>
    <row r="2427" ht="26" customHeight="1">
      <c r="A2427" s="6" t="n">
        <v>2426</v>
      </c>
      <c r="B2427" s="7" t="inlineStr">
        <is>
          <t>총정리 49탄</t>
        </is>
      </c>
      <c r="C2427" s="7" t="inlineStr">
        <is>
          <t>실전회화/표현</t>
        </is>
      </c>
      <c r="D2427" s="8" t="inlineStr">
        <is>
          <t>'~</t>
        </is>
      </c>
      <c r="E2427" s="12" t="inlineStr">
        <is>
          <t>치고는'의 for</t>
        </is>
      </c>
      <c r="F2427" s="12" t="inlineStr">
        <is>
          <t>It's not too shabby for a first-timer.</t>
        </is>
      </c>
      <c r="G2427" s="12" t="inlineStr">
        <is>
          <t>처음 한것 치곤 꽤 괜찮은데?</t>
        </is>
      </c>
      <c r="H2427" s="9">
        <f>HYPERLINK("https://www.youtube.com/watch?v=CuzNMPzAnpo", "영상 보기 ▶")</f>
        <v/>
      </c>
    </row>
    <row r="2428" ht="26" customHeight="1">
      <c r="A2428" s="2" t="n">
        <v>2427</v>
      </c>
      <c r="B2428" s="3" t="inlineStr">
        <is>
          <t>총정리 49탄</t>
        </is>
      </c>
      <c r="C2428" s="3" t="inlineStr">
        <is>
          <t>공감/감정</t>
        </is>
      </c>
      <c r="D2428" s="4" t="inlineStr">
        <is>
          <t>bottle up</t>
        </is>
      </c>
      <c r="E2428" s="11" t="inlineStr">
        <is>
          <t>(감정을 드러내지 않고) 억누르다</t>
        </is>
      </c>
      <c r="F2428" s="11" t="inlineStr">
        <is>
          <t>Don't bottle things up.</t>
        </is>
      </c>
      <c r="G2428" s="11" t="inlineStr">
        <is>
          <t>계속 쌓아두지말고 할 말있으면 해</t>
        </is>
      </c>
      <c r="H2428" s="5">
        <f>HYPERLINK("https://www.youtube.com/watch?v=CuzNMPzAnpo", "영상 보기 ▶")</f>
        <v/>
      </c>
    </row>
    <row r="2429" ht="26" customHeight="1">
      <c r="A2429" s="6" t="n">
        <v>2428</v>
      </c>
      <c r="B2429" s="7" t="inlineStr">
        <is>
          <t>총정리 49탄</t>
        </is>
      </c>
      <c r="C2429" s="7" t="inlineStr">
        <is>
          <t>공감/감정</t>
        </is>
      </c>
      <c r="D2429" s="8" t="inlineStr">
        <is>
          <t>Let's talk it out.</t>
        </is>
      </c>
      <c r="E2429" s="12" t="inlineStr">
        <is>
          <t>대화해서 풀자/해결하자</t>
        </is>
      </c>
      <c r="F2429" s="12" t="inlineStr">
        <is>
          <t>Let's not bottle things up. Let's talk it out.</t>
        </is>
      </c>
      <c r="G2429" s="12" t="inlineStr">
        <is>
          <t>속에 담아 두지 말고 얘기해서 풀자.</t>
        </is>
      </c>
      <c r="H2429" s="9">
        <f>HYPERLINK("https://www.youtube.com/watch?v=CuzNMPzAnpo", "영상 보기 ▶")</f>
        <v/>
      </c>
    </row>
    <row r="2430" ht="26" customHeight="1">
      <c r="A2430" s="2" t="n">
        <v>2429</v>
      </c>
      <c r="B2430" s="3" t="inlineStr">
        <is>
          <t>총정리 49탄</t>
        </is>
      </c>
      <c r="C2430" s="3" t="inlineStr">
        <is>
          <t>공감/감정</t>
        </is>
      </c>
      <c r="D2430" s="4" t="inlineStr">
        <is>
          <t>wrap one's head around 대상</t>
        </is>
      </c>
      <c r="E2430" s="11" t="inlineStr">
        <is>
          <t>(어렵고 복잡한 걸) 이해하다</t>
        </is>
      </c>
      <c r="F2430" s="11" t="inlineStr">
        <is>
          <t>I can't wrap my head around it.</t>
        </is>
      </c>
      <c r="G2430" s="11" t="inlineStr">
        <is>
          <t>도저히 이해가 안돼/납득이 안돼.</t>
        </is>
      </c>
      <c r="H2430" s="5">
        <f>HYPERLINK("https://www.youtube.com/watch?v=CuzNMPzAnpo", "영상 보기 ▶")</f>
        <v/>
      </c>
    </row>
    <row r="2431" ht="26" customHeight="1">
      <c r="A2431" s="6" t="n">
        <v>2430</v>
      </c>
      <c r="B2431" s="7" t="inlineStr">
        <is>
          <t>총정리 49탄</t>
        </is>
      </c>
      <c r="C2431" s="7" t="inlineStr">
        <is>
          <t>실전회화/표현</t>
        </is>
      </c>
      <c r="D2431" s="8" t="inlineStr">
        <is>
          <t>be good with</t>
        </is>
      </c>
      <c r="E2431" s="12" t="inlineStr">
        <is>
          <t>~를 잘 다루다</t>
        </is>
      </c>
      <c r="F2431" s="12" t="inlineStr">
        <is>
          <t>I'm good with numbers.</t>
        </is>
      </c>
      <c r="G2431" s="12" t="inlineStr">
        <is>
          <t>숫자를 잘 다뤄/수에 밝아</t>
        </is>
      </c>
      <c r="H2431" s="9">
        <f>HYPERLINK("https://www.youtube.com/watch?v=CuzNMPzAnpo", "영상 보기 ▶")</f>
        <v/>
      </c>
    </row>
    <row r="2432" ht="26" customHeight="1">
      <c r="A2432" s="2" t="n">
        <v>2431</v>
      </c>
      <c r="B2432" s="3" t="inlineStr">
        <is>
          <t>총정리 49탄</t>
        </is>
      </c>
      <c r="C2432" s="3" t="inlineStr">
        <is>
          <t>실전회화/표현</t>
        </is>
      </c>
      <c r="D2432" s="4" t="inlineStr">
        <is>
          <t>get in good with</t>
        </is>
      </c>
      <c r="E2432" s="11" t="inlineStr">
        <is>
          <t>~에게 잘 보이다, 환심을 사다</t>
        </is>
      </c>
      <c r="F2432" s="11" t="inlineStr">
        <is>
          <t>We need to get in good with Mike. Mike</t>
        </is>
      </c>
      <c r="G2432" s="11" t="inlineStr">
        <is>
          <t>에게 잘 보여야 돼.</t>
        </is>
      </c>
      <c r="H2432" s="5">
        <f>HYPERLINK("https://www.youtube.com/watch?v=CuzNMPzAnpo", "영상 보기 ▶")</f>
        <v/>
      </c>
    </row>
    <row r="2433" ht="26" customHeight="1">
      <c r="A2433" s="6" t="n">
        <v>2432</v>
      </c>
      <c r="B2433" s="7" t="inlineStr">
        <is>
          <t>총정리 49탄</t>
        </is>
      </c>
      <c r="C2433" s="7" t="inlineStr">
        <is>
          <t>대화/인간관계</t>
        </is>
      </c>
      <c r="D2433" s="8" t="inlineStr">
        <is>
          <t>get on good terms with</t>
        </is>
      </c>
      <c r="E2433" s="12" t="inlineStr">
        <is>
          <t>좋은 관계를 쌓다</t>
        </is>
      </c>
      <c r="F2433" s="12" t="inlineStr">
        <is>
          <t>We need to get on good terms with Mike. Mike</t>
        </is>
      </c>
      <c r="G2433" s="12" t="inlineStr">
        <is>
          <t>와 좋은 관계를 쌓아야 돼.</t>
        </is>
      </c>
      <c r="H2433" s="9">
        <f>HYPERLINK("https://www.youtube.com/watch?v=CuzNMPzAnpo", "영상 보기 ▶")</f>
        <v/>
      </c>
    </row>
    <row r="2434" ht="26" customHeight="1">
      <c r="A2434" s="2" t="n">
        <v>2433</v>
      </c>
      <c r="B2434" s="3" t="inlineStr">
        <is>
          <t>총정리 49탄</t>
        </is>
      </c>
      <c r="C2434" s="3" t="inlineStr">
        <is>
          <t>실전회화/표현</t>
        </is>
      </c>
      <c r="D2434" s="4" t="inlineStr">
        <is>
          <t>We have our work cut out for us.</t>
        </is>
      </c>
      <c r="E2434" s="11" t="inlineStr">
        <is>
          <t>해야 할 일이 산더미야/쉽지 않아/고생좀 하겠어</t>
        </is>
      </c>
      <c r="F2434" s="11" t="inlineStr">
        <is>
          <t>We have our work cut out for us.</t>
        </is>
      </c>
      <c r="G2434" s="11" t="inlineStr">
        <is>
          <t>해야 할 일이 산더미야/쉽지 않아/고생좀 하겠어</t>
        </is>
      </c>
      <c r="H2434" s="5">
        <f>HYPERLINK("https://www.youtube.com/watch?v=CuzNMPzAnpo", "영상 보기 ▶")</f>
        <v/>
      </c>
    </row>
    <row r="2435" ht="26" customHeight="1">
      <c r="A2435" s="6" t="n">
        <v>2434</v>
      </c>
      <c r="B2435" s="7" t="inlineStr">
        <is>
          <t>총정리 49탄</t>
        </is>
      </c>
      <c r="C2435" s="7" t="inlineStr">
        <is>
          <t>실전회화/표현</t>
        </is>
      </c>
      <c r="D2435" s="8" t="inlineStr">
        <is>
          <t>I'm not cut out for it. (</t>
        </is>
      </c>
      <c r="E2435" s="12" t="inlineStr">
        <is>
          <t>성향/기질/성격상) 나한테 안 맞아/적합하지 않아.</t>
        </is>
      </c>
      <c r="F2435" s="12" t="inlineStr">
        <is>
          <t>I'm not cut out for the job.</t>
        </is>
      </c>
      <c r="G2435" s="12" t="inlineStr">
        <is>
          <t>그 일이 나랑 안 맞더라.</t>
        </is>
      </c>
      <c r="H2435" s="9">
        <f>HYPERLINK("https://www.youtube.com/watch?v=CuzNMPzAnpo", "영상 보기 ▶")</f>
        <v/>
      </c>
    </row>
    <row r="2436" ht="26" customHeight="1">
      <c r="A2436" s="2" t="n">
        <v>2435</v>
      </c>
      <c r="B2436" s="3" t="inlineStr">
        <is>
          <t>총정리 49탄</t>
        </is>
      </c>
      <c r="C2436" s="3" t="inlineStr">
        <is>
          <t>실전회화/표현</t>
        </is>
      </c>
      <c r="D2436" s="4" t="inlineStr">
        <is>
          <t>lean in</t>
        </is>
      </c>
      <c r="E2436" s="11" t="inlineStr">
        <is>
          <t>몸을 앞으로 기울이다</t>
        </is>
      </c>
      <c r="F2436" s="11" t="inlineStr">
        <is>
          <t>Can you lean in a little? (</t>
        </is>
      </c>
      <c r="G2436" s="11" t="inlineStr">
        <is>
          <t>몸을 앞으로 기울여) 좀 가까이 올래?</t>
        </is>
      </c>
      <c r="H2436" s="5">
        <f>HYPERLINK("https://www.youtube.com/watch?v=CuzNMPzAnpo", "영상 보기 ▶")</f>
        <v/>
      </c>
    </row>
    <row r="2437" ht="26" customHeight="1">
      <c r="A2437" s="6" t="n">
        <v>2436</v>
      </c>
      <c r="B2437" s="7" t="inlineStr">
        <is>
          <t>총정리 49탄</t>
        </is>
      </c>
      <c r="C2437" s="7" t="inlineStr">
        <is>
          <t>실전회화/표현</t>
        </is>
      </c>
      <c r="D2437" s="8" t="inlineStr">
        <is>
          <t>lean into</t>
        </is>
      </c>
      <c r="E2437" s="12" t="inlineStr">
        <is>
          <t>~를 적극 수용하다, 받아들이고 밀고 나가다</t>
        </is>
      </c>
      <c r="F2437" s="12" t="inlineStr">
        <is>
          <t>Let's lean into this strategy.</t>
        </is>
      </c>
      <c r="G2437" s="12" t="inlineStr">
        <is>
          <t>이 전략으로 밀고 나가 보자.</t>
        </is>
      </c>
      <c r="H2437" s="9">
        <f>HYPERLINK("https://www.youtube.com/watch?v=CuzNMPzAnpo", "영상 보기 ▶")</f>
        <v/>
      </c>
    </row>
    <row r="2438" ht="26" customHeight="1">
      <c r="A2438" s="2" t="n">
        <v>2437</v>
      </c>
      <c r="B2438" s="3" t="inlineStr">
        <is>
          <t>총정리 49탄</t>
        </is>
      </c>
      <c r="C2438" s="3" t="inlineStr">
        <is>
          <t>실전회화/표현</t>
        </is>
      </c>
      <c r="D2438" s="4" t="inlineStr">
        <is>
          <t>lean on 대상</t>
        </is>
      </c>
      <c r="E2438" s="11" t="inlineStr">
        <is>
          <t>~에 기대다/의지하다</t>
        </is>
      </c>
      <c r="F2438" s="11" t="inlineStr">
        <is>
          <t>You can always lean on me.</t>
        </is>
      </c>
      <c r="G2438" s="11" t="inlineStr">
        <is>
          <t>언제든 내게 기대도 돼.</t>
        </is>
      </c>
      <c r="H2438" s="5">
        <f>HYPERLINK("https://www.youtube.com/watch?v=CuzNMPzAnpo", "영상 보기 ▶")</f>
        <v/>
      </c>
    </row>
    <row r="2439" ht="26" customHeight="1">
      <c r="A2439" s="6" t="n">
        <v>2438</v>
      </c>
      <c r="B2439" s="7" t="inlineStr">
        <is>
          <t>총정리 49탄</t>
        </is>
      </c>
      <c r="C2439" s="7" t="inlineStr">
        <is>
          <t>실전회화/표현</t>
        </is>
      </c>
      <c r="D2439" s="8" t="inlineStr">
        <is>
          <t>lean</t>
        </is>
      </c>
      <c r="E2439" s="12" t="inlineStr">
        <is>
          <t>군살이 없는, 기름기가 적은</t>
        </is>
      </c>
      <c r="F2439" s="12" t="inlineStr">
        <is>
          <t>It's very lean.</t>
        </is>
      </c>
      <c r="G2439" s="12" t="inlineStr">
        <is>
          <t>지방이 적네.</t>
        </is>
      </c>
      <c r="H2439" s="9">
        <f>HYPERLINK("https://www.youtube.com/watch?v=CuzNMPzAnpo", "영상 보기 ▶")</f>
        <v/>
      </c>
    </row>
    <row r="2440" ht="26" customHeight="1">
      <c r="A2440" s="2" t="n">
        <v>2439</v>
      </c>
      <c r="B2440" s="3" t="inlineStr">
        <is>
          <t>총정리 49탄</t>
        </is>
      </c>
      <c r="C2440" s="3" t="inlineStr">
        <is>
          <t>실전회화/표현</t>
        </is>
      </c>
      <c r="D2440" s="4" t="inlineStr">
        <is>
          <t>Don't pull any punches.</t>
        </is>
      </c>
      <c r="E2440" s="11" t="inlineStr">
        <is>
          <t>봐주지 말고 솔직히 말해/사정없이 해</t>
        </is>
      </c>
      <c r="F2440" s="11" t="inlineStr">
        <is>
          <t>What do you think? Don't pull any punches.</t>
        </is>
      </c>
      <c r="G2440" s="11" t="inlineStr">
        <is>
          <t>어떻게 생각해? 좋은 말만 하지말고 솔직히 말해줘.</t>
        </is>
      </c>
      <c r="H2440" s="5">
        <f>HYPERLINK("https://www.youtube.com/watch?v=CuzNMPzAnpo", "영상 보기 ▶")</f>
        <v/>
      </c>
    </row>
    <row r="2441" ht="26" customHeight="1">
      <c r="A2441" s="6" t="n">
        <v>2440</v>
      </c>
      <c r="B2441" s="7" t="inlineStr">
        <is>
          <t>총정리 49탄</t>
        </is>
      </c>
      <c r="C2441" s="7" t="inlineStr">
        <is>
          <t>실전회화/표현</t>
        </is>
      </c>
      <c r="D2441" s="8" t="inlineStr">
        <is>
          <t>Give it to me straight.</t>
        </is>
      </c>
      <c r="E2441" s="12" t="inlineStr">
        <is>
          <t>대놓고/솔직히 말해줘</t>
        </is>
      </c>
      <c r="F2441" s="12" t="inlineStr">
        <is>
          <t>Don't sugarcoat it. Give it to me straight.</t>
        </is>
      </c>
      <c r="G2441" s="12" t="inlineStr">
        <is>
          <t>좋게 포장하지 말고 그냥 있는 그대로 말해줘.</t>
        </is>
      </c>
      <c r="H2441" s="9">
        <f>HYPERLINK("https://www.youtube.com/watch?v=CuzNMPzAnpo", "영상 보기 ▶")</f>
        <v/>
      </c>
    </row>
    <row r="2442" ht="26" customHeight="1">
      <c r="A2442" s="2" t="n">
        <v>2441</v>
      </c>
      <c r="B2442" s="3" t="inlineStr">
        <is>
          <t>총정리 49탄</t>
        </is>
      </c>
      <c r="C2442" s="3" t="inlineStr">
        <is>
          <t>실전회화/표현</t>
        </is>
      </c>
      <c r="D2442" s="4" t="inlineStr">
        <is>
          <t>hard-headed</t>
        </is>
      </c>
      <c r="E2442" s="11" t="inlineStr">
        <is>
          <t>고집불통인, 타협하지 않고 완고한, 실리적인</t>
        </is>
      </c>
      <c r="F2442" s="11" t="inlineStr">
        <is>
          <t>He's too hard-headed to admit when he's wrong.</t>
        </is>
      </c>
      <c r="G2442" s="11" t="inlineStr">
        <is>
          <t>그는 너무 고집불통이라 자신이 틀렸을 때도 인정하지 않아.</t>
        </is>
      </c>
      <c r="H2442" s="5">
        <f>HYPERLINK("https://www.youtube.com/watch?v=CuzNMPzAnpo", "영상 보기 ▶")</f>
        <v/>
      </c>
    </row>
    <row r="2443" ht="26" customHeight="1">
      <c r="A2443" s="6" t="n">
        <v>2442</v>
      </c>
      <c r="B2443" s="7" t="inlineStr">
        <is>
          <t>총정리 49탄</t>
        </is>
      </c>
      <c r="C2443" s="7" t="inlineStr">
        <is>
          <t>실전회화/표현</t>
        </is>
      </c>
      <c r="D2443" s="8" t="inlineStr">
        <is>
          <t>wing it</t>
        </is>
      </c>
      <c r="E2443" s="12" t="inlineStr">
        <is>
          <t>즉흥적으로 하다, (제대로 된 준비 없이) 일단 해보다</t>
        </is>
      </c>
      <c r="F2443" s="12" t="inlineStr">
        <is>
          <t>I'm just gonna wing it.</t>
        </is>
      </c>
      <c r="G2443" s="12" t="inlineStr">
        <is>
          <t>그냥 일단 해보려고.</t>
        </is>
      </c>
      <c r="H2443" s="9">
        <f>HYPERLINK("https://www.youtube.com/watch?v=CuzNMPzAnpo", "영상 보기 ▶")</f>
        <v/>
      </c>
    </row>
    <row r="2444" ht="26" customHeight="1">
      <c r="A2444" s="2" t="n">
        <v>2443</v>
      </c>
      <c r="B2444" s="3" t="inlineStr">
        <is>
          <t>총정리 49탄</t>
        </is>
      </c>
      <c r="C2444" s="3" t="inlineStr">
        <is>
          <t>실전회화/표현</t>
        </is>
      </c>
      <c r="D2444" s="4" t="inlineStr">
        <is>
          <t>get under your skin</t>
        </is>
      </c>
      <c r="E2444" s="11" t="inlineStr">
        <is>
          <t>신경 쓰이게 하다/짜증나게 하다</t>
        </is>
      </c>
      <c r="F2444" s="11" t="inlineStr">
        <is>
          <t>He really gets under my skin.</t>
        </is>
      </c>
      <c r="G2444" s="11" t="inlineStr">
        <is>
          <t>걔 진짜 짜증나.</t>
        </is>
      </c>
      <c r="H2444" s="5">
        <f>HYPERLINK("https://www.youtube.com/watch?v=CuzNMPzAnpo", "영상 보기 ▶")</f>
        <v/>
      </c>
    </row>
    <row r="2445" ht="26" customHeight="1">
      <c r="A2445" s="6" t="n">
        <v>2444</v>
      </c>
      <c r="B2445" s="7" t="inlineStr">
        <is>
          <t>총정리 49탄</t>
        </is>
      </c>
      <c r="C2445" s="7" t="inlineStr">
        <is>
          <t>실전회화/표현</t>
        </is>
      </c>
      <c r="D2445" s="8" t="inlineStr">
        <is>
          <t>hold back</t>
        </is>
      </c>
      <c r="E2445" s="12" t="inlineStr">
        <is>
          <t>(나아가지 못하게) 방해/저지하다</t>
        </is>
      </c>
      <c r="F2445" s="12" t="inlineStr">
        <is>
          <t>What's holding you back?</t>
        </is>
      </c>
      <c r="G2445" s="12" t="inlineStr">
        <is>
          <t>뭐 때문에 그리 망설이는거야/뭐가 발목을 붙잡는거야?</t>
        </is>
      </c>
      <c r="H2445" s="9">
        <f>HYPERLINK("https://www.youtube.com/watch?v=CuzNMPzAnpo", "영상 보기 ▶")</f>
        <v/>
      </c>
    </row>
    <row r="2446" ht="26" customHeight="1">
      <c r="A2446" s="2" t="n">
        <v>2445</v>
      </c>
      <c r="B2446" s="3" t="inlineStr">
        <is>
          <t>총정리 49탄</t>
        </is>
      </c>
      <c r="C2446" s="3" t="inlineStr">
        <is>
          <t>실전회화/표현</t>
        </is>
      </c>
      <c r="D2446" s="4" t="inlineStr">
        <is>
          <t>hold back</t>
        </is>
      </c>
      <c r="E2446" s="11" t="inlineStr">
        <is>
          <t>~를 비밀로 하다/말하지 않다</t>
        </is>
      </c>
      <c r="F2446" s="11" t="inlineStr">
        <is>
          <t>You can be open with me. Don't hold anything back.</t>
        </is>
      </c>
      <c r="G2446" s="11" t="inlineStr">
        <is>
          <t>숨기지 않고 그냥 툭 터놓고 말해도 돼.</t>
        </is>
      </c>
      <c r="H2446" s="5">
        <f>HYPERLINK("https://www.youtube.com/watch?v=CuzNMPzAnpo", "영상 보기 ▶")</f>
        <v/>
      </c>
    </row>
    <row r="2447" ht="26" customHeight="1">
      <c r="A2447" s="6" t="n">
        <v>2446</v>
      </c>
      <c r="B2447" s="7" t="inlineStr">
        <is>
          <t>총정리 49탄</t>
        </is>
      </c>
      <c r="C2447" s="7" t="inlineStr">
        <is>
          <t>실전회화/표현</t>
        </is>
      </c>
      <c r="D2447" s="8" t="inlineStr">
        <is>
          <t>carry on</t>
        </is>
      </c>
      <c r="E2447" s="12" t="inlineStr">
        <is>
          <t>계속하다/멈추지 않고 이어가다</t>
        </is>
      </c>
      <c r="F2447" s="12" t="inlineStr">
        <is>
          <t>Carry on.</t>
        </is>
      </c>
      <c r="G2447" s="12" t="inlineStr">
        <is>
          <t>계속해.</t>
        </is>
      </c>
      <c r="H2447" s="9">
        <f>HYPERLINK("https://www.youtube.com/watch?v=CuzNMPzAnpo", "영상 보기 ▶")</f>
        <v/>
      </c>
    </row>
    <row r="2448" ht="26" customHeight="1">
      <c r="A2448" s="2" t="n">
        <v>2447</v>
      </c>
      <c r="B2448" s="3" t="inlineStr">
        <is>
          <t>총정리 49탄</t>
        </is>
      </c>
      <c r="C2448" s="3" t="inlineStr">
        <is>
          <t>공감/감정</t>
        </is>
      </c>
      <c r="D2448" s="4" t="inlineStr">
        <is>
          <t>get carried away</t>
        </is>
      </c>
      <c r="E2448" s="11" t="inlineStr">
        <is>
          <t>(흥분/감정에) 휩쓸리다</t>
        </is>
      </c>
      <c r="F2448" s="11" t="inlineStr">
        <is>
          <t>I got carried away and spent too much money.</t>
        </is>
      </c>
      <c r="G2448" s="11" t="inlineStr">
        <is>
          <t>신나서 돈을 너무 많이 써버렸어.</t>
        </is>
      </c>
      <c r="H2448" s="5">
        <f>HYPERLINK("https://www.youtube.com/watch?v=CuzNMPzAnpo", "영상 보기 ▶")</f>
        <v/>
      </c>
    </row>
    <row r="2449" ht="26" customHeight="1">
      <c r="A2449" s="6" t="n">
        <v>2448</v>
      </c>
      <c r="B2449" s="7" t="inlineStr">
        <is>
          <t>총정리 49탄</t>
        </is>
      </c>
      <c r="C2449" s="7" t="inlineStr">
        <is>
          <t>실전회화/표현</t>
        </is>
      </c>
      <c r="D2449" s="8" t="inlineStr">
        <is>
          <t>carry over</t>
        </is>
      </c>
      <c r="E2449" s="12" t="inlineStr">
        <is>
          <t>이월되다/(다른 상황에서 계속) 이어지다</t>
        </is>
      </c>
      <c r="F2449" s="12" t="inlineStr">
        <is>
          <t>Do they carry over to next year? (</t>
        </is>
      </c>
      <c r="G2449" s="12" t="inlineStr">
        <is>
          <t>휴가/포인트) 다 안써도 내년으로 이월되나요?</t>
        </is>
      </c>
      <c r="H2449" s="9">
        <f>HYPERLINK("https://www.youtube.com/watch?v=CuzNMPzAnpo", "영상 보기 ▶")</f>
        <v/>
      </c>
    </row>
    <row r="2450" ht="26" customHeight="1">
      <c r="A2450" s="2" t="n">
        <v>2449</v>
      </c>
      <c r="B2450" s="3" t="inlineStr">
        <is>
          <t>총정리 49탄</t>
        </is>
      </c>
      <c r="C2450" s="3" t="inlineStr">
        <is>
          <t>의견/의사결정</t>
        </is>
      </c>
      <c r="D2450" s="4" t="inlineStr">
        <is>
          <t>my go-to</t>
        </is>
      </c>
      <c r="E2450" s="11" t="inlineStr">
        <is>
          <t>내 기본 선택/가장 먼저 떠올리는/믿고 찾는</t>
        </is>
      </c>
      <c r="F2450" s="11" t="inlineStr">
        <is>
          <t>It's my go-to cafe.</t>
        </is>
      </c>
      <c r="G2450" s="11" t="inlineStr">
        <is>
          <t>거긴 내가 늘 가는 카페야.</t>
        </is>
      </c>
      <c r="H2450" s="5">
        <f>HYPERLINK("https://www.youtube.com/watch?v=CuzNMPzAnpo", "영상 보기 ▶")</f>
        <v/>
      </c>
    </row>
    <row r="2451" ht="26" customHeight="1">
      <c r="A2451" s="6" t="n">
        <v>2450</v>
      </c>
      <c r="B2451" s="7" t="inlineStr">
        <is>
          <t>총정리 49탄</t>
        </is>
      </c>
      <c r="C2451" s="7" t="inlineStr">
        <is>
          <t>실전회화/표현</t>
        </is>
      </c>
      <c r="D2451" s="8" t="inlineStr">
        <is>
          <t>carry 사람 through</t>
        </is>
      </c>
      <c r="E2451" s="12" t="inlineStr">
        <is>
          <t>(위기/힘든 시기를) ~가 헤쳐나가게 하다</t>
        </is>
      </c>
      <c r="F2451" s="12" t="inlineStr">
        <is>
          <t>He carried me through that.</t>
        </is>
      </c>
      <c r="G2451" s="12" t="inlineStr">
        <is>
          <t>걔 덕분에 버텼어.</t>
        </is>
      </c>
      <c r="H2451" s="9">
        <f>HYPERLINK("https://www.youtube.com/watch?v=CuzNMPzAnpo", "영상 보기 ▶")</f>
        <v/>
      </c>
    </row>
    <row r="2452" ht="26" customHeight="1">
      <c r="A2452" s="2" t="n">
        <v>2451</v>
      </c>
      <c r="B2452" s="3" t="inlineStr">
        <is>
          <t>총정리 50탄</t>
        </is>
      </c>
      <c r="C2452" s="3" t="inlineStr">
        <is>
          <t>실전회화/표현</t>
        </is>
      </c>
      <c r="D2452" s="4" t="inlineStr">
        <is>
          <t>thrive</t>
        </is>
      </c>
      <c r="E2452" s="11" t="inlineStr">
        <is>
          <t>번창하다, 정말 잘 해내다/지내다</t>
        </is>
      </c>
      <c r="F2452" s="11" t="inlineStr">
        <is>
          <t>She's thriving in her new job.</t>
        </is>
      </c>
      <c r="G2452" s="11" t="inlineStr">
        <is>
          <t>새 직장에서 정말 잘 지내고 있어</t>
        </is>
      </c>
      <c r="H2452" s="5">
        <f>HYPERLINK("https://www.youtube.com/watch?v=QMDTwfwdN1Q", "영상 보기 ▶")</f>
        <v/>
      </c>
    </row>
    <row r="2453" ht="26" customHeight="1">
      <c r="A2453" s="6" t="n">
        <v>2452</v>
      </c>
      <c r="B2453" s="7" t="inlineStr">
        <is>
          <t>총정리 50탄</t>
        </is>
      </c>
      <c r="C2453" s="7" t="inlineStr">
        <is>
          <t>실전회화/표현</t>
        </is>
      </c>
      <c r="D2453" s="8" t="inlineStr">
        <is>
          <t>myself</t>
        </is>
      </c>
      <c r="E2453" s="12" t="inlineStr">
        <is>
          <t>'직접'이란걸 강조할때</t>
        </is>
      </c>
      <c r="F2453" s="12" t="inlineStr">
        <is>
          <t>I figured it out myself.</t>
        </is>
      </c>
      <c r="G2453" s="12" t="inlineStr">
        <is>
          <t>내가 직접 알아냈어</t>
        </is>
      </c>
      <c r="H2453" s="9">
        <f>HYPERLINK("https://www.youtube.com/watch?v=QMDTwfwdN1Q", "영상 보기 ▶")</f>
        <v/>
      </c>
    </row>
    <row r="2454" ht="26" customHeight="1">
      <c r="A2454" s="2" t="n">
        <v>2453</v>
      </c>
      <c r="B2454" s="3" t="inlineStr">
        <is>
          <t>총정리 50탄</t>
        </is>
      </c>
      <c r="C2454" s="3" t="inlineStr">
        <is>
          <t>실전회화/표현</t>
        </is>
      </c>
      <c r="D2454" s="4" t="inlineStr">
        <is>
          <t>civil</t>
        </is>
      </c>
      <c r="E2454" s="11" t="inlineStr">
        <is>
          <t>예의바른, 정중한</t>
        </is>
      </c>
      <c r="F2454" s="11" t="inlineStr">
        <is>
          <t>Let's keep it civil.</t>
        </is>
      </c>
      <c r="G2454" s="11" t="inlineStr">
        <is>
          <t>서로 예의는 지키자/선 넘진 말자</t>
        </is>
      </c>
      <c r="H2454" s="5">
        <f>HYPERLINK("https://www.youtube.com/watch?v=QMDTwfwdN1Q", "영상 보기 ▶")</f>
        <v/>
      </c>
    </row>
    <row r="2455" ht="26" customHeight="1">
      <c r="A2455" s="6" t="n">
        <v>2454</v>
      </c>
      <c r="B2455" s="7" t="inlineStr">
        <is>
          <t>총정리 50탄</t>
        </is>
      </c>
      <c r="C2455" s="7" t="inlineStr">
        <is>
          <t>대화/인간관계</t>
        </is>
      </c>
      <c r="D2455" s="8" t="inlineStr">
        <is>
          <t>You thought of everything!</t>
        </is>
      </c>
      <c r="E2455" s="12" t="inlineStr">
        <is>
          <t>어쩜 이런것까지 챙겼어/진짜 센스 넘치네</t>
        </is>
      </c>
      <c r="F2455" s="12" t="inlineStr">
        <is>
          <t>You thought of everything!</t>
        </is>
      </c>
      <c r="G2455" s="12" t="inlineStr">
        <is>
          <t>어쩜 이런것까지 챙겼어/진짜 센스 넘치네</t>
        </is>
      </c>
      <c r="H2455" s="9">
        <f>HYPERLINK("https://www.youtube.com/watch?v=QMDTwfwdN1Q", "영상 보기 ▶")</f>
        <v/>
      </c>
    </row>
    <row r="2456" ht="26" customHeight="1">
      <c r="A2456" s="2" t="n">
        <v>2455</v>
      </c>
      <c r="B2456" s="3" t="inlineStr">
        <is>
          <t>총정리 50탄</t>
        </is>
      </c>
      <c r="C2456" s="3" t="inlineStr">
        <is>
          <t>실전회화/표현</t>
        </is>
      </c>
      <c r="D2456" s="4" t="inlineStr">
        <is>
          <t>back up</t>
        </is>
      </c>
      <c r="E2456" s="11" t="inlineStr">
        <is>
          <t>뒤로 물러나다/돌아가다</t>
        </is>
      </c>
      <c r="F2456" s="11" t="inlineStr">
        <is>
          <t>Can you back up a second?</t>
        </is>
      </c>
      <c r="G2456" s="11" t="inlineStr">
        <is>
          <t>잠깐 다시 얘기/좀 전에 한말 다시 해줄수 있어?</t>
        </is>
      </c>
      <c r="H2456" s="5">
        <f>HYPERLINK("https://www.youtube.com/watch?v=QMDTwfwdN1Q", "영상 보기 ▶")</f>
        <v/>
      </c>
    </row>
    <row r="2457" ht="26" customHeight="1">
      <c r="A2457" s="6" t="n">
        <v>2456</v>
      </c>
      <c r="B2457" s="7" t="inlineStr">
        <is>
          <t>총정리 50탄</t>
        </is>
      </c>
      <c r="C2457" s="7" t="inlineStr">
        <is>
          <t>실전회화/표현</t>
        </is>
      </c>
      <c r="D2457" s="8" t="inlineStr">
        <is>
          <t>back up</t>
        </is>
      </c>
      <c r="E2457" s="12" t="inlineStr">
        <is>
          <t>'도와주다/지원하다'의</t>
        </is>
      </c>
      <c r="F2457" s="12" t="inlineStr">
        <is>
          <t>Sarah, can you back me up?</t>
        </is>
      </c>
      <c r="G2457" s="12" t="inlineStr">
        <is>
          <t>그 질문엔 어떻게 답해야할지 모르겠는데</t>
        </is>
      </c>
      <c r="H2457" s="9">
        <f>HYPERLINK("https://www.youtube.com/watch?v=QMDTwfwdN1Q", "영상 보기 ▶")</f>
        <v/>
      </c>
    </row>
    <row r="2458" ht="26" customHeight="1">
      <c r="A2458" s="2" t="n">
        <v>2457</v>
      </c>
      <c r="B2458" s="3" t="inlineStr">
        <is>
          <t>총정리 50탄</t>
        </is>
      </c>
      <c r="C2458" s="3" t="inlineStr">
        <is>
          <t>실전회화/표현</t>
        </is>
      </c>
      <c r="D2458" s="4" t="inlineStr">
        <is>
          <t>Just be yourself.</t>
        </is>
      </c>
      <c r="E2458" s="11" t="inlineStr">
        <is>
          <t>그냥 너답게 해/평소처럼 해</t>
        </is>
      </c>
      <c r="F2458" s="11" t="inlineStr">
        <is>
          <t>Just be yourself.</t>
        </is>
      </c>
      <c r="G2458" s="11" t="inlineStr">
        <is>
          <t>그냥 너답게 해/평소처럼 해</t>
        </is>
      </c>
      <c r="H2458" s="5">
        <f>HYPERLINK("https://www.youtube.com/watch?v=QMDTwfwdN1Q", "영상 보기 ▶")</f>
        <v/>
      </c>
    </row>
    <row r="2459" ht="26" customHeight="1">
      <c r="A2459" s="6" t="n">
        <v>2458</v>
      </c>
      <c r="B2459" s="7" t="inlineStr">
        <is>
          <t>총정리 50탄</t>
        </is>
      </c>
      <c r="C2459" s="7" t="inlineStr">
        <is>
          <t>실전회화/표현</t>
        </is>
      </c>
      <c r="D2459" s="8" t="inlineStr">
        <is>
          <t>blow off</t>
        </is>
      </c>
      <c r="E2459" s="12" t="inlineStr">
        <is>
          <t>바람 맞히다/무시하다</t>
        </is>
      </c>
      <c r="F2459" s="12" t="inlineStr">
        <is>
          <t>My last appointment blew me off.</t>
        </is>
      </c>
      <c r="G2459" s="12" t="inlineStr">
        <is>
          <t>마지막 고객이 바람 맞혔어/안 왔어</t>
        </is>
      </c>
      <c r="H2459" s="9">
        <f>HYPERLINK("https://www.youtube.com/watch?v=QMDTwfwdN1Q", "영상 보기 ▶")</f>
        <v/>
      </c>
    </row>
    <row r="2460" ht="26" customHeight="1">
      <c r="A2460" s="2" t="n">
        <v>2459</v>
      </c>
      <c r="B2460" s="3" t="inlineStr">
        <is>
          <t>총정리 50탄</t>
        </is>
      </c>
      <c r="C2460" s="3" t="inlineStr">
        <is>
          <t>실전회화/표현</t>
        </is>
      </c>
      <c r="D2460" s="4" t="inlineStr">
        <is>
          <t>sink</t>
        </is>
      </c>
      <c r="E2460" s="11" t="inlineStr">
        <is>
          <t>가라앉다</t>
        </is>
      </c>
      <c r="F2460" s="11" t="inlineStr">
        <is>
          <t>It's sink or swim.</t>
        </is>
      </c>
      <c r="G2460" s="11" t="inlineStr">
        <is>
          <t>가라앉든 수영하든/성공하든 실패하든/죽이되든 밥이되든 알아서 해야 해</t>
        </is>
      </c>
      <c r="H2460" s="5">
        <f>HYPERLINK("https://www.youtube.com/watch?v=QMDTwfwdN1Q", "영상 보기 ▶")</f>
        <v/>
      </c>
    </row>
    <row r="2461" ht="26" customHeight="1">
      <c r="A2461" s="6" t="n">
        <v>2460</v>
      </c>
      <c r="B2461" s="7" t="inlineStr">
        <is>
          <t>총정리 50탄</t>
        </is>
      </c>
      <c r="C2461" s="7" t="inlineStr">
        <is>
          <t>공감/감정</t>
        </is>
      </c>
      <c r="D2461" s="8" t="inlineStr">
        <is>
          <t>sink in</t>
        </is>
      </c>
      <c r="E2461" s="12" t="inlineStr">
        <is>
          <t>실감나다/충분히 이해되다/와닿다</t>
        </is>
      </c>
      <c r="F2461" s="12" t="inlineStr">
        <is>
          <t>It hasn't sunk in yet.</t>
        </is>
      </c>
      <c r="G2461" s="12" t="inlineStr">
        <is>
          <t>아직 실감이 안나/안 와닿아</t>
        </is>
      </c>
      <c r="H2461" s="9">
        <f>HYPERLINK("https://www.youtube.com/watch?v=QMDTwfwdN1Q", "영상 보기 ▶")</f>
        <v/>
      </c>
    </row>
    <row r="2462" ht="26" customHeight="1">
      <c r="A2462" s="2" t="n">
        <v>2461</v>
      </c>
      <c r="B2462" s="3" t="inlineStr">
        <is>
          <t>총정리 50탄</t>
        </is>
      </c>
      <c r="C2462" s="3" t="inlineStr">
        <is>
          <t>실전회화/표현</t>
        </is>
      </c>
      <c r="D2462" s="4" t="inlineStr">
        <is>
          <t>I'll keep that in mind.</t>
        </is>
      </c>
      <c r="E2462" s="11" t="inlineStr">
        <is>
          <t>그 점 기억할게/유념할게/염두에 둘게</t>
        </is>
      </c>
      <c r="F2462" s="11" t="inlineStr">
        <is>
          <t>I'll keep that in mind.</t>
        </is>
      </c>
      <c r="G2462" s="11" t="inlineStr">
        <is>
          <t>그 점 기억할게/유념할게/염두에 둘게</t>
        </is>
      </c>
      <c r="H2462" s="5">
        <f>HYPERLINK("https://www.youtube.com/watch?v=QMDTwfwdN1Q", "영상 보기 ▶")</f>
        <v/>
      </c>
    </row>
    <row r="2463" ht="26" customHeight="1">
      <c r="A2463" s="6" t="n">
        <v>2462</v>
      </c>
      <c r="B2463" s="7" t="inlineStr">
        <is>
          <t>총정리 50탄</t>
        </is>
      </c>
      <c r="C2463" s="7" t="inlineStr">
        <is>
          <t>실전회화/표현</t>
        </is>
      </c>
      <c r="D2463" s="8" t="inlineStr">
        <is>
          <t>reason with</t>
        </is>
      </c>
      <c r="E2463" s="12" t="inlineStr">
        <is>
          <t>~와 이성적으로/논리적으로 얘기하다</t>
        </is>
      </c>
      <c r="F2463" s="12" t="inlineStr">
        <is>
          <t>Let's try to reason with him.</t>
        </is>
      </c>
      <c r="G2463" s="12" t="inlineStr">
        <is>
          <t>논리적으로/차분히 잘 얘기해보자</t>
        </is>
      </c>
      <c r="H2463" s="9">
        <f>HYPERLINK("https://www.youtube.com/watch?v=QMDTwfwdN1Q", "영상 보기 ▶")</f>
        <v/>
      </c>
    </row>
    <row r="2464" ht="26" customHeight="1">
      <c r="A2464" s="2" t="n">
        <v>2463</v>
      </c>
      <c r="B2464" s="3" t="inlineStr">
        <is>
          <t>총정리 50탄</t>
        </is>
      </c>
      <c r="C2464" s="3" t="inlineStr">
        <is>
          <t>실전회화/표현</t>
        </is>
      </c>
      <c r="D2464" s="4" t="inlineStr">
        <is>
          <t>동사 mark</t>
        </is>
      </c>
      <c r="E2464" s="11" t="inlineStr">
        <is>
          <t>표시하다/새겨두다</t>
        </is>
      </c>
      <c r="F2464" s="11" t="inlineStr">
        <is>
          <t>Mark your calendar.</t>
        </is>
      </c>
      <c r="G2464" s="11" t="inlineStr">
        <is>
          <t>중요한 날이니 달력에 표시해둬</t>
        </is>
      </c>
      <c r="H2464" s="5">
        <f>HYPERLINK("https://www.youtube.com/watch?v=QMDTwfwdN1Q", "영상 보기 ▶")</f>
        <v/>
      </c>
    </row>
    <row r="2465" ht="26" customHeight="1">
      <c r="A2465" s="6" t="n">
        <v>2464</v>
      </c>
      <c r="B2465" s="7" t="inlineStr">
        <is>
          <t>총정리 50탄</t>
        </is>
      </c>
      <c r="C2465" s="7" t="inlineStr">
        <is>
          <t>실전회화/표현</t>
        </is>
      </c>
      <c r="D2465" s="8" t="inlineStr">
        <is>
          <t>전치사 past</t>
        </is>
      </c>
      <c r="E2465" s="12" t="inlineStr">
        <is>
          <t>~를 지나/넘어서</t>
        </is>
      </c>
      <c r="F2465" s="12" t="inlineStr">
        <is>
          <t>We're past that point.</t>
        </is>
      </c>
      <c r="G2465" s="12" t="inlineStr">
        <is>
          <t>그럴 단계는 이미 지났어</t>
        </is>
      </c>
      <c r="H2465" s="9">
        <f>HYPERLINK("https://www.youtube.com/watch?v=QMDTwfwdN1Q", "영상 보기 ▶")</f>
        <v/>
      </c>
    </row>
    <row r="2466" ht="26" customHeight="1">
      <c r="A2466" s="2" t="n">
        <v>2465</v>
      </c>
      <c r="B2466" s="3" t="inlineStr">
        <is>
          <t>총정리 50탄</t>
        </is>
      </c>
      <c r="C2466" s="3" t="inlineStr">
        <is>
          <t>실전회화/표현</t>
        </is>
      </c>
      <c r="D2466" s="4" t="inlineStr">
        <is>
          <t>Hang in there.</t>
        </is>
      </c>
      <c r="E2466" s="11" t="inlineStr">
        <is>
          <t>힘내/조금만 버텨</t>
        </is>
      </c>
      <c r="F2466" s="11" t="inlineStr">
        <is>
          <t>A:How are you holding up?</t>
        </is>
      </c>
      <c r="G2466" s="11" t="inlineStr">
        <is>
          <t>요즘 좀 어때?/괜찮아?</t>
        </is>
      </c>
      <c r="H2466" s="5">
        <f>HYPERLINK("https://www.youtube.com/watch?v=QMDTwfwdN1Q", "영상 보기 ▶")</f>
        <v/>
      </c>
    </row>
    <row r="2467" ht="26" customHeight="1">
      <c r="A2467" s="6" t="n">
        <v>2466</v>
      </c>
      <c r="B2467" s="7" t="inlineStr">
        <is>
          <t>총정리 50탄</t>
        </is>
      </c>
      <c r="C2467" s="7" t="inlineStr">
        <is>
          <t>실전회화/표현</t>
        </is>
      </c>
      <c r="D2467" s="8" t="inlineStr">
        <is>
          <t>thick-skinned</t>
        </is>
      </c>
      <c r="E2467" s="12" t="inlineStr">
        <is>
          <t>쉽게 동요하지 않는</t>
        </is>
      </c>
      <c r="F2467" s="12" t="inlineStr">
        <is>
          <t>He's thick-skinned.</t>
        </is>
      </c>
      <c r="G2467" s="12" t="inlineStr">
        <is>
          <t>걘 웬만한 말엔 끄떡 없어</t>
        </is>
      </c>
      <c r="H2467" s="9">
        <f>HYPERLINK("https://www.youtube.com/watch?v=QMDTwfwdN1Q", "영상 보기 ▶")</f>
        <v/>
      </c>
    </row>
    <row r="2468" ht="26" customHeight="1">
      <c r="A2468" s="2" t="n">
        <v>2467</v>
      </c>
      <c r="B2468" s="3" t="inlineStr">
        <is>
          <t>총정리 50탄</t>
        </is>
      </c>
      <c r="C2468" s="3" t="inlineStr">
        <is>
          <t>실전회화/표현</t>
        </is>
      </c>
      <c r="D2468" s="4" t="inlineStr">
        <is>
          <t>vulnerable</t>
        </is>
      </c>
      <c r="E2468" s="11" t="inlineStr">
        <is>
          <t>취약한, 연약한</t>
        </is>
      </c>
      <c r="F2468" s="11" t="inlineStr">
        <is>
          <t>We're in a vulnerable spot right now.</t>
        </is>
      </c>
      <c r="G2468" s="11" t="inlineStr">
        <is>
          <t>지금 좀 타격을 입기 쉬운 상황이야/힘들ㅇᆢ</t>
        </is>
      </c>
      <c r="H2468" s="5">
        <f>HYPERLINK("https://www.youtube.com/watch?v=QMDTwfwdN1Q", "영상 보기 ▶")</f>
        <v/>
      </c>
    </row>
    <row r="2469" ht="26" customHeight="1">
      <c r="A2469" s="6" t="n">
        <v>2468</v>
      </c>
      <c r="B2469" s="7" t="inlineStr">
        <is>
          <t>총정리 50탄</t>
        </is>
      </c>
      <c r="C2469" s="7" t="inlineStr">
        <is>
          <t>실전회화/표현</t>
        </is>
      </c>
      <c r="D2469" s="8" t="inlineStr">
        <is>
          <t>blow off steam</t>
        </is>
      </c>
      <c r="E2469" s="12" t="inlineStr">
        <is>
          <t>열을 식히다/스트레스를 풀다</t>
        </is>
      </c>
      <c r="F2469" s="12" t="inlineStr">
        <is>
          <t>I need to blow off some steam.</t>
        </is>
      </c>
      <c r="G2469" s="12" t="inlineStr">
        <is>
          <t>오늘 좀 힘들어서 나 열 좀 식혀야겠어</t>
        </is>
      </c>
      <c r="H2469" s="9">
        <f>HYPERLINK("https://www.youtube.com/watch?v=QMDTwfwdN1Q", "영상 보기 ▶")</f>
        <v/>
      </c>
    </row>
    <row r="2470" ht="26" customHeight="1">
      <c r="A2470" s="2" t="n">
        <v>2469</v>
      </c>
      <c r="B2470" s="3" t="inlineStr">
        <is>
          <t>총정리 50탄</t>
        </is>
      </c>
      <c r="C2470" s="3" t="inlineStr">
        <is>
          <t>전화 영어</t>
        </is>
      </c>
      <c r="D2470" s="4" t="inlineStr">
        <is>
          <t>cut off</t>
        </is>
      </c>
      <c r="E2470" s="11" t="inlineStr">
        <is>
          <t>1)전화가 끊길때</t>
        </is>
      </c>
      <c r="F2470" s="11" t="inlineStr">
        <is>
          <t>I think I got cut off.</t>
        </is>
      </c>
      <c r="G2470" s="11" t="inlineStr">
        <is>
          <t>전화가 끊긴것 같아요</t>
        </is>
      </c>
      <c r="H2470" s="5">
        <f>HYPERLINK("https://www.youtube.com/watch?v=QMDTwfwdN1Q", "영상 보기 ▶")</f>
        <v/>
      </c>
    </row>
    <row r="2471" ht="26" customHeight="1">
      <c r="A2471" s="6" t="n">
        <v>2470</v>
      </c>
      <c r="B2471" s="7" t="inlineStr">
        <is>
          <t>총정리 50탄</t>
        </is>
      </c>
      <c r="C2471" s="7" t="inlineStr">
        <is>
          <t>실전회화/표현</t>
        </is>
      </c>
      <c r="D2471" s="8" t="inlineStr">
        <is>
          <t>Get out of here.</t>
        </is>
      </c>
      <c r="E2471" s="12" t="inlineStr">
        <is>
          <t>여기서 나가</t>
        </is>
      </c>
      <c r="F2471" s="12" t="inlineStr">
        <is>
          <t>Get out of here.</t>
        </is>
      </c>
      <c r="G2471" s="12" t="inlineStr">
        <is>
          <t>여기서 나가</t>
        </is>
      </c>
      <c r="H2471" s="9">
        <f>HYPERLINK("https://www.youtube.com/watch?v=QMDTwfwdN1Q", "영상 보기 ▶")</f>
        <v/>
      </c>
    </row>
    <row r="2472" ht="26" customHeight="1">
      <c r="A2472" s="2" t="n">
        <v>2471</v>
      </c>
      <c r="B2472" s="3" t="inlineStr">
        <is>
          <t>총정리 50탄</t>
        </is>
      </c>
      <c r="C2472" s="3" t="inlineStr">
        <is>
          <t>실전회화/표현</t>
        </is>
      </c>
      <c r="D2472" s="4" t="inlineStr">
        <is>
          <t>back out</t>
        </is>
      </c>
      <c r="E2472" s="11" t="inlineStr">
        <is>
          <t>발빼다, 취소하다, 빠지다</t>
        </is>
      </c>
      <c r="F2472" s="11" t="inlineStr">
        <is>
          <t>He backed out at the last minute.</t>
        </is>
      </c>
      <c r="G2472" s="11" t="inlineStr">
        <is>
          <t>막판에 발 뺐어/취소했어/맘 바꿨어</t>
        </is>
      </c>
      <c r="H2472" s="5">
        <f>HYPERLINK("https://www.youtube.com/watch?v=QMDTwfwdN1Q", "영상 보기 ▶")</f>
        <v/>
      </c>
    </row>
    <row r="2473" ht="26" customHeight="1">
      <c r="A2473" s="6" t="n">
        <v>2472</v>
      </c>
      <c r="B2473" s="7" t="inlineStr">
        <is>
          <t>총정리 50탄</t>
        </is>
      </c>
      <c r="C2473" s="7" t="inlineStr">
        <is>
          <t>실전회화/표현</t>
        </is>
      </c>
      <c r="D2473" s="8" t="inlineStr">
        <is>
          <t>Come again?</t>
        </is>
      </c>
      <c r="E2473" s="12" t="inlineStr">
        <is>
          <t>뭐라고?/다시 말해줄래?</t>
        </is>
      </c>
      <c r="F2473" s="12" t="inlineStr">
        <is>
          <t>Come again?</t>
        </is>
      </c>
      <c r="G2473" s="12" t="inlineStr">
        <is>
          <t>뭐라고?/다시 말해줄래?</t>
        </is>
      </c>
      <c r="H2473" s="9">
        <f>HYPERLINK("https://www.youtube.com/watch?v=QMDTwfwdN1Q", "영상 보기 ▶")</f>
        <v/>
      </c>
    </row>
    <row r="2474" ht="26" customHeight="1">
      <c r="A2474" s="2" t="n">
        <v>2473</v>
      </c>
      <c r="B2474" s="3" t="inlineStr">
        <is>
          <t>총정리 50탄</t>
        </is>
      </c>
      <c r="C2474" s="3" t="inlineStr">
        <is>
          <t>실전회화/표현</t>
        </is>
      </c>
      <c r="D2474" s="4" t="inlineStr">
        <is>
          <t>surface level</t>
        </is>
      </c>
      <c r="E2474" s="11" t="inlineStr">
        <is>
          <t>표면적인 수준/깊이가 없는/겉핥기 수준</t>
        </is>
      </c>
      <c r="F2474" s="11" t="inlineStr">
        <is>
          <t>We just had a surface-level conversation.</t>
        </is>
      </c>
      <c r="G2474" s="11" t="inlineStr">
        <is>
          <t>그냥 겉도는/피상적인 얘기만 했어</t>
        </is>
      </c>
      <c r="H2474" s="5">
        <f>HYPERLINK("https://www.youtube.com/watch?v=QMDTwfwdN1Q", "영상 보기 ▶")</f>
        <v/>
      </c>
    </row>
    <row r="2475" ht="26" customHeight="1">
      <c r="A2475" s="6" t="n">
        <v>2474</v>
      </c>
      <c r="B2475" s="7" t="inlineStr">
        <is>
          <t>총정리 50탄</t>
        </is>
      </c>
      <c r="C2475" s="7" t="inlineStr">
        <is>
          <t>실전회화/표현</t>
        </is>
      </c>
      <c r="D2475" s="8" t="inlineStr">
        <is>
          <t>Keep it up.</t>
        </is>
      </c>
      <c r="E2475" s="12" t="inlineStr">
        <is>
          <t>같은 '계속해'가 아닌</t>
        </is>
      </c>
      <c r="F2475" s="12" t="inlineStr">
        <is>
          <t>Keep at it.</t>
        </is>
      </c>
      <c r="G2475" s="12" t="inlineStr">
        <is>
          <t>포기하지 말고 계속해</t>
        </is>
      </c>
      <c r="H2475" s="9">
        <f>HYPERLINK("https://www.youtube.com/watch?v=QMDTwfwdN1Q", "영상 보기 ▶")</f>
        <v/>
      </c>
    </row>
    <row r="2476" ht="26" customHeight="1">
      <c r="A2476" s="2" t="n">
        <v>2475</v>
      </c>
      <c r="B2476" s="3" t="inlineStr">
        <is>
          <t>총정리 50탄</t>
        </is>
      </c>
      <c r="C2476" s="3" t="inlineStr">
        <is>
          <t>실전회화/표현</t>
        </is>
      </c>
      <c r="D2476" s="4" t="inlineStr">
        <is>
          <t>Keep up with 대상</t>
        </is>
      </c>
      <c r="E2476" s="11" t="inlineStr">
        <is>
          <t>따라가다</t>
        </is>
      </c>
      <c r="F2476" s="11" t="inlineStr">
        <is>
          <t>I can't keep up with you.</t>
        </is>
      </c>
      <c r="G2476" s="11" t="inlineStr">
        <is>
          <t>네 속도를 따라갈수가 없어/벅차</t>
        </is>
      </c>
      <c r="H2476" s="5">
        <f>HYPERLINK("https://www.youtube.com/watch?v=QMDTwfwdN1Q", "영상 보기 ▶")</f>
        <v/>
      </c>
    </row>
    <row r="2477" ht="26" customHeight="1">
      <c r="A2477" s="6" t="n">
        <v>2476</v>
      </c>
      <c r="B2477" s="7" t="inlineStr">
        <is>
          <t>총정리 50탄</t>
        </is>
      </c>
      <c r="C2477" s="7" t="inlineStr">
        <is>
          <t>공감/감정</t>
        </is>
      </c>
      <c r="D2477" s="8" t="inlineStr">
        <is>
          <t>follow</t>
        </is>
      </c>
      <c r="E2477" s="12" t="inlineStr">
        <is>
          <t>이해하다</t>
        </is>
      </c>
      <c r="F2477" s="12" t="inlineStr">
        <is>
          <t>Do you follow?</t>
        </is>
      </c>
      <c r="G2477" s="12" t="inlineStr">
        <is>
          <t>무슨 말인지 이해 돼?</t>
        </is>
      </c>
      <c r="H2477" s="9">
        <f>HYPERLINK("https://www.youtube.com/watch?v=QMDTwfwdN1Q", "영상 보기 ▶")</f>
        <v/>
      </c>
    </row>
    <row r="2478" ht="26" customHeight="1">
      <c r="A2478" s="2" t="n">
        <v>2477</v>
      </c>
      <c r="B2478" s="3" t="inlineStr">
        <is>
          <t>총정리 50탄</t>
        </is>
      </c>
      <c r="C2478" s="3" t="inlineStr">
        <is>
          <t>실전회화/표현</t>
        </is>
      </c>
      <c r="D2478" s="4" t="inlineStr">
        <is>
          <t>outdo oneself</t>
        </is>
      </c>
      <c r="E2478" s="11" t="inlineStr">
        <is>
          <t>평소보다 훨씬 더 잘하다</t>
        </is>
      </c>
      <c r="F2478" s="11" t="inlineStr">
        <is>
          <t>You outdid yourself!</t>
        </is>
      </c>
      <c r="G2478" s="11" t="inlineStr">
        <is>
          <t>정말 역대급으로 잘했어</t>
        </is>
      </c>
      <c r="H2478" s="5">
        <f>HYPERLINK("https://www.youtube.com/watch?v=QMDTwfwdN1Q", "영상 보기 ▶")</f>
        <v/>
      </c>
    </row>
    <row r="2479" ht="26" customHeight="1">
      <c r="A2479" s="6" t="n">
        <v>2478</v>
      </c>
      <c r="B2479" s="7" t="inlineStr">
        <is>
          <t>총정리 50탄</t>
        </is>
      </c>
      <c r="C2479" s="7" t="inlineStr">
        <is>
          <t>실전회화/표현</t>
        </is>
      </c>
      <c r="D2479" s="8" t="inlineStr">
        <is>
          <t>outperform</t>
        </is>
      </c>
      <c r="E2479" s="12" t="inlineStr">
        <is>
          <t>~보다 성과/성능이 더 뛰어나다</t>
        </is>
      </c>
      <c r="F2479" s="12" t="inlineStr">
        <is>
          <t>Our team outperformed everyone else.</t>
        </is>
      </c>
      <c r="G2479" s="12" t="inlineStr">
        <is>
          <t>우리 팀이 다른 팀보다 성과가 더 좋아</t>
        </is>
      </c>
      <c r="H2479" s="9">
        <f>HYPERLINK("https://www.youtube.com/watch?v=QMDTwfwdN1Q", "영상 보기 ▶")</f>
        <v/>
      </c>
    </row>
    <row r="2480" ht="26" customHeight="1">
      <c r="A2480" s="2" t="n">
        <v>2479</v>
      </c>
      <c r="B2480" s="3" t="inlineStr">
        <is>
          <t>총정리 50탄</t>
        </is>
      </c>
      <c r="C2480" s="3" t="inlineStr">
        <is>
          <t>실전회화/표현</t>
        </is>
      </c>
      <c r="D2480" s="4" t="inlineStr">
        <is>
          <t>outweigh</t>
        </is>
      </c>
      <c r="E2480" s="11" t="inlineStr">
        <is>
          <t>~보다 더 무겁다/크다/중요하다</t>
        </is>
      </c>
      <c r="F2480" s="11" t="inlineStr">
        <is>
          <t>The pros outweigh the cons.</t>
        </is>
      </c>
      <c r="G2480" s="11" t="inlineStr">
        <is>
          <t>장점이 단점보다 더 많아</t>
        </is>
      </c>
      <c r="H2480" s="5">
        <f>HYPERLINK("https://www.youtube.com/watch?v=QMDTwfwdN1Q", "영상 보기 ▶")</f>
        <v/>
      </c>
    </row>
    <row r="2481" ht="26" customHeight="1">
      <c r="A2481" s="6" t="n">
        <v>2480</v>
      </c>
      <c r="B2481" s="7" t="inlineStr">
        <is>
          <t>총정리 50탄</t>
        </is>
      </c>
      <c r="C2481" s="7" t="inlineStr">
        <is>
          <t>실전회화/표현</t>
        </is>
      </c>
      <c r="D2481" s="8" t="inlineStr">
        <is>
          <t>unpack</t>
        </is>
      </c>
      <c r="E2481" s="12" t="inlineStr">
        <is>
          <t>파헤쳐보다/자세히 살펴보다/분석하다</t>
        </is>
      </c>
      <c r="F2481" s="12" t="inlineStr">
        <is>
          <t>Let's unpack that.</t>
        </is>
      </c>
      <c r="G2481" s="12" t="inlineStr">
        <is>
          <t>그 부분에 대해 좀 자세히 얘기해보자</t>
        </is>
      </c>
      <c r="H2481" s="9">
        <f>HYPERLINK("https://www.youtube.com/watch?v=QMDTwfwdN1Q", "영상 보기 ▶")</f>
        <v/>
      </c>
    </row>
    <row r="2482" ht="26" customHeight="1">
      <c r="A2482" s="2" t="n">
        <v>2481</v>
      </c>
      <c r="B2482" s="3" t="inlineStr">
        <is>
          <t>총정리 50탄</t>
        </is>
      </c>
      <c r="C2482" s="3" t="inlineStr">
        <is>
          <t>실전회화/표현</t>
        </is>
      </c>
      <c r="D2482" s="4" t="inlineStr">
        <is>
          <t>back down</t>
        </is>
      </c>
      <c r="E2482" s="11" t="inlineStr">
        <is>
          <t>주장을 굽히다/굴복하다</t>
        </is>
      </c>
      <c r="F2482" s="11" t="inlineStr">
        <is>
          <t>It's just a setback. Don't back down.</t>
        </is>
      </c>
      <c r="G2482" s="11" t="inlineStr">
        <is>
          <t>그냥 차질이 있는것 뿐인데 포기하지 마.</t>
        </is>
      </c>
      <c r="H2482" s="5">
        <f>HYPERLINK("https://www.youtube.com/watch?v=QMDTwfwdN1Q", "영상 보기 ▶")</f>
        <v/>
      </c>
    </row>
    <row r="2483" ht="26" customHeight="1">
      <c r="A2483" s="6" t="n">
        <v>2482</v>
      </c>
      <c r="B2483" s="7" t="inlineStr">
        <is>
          <t>총정리 50탄</t>
        </is>
      </c>
      <c r="C2483" s="7" t="inlineStr">
        <is>
          <t>실전회화/표현</t>
        </is>
      </c>
      <c r="D2483" s="8" t="inlineStr">
        <is>
          <t>back off</t>
        </is>
      </c>
      <c r="E2483" s="12" t="inlineStr">
        <is>
          <t>신경 끄다/그만두다</t>
        </is>
      </c>
      <c r="F2483" s="12" t="inlineStr">
        <is>
          <t>I'll back off for now.</t>
        </is>
      </c>
      <c r="G2483" s="12" t="inlineStr">
        <is>
          <t>일단은 물러날게/지금은 좀 거리를 둘게</t>
        </is>
      </c>
      <c r="H2483" s="9">
        <f>HYPERLINK("https://www.youtube.com/watch?v=QMDTwfwdN1Q", "영상 보기 ▶")</f>
        <v/>
      </c>
    </row>
    <row r="2484" ht="26" customHeight="1">
      <c r="A2484" s="2" t="n">
        <v>2483</v>
      </c>
      <c r="B2484" s="3" t="inlineStr">
        <is>
          <t>총정리 50탄</t>
        </is>
      </c>
      <c r="C2484" s="3" t="inlineStr">
        <is>
          <t>실전회화/표현</t>
        </is>
      </c>
      <c r="D2484" s="4" t="inlineStr">
        <is>
          <t>check o</t>
        </is>
      </c>
      <c r="E2484" s="11" t="inlineStr">
        <is>
          <t>한번 봐보다</t>
        </is>
      </c>
      <c r="F2484" s="11" t="inlineStr">
        <is>
          <t>You should check it out.</t>
        </is>
      </c>
      <c r="G2484" s="11" t="inlineStr">
        <is>
          <t>한번 봐봐/알아봐</t>
        </is>
      </c>
      <c r="H2484" s="5">
        <f>HYPERLINK("https://www.youtube.com/watch?v=QMDTwfwdN1Q", "영상 보기 ▶")</f>
        <v/>
      </c>
    </row>
    <row r="2485" ht="26" customHeight="1">
      <c r="A2485" s="6" t="n">
        <v>2484</v>
      </c>
      <c r="B2485" s="7" t="inlineStr">
        <is>
          <t>총정리 50탄</t>
        </is>
      </c>
      <c r="C2485" s="7" t="inlineStr">
        <is>
          <t>공감/감정</t>
        </is>
      </c>
      <c r="D2485" s="8" t="inlineStr">
        <is>
          <t>checked out</t>
        </is>
      </c>
      <c r="E2485" s="12" t="inlineStr">
        <is>
          <t>정신적으로 빠져있는/마음이 딴데 가있는</t>
        </is>
      </c>
      <c r="F2485" s="12" t="inlineStr">
        <is>
          <t>He's checked out these days.</t>
        </is>
      </c>
      <c r="G2485" s="12" t="inlineStr">
        <is>
          <t>요즘 걔 정신이 딴데 가 있어</t>
        </is>
      </c>
      <c r="H2485" s="9">
        <f>HYPERLINK("https://www.youtube.com/watch?v=QMDTwfwdN1Q", "영상 보기 ▶")</f>
        <v/>
      </c>
    </row>
    <row r="2486" ht="26" customHeight="1">
      <c r="A2486" s="2" t="n">
        <v>2485</v>
      </c>
      <c r="B2486" s="3" t="inlineStr">
        <is>
          <t>총정리 50탄</t>
        </is>
      </c>
      <c r="C2486" s="3" t="inlineStr">
        <is>
          <t>실전회화/표현</t>
        </is>
      </c>
      <c r="D2486" s="4" t="inlineStr">
        <is>
          <t>check in</t>
        </is>
      </c>
      <c r="E2486" s="11" t="inlineStr">
        <is>
          <t>확인차 연락하다/들르다</t>
        </is>
      </c>
      <c r="F2486" s="11" t="inlineStr">
        <is>
          <t>(I'm) just checking in.</t>
        </is>
      </c>
      <c r="G2486" s="11" t="inlineStr">
        <is>
          <t>그냥 확인차 보러왔어/확인차 연락해봐</t>
        </is>
      </c>
      <c r="H2486" s="5">
        <f>HYPERLINK("https://www.youtube.com/watch?v=QMDTwfwdN1Q", "영상 보기 ▶")</f>
        <v/>
      </c>
    </row>
    <row r="2487" ht="26" customHeight="1">
      <c r="A2487" s="6" t="n">
        <v>2486</v>
      </c>
      <c r="B2487" s="7" t="inlineStr">
        <is>
          <t>총정리 50탄</t>
        </is>
      </c>
      <c r="C2487" s="7" t="inlineStr">
        <is>
          <t>실전회화/표현</t>
        </is>
      </c>
      <c r="D2487" s="8" t="inlineStr">
        <is>
          <t>elsewhere</t>
        </is>
      </c>
      <c r="E2487" s="12" t="inlineStr">
        <is>
          <t>어딘가 다른 곳에</t>
        </is>
      </c>
      <c r="F2487" s="12" t="inlineStr">
        <is>
          <t>Do you wanna go elsewhere?</t>
        </is>
      </c>
      <c r="G2487" s="12" t="inlineStr">
        <is>
          <t>사람 진짜 많다. 다른데 갈래?</t>
        </is>
      </c>
      <c r="H2487" s="9">
        <f>HYPERLINK("https://www.youtube.com/watch?v=QMDTwfwdN1Q", "영상 보기 ▶")</f>
        <v/>
      </c>
    </row>
    <row r="2488" ht="26" customHeight="1">
      <c r="A2488" s="2" t="n">
        <v>2487</v>
      </c>
      <c r="B2488" s="3" t="inlineStr">
        <is>
          <t>총정리 50탄</t>
        </is>
      </c>
      <c r="C2488" s="3" t="inlineStr">
        <is>
          <t>실전회화/표현</t>
        </is>
      </c>
      <c r="D2488" s="4" t="inlineStr">
        <is>
          <t>write off</t>
        </is>
      </c>
      <c r="E2488" s="11" t="inlineStr">
        <is>
          <t>기록/계산에서 빼다</t>
        </is>
      </c>
      <c r="F2488" s="11" t="inlineStr">
        <is>
          <t>Let's just write it off.</t>
        </is>
      </c>
      <c r="G2488" s="11" t="inlineStr">
        <is>
          <t>그냥 그 아이디어는 접자/없던 일로 하자</t>
        </is>
      </c>
      <c r="H2488" s="5">
        <f>HYPERLINK("https://www.youtube.com/watch?v=QMDTwfwdN1Q", "영상 보기 ▶")</f>
        <v/>
      </c>
    </row>
    <row r="2489" ht="26" customHeight="1">
      <c r="A2489" s="6" t="n">
        <v>2488</v>
      </c>
      <c r="B2489" s="7" t="inlineStr">
        <is>
          <t>총정리 50탄</t>
        </is>
      </c>
      <c r="C2489" s="7" t="inlineStr">
        <is>
          <t>실전회화/표현</t>
        </is>
      </c>
      <c r="D2489" s="8" t="inlineStr">
        <is>
          <t>명사 write-off</t>
        </is>
      </c>
      <c r="E2489" s="12" t="inlineStr">
        <is>
          <t>통째로 날린/허탕친 것</t>
        </is>
      </c>
      <c r="F2489" s="12" t="inlineStr">
        <is>
          <t>Today was a total write-off.</t>
        </is>
      </c>
      <c r="G2489" s="12" t="inlineStr">
        <is>
          <t>오늘은 진짜 아무것도 못했네/완전히 날렸네</t>
        </is>
      </c>
      <c r="H2489" s="9">
        <f>HYPERLINK("https://www.youtube.com/watch?v=QMDTwfwdN1Q", "영상 보기 ▶")</f>
        <v/>
      </c>
    </row>
    <row r="2490" ht="26" customHeight="1">
      <c r="A2490" s="2" t="n">
        <v>2489</v>
      </c>
      <c r="B2490" s="3" t="inlineStr">
        <is>
          <t>총정리 50탄</t>
        </is>
      </c>
      <c r="C2490" s="3" t="inlineStr">
        <is>
          <t>실전회화/표현</t>
        </is>
      </c>
      <c r="D2490" s="4" t="inlineStr">
        <is>
          <t>write down</t>
        </is>
      </c>
      <c r="E2490" s="11" t="inlineStr">
        <is>
          <t>적어놓다/받아적다</t>
        </is>
      </c>
      <c r="F2490" s="11" t="inlineStr">
        <is>
          <t>Did you write down his number?</t>
        </is>
      </c>
      <c r="G2490" s="11" t="inlineStr">
        <is>
          <t>그의 번호 적어 놨어?</t>
        </is>
      </c>
      <c r="H2490" s="5">
        <f>HYPERLINK("https://www.youtube.com/watch?v=QMDTwfwdN1Q", "영상 보기 ▶")</f>
        <v/>
      </c>
    </row>
    <row r="2491" ht="26" customHeight="1">
      <c r="A2491" s="6" t="n">
        <v>2490</v>
      </c>
      <c r="B2491" s="7" t="inlineStr">
        <is>
          <t>총정리 50탄</t>
        </is>
      </c>
      <c r="C2491" s="7" t="inlineStr">
        <is>
          <t>실전회화/표현</t>
        </is>
      </c>
      <c r="D2491" s="8" t="inlineStr">
        <is>
          <t>jot down</t>
        </is>
      </c>
      <c r="E2491" s="12" t="inlineStr">
        <is>
          <t>간단히/빠르게 메모하다</t>
        </is>
      </c>
      <c r="F2491" s="12" t="inlineStr">
        <is>
          <t>Let me jot that down.</t>
        </is>
      </c>
      <c r="G2491" s="12" t="inlineStr">
        <is>
          <t>그것 좀 잠깐/얼른/빨리 메모해둘게요</t>
        </is>
      </c>
      <c r="H2491" s="9">
        <f>HYPERLINK("https://www.youtube.com/watch?v=QMDTwfwdN1Q", "영상 보기 ▶")</f>
        <v/>
      </c>
    </row>
    <row r="2492" ht="26" customHeight="1">
      <c r="A2492" s="2" t="n">
        <v>2491</v>
      </c>
      <c r="B2492" s="3" t="inlineStr">
        <is>
          <t>총정리 50탄</t>
        </is>
      </c>
      <c r="C2492" s="3" t="inlineStr">
        <is>
          <t>실전회화/표현</t>
        </is>
      </c>
      <c r="D2492" s="4" t="inlineStr">
        <is>
          <t>outsmart</t>
        </is>
      </c>
      <c r="E2492" s="11" t="inlineStr">
        <is>
          <t>~보다 한수 앞서다</t>
        </is>
      </c>
      <c r="F2492" s="11" t="inlineStr">
        <is>
          <t>We need to outsmart them.</t>
        </is>
      </c>
      <c r="G2492" s="11" t="inlineStr">
        <is>
          <t>걔들보다 한수 앞서야 돼</t>
        </is>
      </c>
      <c r="H2492" s="5">
        <f>HYPERLINK("https://www.youtube.com/watch?v=QMDTwfwdN1Q", "영상 보기 ▶")</f>
        <v/>
      </c>
    </row>
    <row r="2493" ht="26" customHeight="1">
      <c r="A2493" s="6" t="n">
        <v>2492</v>
      </c>
      <c r="B2493" s="7" t="inlineStr">
        <is>
          <t>총정리 50탄</t>
        </is>
      </c>
      <c r="C2493" s="7" t="inlineStr">
        <is>
          <t>실전회화/표현</t>
        </is>
      </c>
      <c r="D2493" s="8" t="inlineStr">
        <is>
          <t>outgrow</t>
        </is>
      </c>
      <c r="E2493" s="12" t="inlineStr">
        <is>
          <t>~보다 더 커져서 맞지 않다. 벗어나다</t>
        </is>
      </c>
      <c r="F2493" s="12" t="inlineStr">
        <is>
          <t>I outgrew that lifestyle.</t>
        </is>
      </c>
      <c r="G2493" s="12" t="inlineStr">
        <is>
          <t>이제 그 라이프스타일 안 맞아</t>
        </is>
      </c>
      <c r="H2493" s="9">
        <f>HYPERLINK("https://www.youtube.com/watch?v=QMDTwfwdN1Q", "영상 보기 ▶")</f>
        <v/>
      </c>
    </row>
    <row r="2494" ht="26" customHeight="1">
      <c r="A2494" s="2" t="n">
        <v>2493</v>
      </c>
      <c r="B2494" s="3" t="inlineStr">
        <is>
          <t>총정리 50탄</t>
        </is>
      </c>
      <c r="C2494" s="3" t="inlineStr">
        <is>
          <t>실전회화/표현</t>
        </is>
      </c>
      <c r="D2494" s="4" t="inlineStr">
        <is>
          <t>Don't sell yourself short.</t>
        </is>
      </c>
      <c r="E2494" s="11" t="inlineStr">
        <is>
          <t>에이, 그런 말 하지마.</t>
        </is>
      </c>
      <c r="F2494" s="11" t="inlineStr">
        <is>
          <t>A: I don't think I can do it.</t>
        </is>
      </c>
      <c r="G2494" s="11" t="inlineStr">
        <is>
          <t>난 못할것 같아요</t>
        </is>
      </c>
      <c r="H2494" s="5">
        <f>HYPERLINK("https://www.youtube.com/watch?v=QMDTwfwdN1Q", "영상 보기 ▶")</f>
        <v/>
      </c>
    </row>
    <row r="2495" ht="26" customHeight="1">
      <c r="A2495" s="6" t="n">
        <v>2494</v>
      </c>
      <c r="B2495" s="7" t="inlineStr">
        <is>
          <t>총정리 50탄</t>
        </is>
      </c>
      <c r="C2495" s="7" t="inlineStr">
        <is>
          <t>공감/감정</t>
        </is>
      </c>
      <c r="D2495" s="8" t="inlineStr">
        <is>
          <t>Help yourself.</t>
        </is>
      </c>
      <c r="E2495" s="12" t="inlineStr">
        <is>
          <t>마음껏 드세요/편히 가져가세요</t>
        </is>
      </c>
      <c r="F2495" s="12" t="inlineStr">
        <is>
          <t>Help yourself to some coffee.</t>
        </is>
      </c>
      <c r="G2495" s="12" t="inlineStr">
        <is>
          <t>커피 편히 드세요</t>
        </is>
      </c>
      <c r="H2495" s="9">
        <f>HYPERLINK("https://www.youtube.com/watch?v=QMDTwfwdN1Q", "영상 보기 ▶")</f>
        <v/>
      </c>
    </row>
    <row r="2496" ht="26" customHeight="1">
      <c r="A2496" s="2" t="n">
        <v>2495</v>
      </c>
      <c r="B2496" s="3" t="inlineStr">
        <is>
          <t>총정리 50탄</t>
        </is>
      </c>
      <c r="C2496" s="3" t="inlineStr">
        <is>
          <t>실전회화/표현</t>
        </is>
      </c>
      <c r="D2496" s="4" t="inlineStr">
        <is>
          <t>You don't say.</t>
        </is>
      </c>
      <c r="E2496" s="11" t="inlineStr">
        <is>
          <t>아, 그래? 진짜?/정말?</t>
        </is>
      </c>
      <c r="F2496" s="11" t="inlineStr">
        <is>
          <t>A: I really like her.</t>
        </is>
      </c>
      <c r="G2496" s="11" t="inlineStr">
        <is>
          <t>그녀가 정말 좋아</t>
        </is>
      </c>
      <c r="H2496" s="5">
        <f>HYPERLINK("https://www.youtube.com/watch?v=QMDTwfwdN1Q", "영상 보기 ▶")</f>
        <v/>
      </c>
    </row>
    <row r="2497" ht="26" customHeight="1">
      <c r="A2497" s="6" t="n">
        <v>2496</v>
      </c>
      <c r="B2497" s="7" t="inlineStr">
        <is>
          <t>총정리 50탄</t>
        </is>
      </c>
      <c r="C2497" s="7" t="inlineStr">
        <is>
          <t>실전회화/표현</t>
        </is>
      </c>
      <c r="D2497" s="8" t="inlineStr">
        <is>
          <t>맞장구 칠때 I know</t>
        </is>
      </c>
      <c r="E2497" s="12" t="inlineStr">
        <is>
          <t>그러게/그러니까</t>
        </is>
      </c>
      <c r="F2497" s="12" t="inlineStr">
        <is>
          <t>A: It's hot for September.</t>
        </is>
      </c>
      <c r="G2497" s="12" t="inlineStr">
        <is>
          <t>9월 치곤 덥다</t>
        </is>
      </c>
      <c r="H2497" s="9">
        <f>HYPERLINK("https://www.youtube.com/watch?v=QMDTwfwdN1Q", "영상 보기 ▶")</f>
        <v/>
      </c>
    </row>
    <row r="2498" ht="26" customHeight="1">
      <c r="A2498" s="2" t="n">
        <v>2497</v>
      </c>
      <c r="B2498" s="3" t="inlineStr">
        <is>
          <t>총정리 50탄</t>
        </is>
      </c>
      <c r="C2498" s="3" t="inlineStr">
        <is>
          <t>공감/감정</t>
        </is>
      </c>
      <c r="D2498" s="4" t="inlineStr">
        <is>
          <t>Tell me about it.</t>
        </is>
      </c>
      <c r="E2498" s="11" t="inlineStr">
        <is>
          <t>내 말이/말도 마/완전 공감해</t>
        </is>
      </c>
      <c r="F2498" s="11" t="inlineStr">
        <is>
          <t>A: I can't wait for the day to be over.</t>
        </is>
      </c>
      <c r="G2498" s="11" t="inlineStr">
        <is>
          <t>오늘이 빨리 끝났으면 좋겠다</t>
        </is>
      </c>
      <c r="H2498" s="5">
        <f>HYPERLINK("https://www.youtube.com/watch?v=QMDTwfwdN1Q", "영상 보기 ▶")</f>
        <v/>
      </c>
    </row>
    <row r="2499" ht="26" customHeight="1">
      <c r="A2499" s="6" t="n">
        <v>2498</v>
      </c>
      <c r="B2499" s="7" t="inlineStr">
        <is>
          <t>총정리 50탄</t>
        </is>
      </c>
      <c r="C2499" s="7" t="inlineStr">
        <is>
          <t>공감/감정</t>
        </is>
      </c>
      <c r="D2499" s="8" t="inlineStr">
        <is>
          <t>I hear you.</t>
        </is>
      </c>
      <c r="E2499" s="12" t="inlineStr">
        <is>
          <t>무슨 말인지 알아/이해햐/그럴만 해</t>
        </is>
      </c>
      <c r="F2499" s="12" t="inlineStr">
        <is>
          <t>I hear you, but there's nothing we can do.</t>
        </is>
      </c>
      <c r="G2499" s="12" t="inlineStr">
        <is>
          <t>무슨 말인지 알겠는데 우리가 딱히 할수 있는건 없어</t>
        </is>
      </c>
      <c r="H2499" s="9">
        <f>HYPERLINK("https://www.youtube.com/watch?v=QMDTwfwdN1Q", "영상 보기 ▶")</f>
        <v/>
      </c>
    </row>
    <row r="2500" ht="26" customHeight="1">
      <c r="A2500" s="2" t="n">
        <v>2499</v>
      </c>
      <c r="B2500" s="3" t="inlineStr">
        <is>
          <t>총정리 50탄</t>
        </is>
      </c>
      <c r="C2500" s="3" t="inlineStr">
        <is>
          <t>실전회화/표현</t>
        </is>
      </c>
      <c r="D2500" s="4" t="inlineStr">
        <is>
          <t>outwork</t>
        </is>
      </c>
      <c r="E2500" s="11" t="inlineStr">
        <is>
          <t>노력으로/더 열심히 일해 이기다</t>
        </is>
      </c>
      <c r="F2500" s="11" t="inlineStr">
        <is>
          <t>No one can outwork him.</t>
        </is>
      </c>
      <c r="G2500" s="11" t="inlineStr">
        <is>
          <t>그는 그 누구보다 더 열심히 일해</t>
        </is>
      </c>
      <c r="H2500" s="5">
        <f>HYPERLINK("https://www.youtube.com/watch?v=QMDTwfwdN1Q", "영상 보기 ▶")</f>
        <v/>
      </c>
    </row>
    <row r="2501" ht="26" customHeight="1">
      <c r="A2501" s="6" t="n">
        <v>2500</v>
      </c>
      <c r="B2501" s="7" t="inlineStr">
        <is>
          <t>총정리 50탄</t>
        </is>
      </c>
      <c r="C2501" s="7" t="inlineStr">
        <is>
          <t>대화/인간관계</t>
        </is>
      </c>
      <c r="D2501" s="8" t="inlineStr">
        <is>
          <t>have an eye for~</t>
        </is>
      </c>
      <c r="E2501" s="12" t="inlineStr">
        <is>
          <t>~를 알아보는 안목/센스가 있다</t>
        </is>
      </c>
      <c r="F2501" s="12" t="inlineStr">
        <is>
          <t>She has an eye for design.</t>
        </is>
      </c>
      <c r="G2501" s="12" t="inlineStr">
        <is>
          <t>그녀는 디자인 감각이 있어</t>
        </is>
      </c>
      <c r="H2501" s="9">
        <f>HYPERLINK("https://www.youtube.com/watch?v=QMDTwfwdN1Q", "영상 보기 ▶")</f>
        <v/>
      </c>
    </row>
    <row r="2502" ht="26" customHeight="1">
      <c r="A2502" s="2" t="n">
        <v>2501</v>
      </c>
      <c r="B2502" s="3" t="inlineStr">
        <is>
          <t>전화영어 특강</t>
        </is>
      </c>
      <c r="C2502" s="3" t="inlineStr">
        <is>
          <t>전화 영어</t>
        </is>
      </c>
      <c r="D2502" s="4" t="inlineStr">
        <is>
          <t>May I ask who's calling?</t>
        </is>
      </c>
      <c r="E2502" s="11" t="inlineStr">
        <is>
          <t>누군지 확인할 때 (누구신지 여쭤봐도 될까요? - 공손한 확인)</t>
        </is>
      </c>
      <c r="F2502" s="11" t="inlineStr">
        <is>
          <t>Thank you for calling ABC Corp. May I ask who's calling?</t>
        </is>
      </c>
      <c r="G2502" s="11" t="inlineStr">
        <is>
          <t>ABC사에 전화 주셔서 감사합니다. 실례지만 누구신지 여쭤봐도 될까요?</t>
        </is>
      </c>
      <c r="H2502" s="5">
        <f>HYPERLINK("https://www.youtube.com/watch?v=BqQecvVoMLc", "영상 보기 ▶")</f>
        <v/>
      </c>
    </row>
    <row r="2503" ht="26" customHeight="1">
      <c r="A2503" s="6" t="n">
        <v>2502</v>
      </c>
      <c r="B2503" s="7" t="inlineStr">
        <is>
          <t>전화영어 특강</t>
        </is>
      </c>
      <c r="C2503" s="7" t="inlineStr">
        <is>
          <t>전화 영어</t>
        </is>
      </c>
      <c r="D2503" s="8" t="inlineStr">
        <is>
          <t>This is Seul Ku. / My name is Seul Ku.</t>
        </is>
      </c>
      <c r="E2503" s="12" t="inlineStr">
        <is>
          <t>자기 소개할 때 (초면: My name is ~ / 구면: This is ~)</t>
        </is>
      </c>
      <c r="F2503" s="12" t="inlineStr">
        <is>
          <t>Hello, this is Seul Ku from the marketing department.</t>
        </is>
      </c>
      <c r="G2503" s="12" t="inlineStr">
        <is>
          <t>안녕하세요, 마케팅팀의 구슬입니다.</t>
        </is>
      </c>
      <c r="H2503" s="9">
        <f>HYPERLINK("https://www.youtube.com/watch?v=BqQecvVoMLc", "영상 보기 ▶")</f>
        <v/>
      </c>
    </row>
    <row r="2504" ht="26" customHeight="1">
      <c r="A2504" s="2" t="n">
        <v>2503</v>
      </c>
      <c r="B2504" s="3" t="inlineStr">
        <is>
          <t>전화영어 특강</t>
        </is>
      </c>
      <c r="C2504" s="3" t="inlineStr">
        <is>
          <t>전화 영어</t>
        </is>
      </c>
      <c r="D2504" s="4" t="inlineStr">
        <is>
          <t>Am I speaking to Sarah Robinson?</t>
        </is>
      </c>
      <c r="E2504" s="11" t="inlineStr">
        <is>
          <t>상대가 맞는지 확인할 때 (통화하시는 분이 Sarah 맞나요?)</t>
        </is>
      </c>
      <c r="F2504" s="11" t="inlineStr">
        <is>
          <t>Good morning, am I speaking to Sarah Robinson?</t>
        </is>
      </c>
      <c r="G2504" s="11" t="inlineStr">
        <is>
          <t>좋은 아침입니다, 지금 통화하시는 분이 Sarah Robinson 씨 맞으신가요?</t>
        </is>
      </c>
      <c r="H2504" s="5">
        <f>HYPERLINK("https://www.youtube.com/watch?v=BqQecvVoMLc", "영상 보기 ▶")</f>
        <v/>
      </c>
    </row>
    <row r="2505" ht="26" customHeight="1">
      <c r="A2505" s="6" t="n">
        <v>2504</v>
      </c>
      <c r="B2505" s="7" t="inlineStr">
        <is>
          <t>전화영어 특강</t>
        </is>
      </c>
      <c r="C2505" s="7" t="inlineStr">
        <is>
          <t>전화 영어</t>
        </is>
      </c>
      <c r="D2505" s="8" t="inlineStr">
        <is>
          <t>This is she. / Speaking.</t>
        </is>
      </c>
      <c r="E2505" s="12" t="inlineStr">
        <is>
          <t>본인이 맞다고 답할 때 (네, 접니다 / 말씀하세요)</t>
        </is>
      </c>
      <c r="F2505" s="12" t="inlineStr">
        <is>
          <t>May I speak with John? - This is he. / Speaking.</t>
        </is>
      </c>
      <c r="G2505" s="12" t="inlineStr">
        <is>
          <t>John 씨와 통화할 수 있을까요? - 네, 접니다. 말씀하세요.</t>
        </is>
      </c>
      <c r="H2505" s="9">
        <f>HYPERLINK("https://www.youtube.com/watch?v=BqQecvVoMLc", "영상 보기 ▶")</f>
        <v/>
      </c>
    </row>
    <row r="2506" ht="26" customHeight="1">
      <c r="A2506" s="2" t="n">
        <v>2505</v>
      </c>
      <c r="B2506" s="3" t="inlineStr">
        <is>
          <t>전화영어 특강</t>
        </is>
      </c>
      <c r="C2506" s="3" t="inlineStr">
        <is>
          <t>전화 영어</t>
        </is>
      </c>
      <c r="D2506" s="4" t="inlineStr">
        <is>
          <t>I think you have the wrong number.</t>
        </is>
      </c>
      <c r="E2506" s="11" t="inlineStr">
        <is>
          <t>전화가 잘못 걸려왔을 때 (전화를 잘못 거신 것 같아요)</t>
        </is>
      </c>
      <c r="F2506" s="11" t="inlineStr">
        <is>
          <t>I'm sorry, but I think you have the wrong number.</t>
        </is>
      </c>
      <c r="G2506" s="11" t="inlineStr">
        <is>
          <t>죄송하지만 전화를 잘못 거신 것 같습니다.</t>
        </is>
      </c>
      <c r="H2506" s="5">
        <f>HYPERLINK("https://www.youtube.com/watch?v=BqQecvVoMLc", "영상 보기 ▶")</f>
        <v/>
      </c>
    </row>
    <row r="2507" ht="26" customHeight="1">
      <c r="A2507" s="6" t="n">
        <v>2506</v>
      </c>
      <c r="B2507" s="7" t="inlineStr">
        <is>
          <t>전화영어 특강</t>
        </is>
      </c>
      <c r="C2507" s="7" t="inlineStr">
        <is>
          <t>전화 영어</t>
        </is>
      </c>
      <c r="D2507" s="8" t="inlineStr">
        <is>
          <t>Is this a good time? / Do you have a minute?</t>
        </is>
      </c>
      <c r="E2507" s="12" t="inlineStr">
        <is>
          <t>통화 가능한지 물어볼 때 (지금 통화 괜찮으세요? / 잠시 시간 되세요?)</t>
        </is>
      </c>
      <c r="F2507" s="12" t="inlineStr">
        <is>
          <t>Hi Alex, is this a good time to talk about the proposal?</t>
        </is>
      </c>
      <c r="G2507" s="12" t="inlineStr">
        <is>
          <t>안녕하세요 Alex, 지금 제안서에 대해 잠시 통화 괜찮으신가요?</t>
        </is>
      </c>
      <c r="H2507" s="9">
        <f>HYPERLINK("https://www.youtube.com/watch?v=BqQecvVoMLc", "영상 보기 ▶")</f>
        <v/>
      </c>
    </row>
    <row r="2508" ht="26" customHeight="1">
      <c r="A2508" s="2" t="n">
        <v>2507</v>
      </c>
      <c r="B2508" s="3" t="inlineStr">
        <is>
          <t>전화영어 특강</t>
        </is>
      </c>
      <c r="C2508" s="3" t="inlineStr">
        <is>
          <t>전화 영어</t>
        </is>
      </c>
      <c r="D2508" s="4" t="inlineStr">
        <is>
          <t>It won't take long.</t>
        </is>
      </c>
      <c r="E2508" s="11" t="inlineStr">
        <is>
          <t>금방 끝난다고 안심시킬 때 (길게 안 걸려요, 금방 끝나요)</t>
        </is>
      </c>
      <c r="F2508" s="11" t="inlineStr">
        <is>
          <t>I just have one quick question; it won't take long.</t>
        </is>
      </c>
      <c r="G2508" s="11" t="inlineStr">
        <is>
          <t>간단한 질문 하나만 드릴게요, 통화 길게 안 걸립니다.</t>
        </is>
      </c>
      <c r="H2508" s="5">
        <f>HYPERLINK("https://www.youtube.com/watch?v=BqQecvVoMLc", "영상 보기 ▶")</f>
        <v/>
      </c>
    </row>
    <row r="2509" ht="26" customHeight="1">
      <c r="A2509" s="6" t="n">
        <v>2508</v>
      </c>
      <c r="B2509" s="7" t="inlineStr">
        <is>
          <t>전화영어 특강</t>
        </is>
      </c>
      <c r="C2509" s="7" t="inlineStr">
        <is>
          <t>전화 영어</t>
        </is>
      </c>
      <c r="D2509" s="8" t="inlineStr">
        <is>
          <t>Sorry, I'm tied up at the moment.</t>
        </is>
      </c>
      <c r="E2509" s="12" t="inlineStr">
        <is>
          <t>지금 바빠서 통화가 어려울 때 (죄송하지만 지금은 손이 묶여서 바빠요)</t>
        </is>
      </c>
      <c r="F2509" s="12" t="inlineStr">
        <is>
          <t>I'd love to chat, but I'm tied up at the moment.</t>
        </is>
      </c>
      <c r="G2509" s="12" t="inlineStr">
        <is>
          <t>이야기 나누고 싶지만 지금은 회의 중이라 통화가 어렵네요.</t>
        </is>
      </c>
      <c r="H2509" s="9">
        <f>HYPERLINK("https://www.youtube.com/watch?v=BqQecvVoMLc", "영상 보기 ▶")</f>
        <v/>
      </c>
    </row>
    <row r="2510" ht="26" customHeight="1">
      <c r="A2510" s="2" t="n">
        <v>2509</v>
      </c>
      <c r="B2510" s="3" t="inlineStr">
        <is>
          <t>전화영어 특강</t>
        </is>
      </c>
      <c r="C2510" s="3" t="inlineStr">
        <is>
          <t>전화 영어</t>
        </is>
      </c>
      <c r="D2510" s="4" t="inlineStr">
        <is>
          <t>Can I call you back in 30 minutes?</t>
        </is>
      </c>
      <c r="E2510" s="11" t="inlineStr">
        <is>
          <t>양해를 구하고 다시 걸겠다고 할 때 (30분 뒤에 다시 전화드려도 될까요?)</t>
        </is>
      </c>
      <c r="F2510" s="11" t="inlineStr">
        <is>
          <t>Can I call you back in 30 minutes once I leave the room?</t>
        </is>
      </c>
      <c r="G2510" s="11" t="inlineStr">
        <is>
          <t>제가 방에서 나가는 대로 30분 뒤에 다시 전화드려도 될까요?</t>
        </is>
      </c>
      <c r="H2510" s="5">
        <f>HYPERLINK("https://www.youtube.com/watch?v=BqQecvVoMLc", "영상 보기 ▶")</f>
        <v/>
      </c>
    </row>
    <row r="2511" ht="26" customHeight="1">
      <c r="A2511" s="6" t="n">
        <v>2510</v>
      </c>
      <c r="B2511" s="7" t="inlineStr">
        <is>
          <t>전화영어 특강</t>
        </is>
      </c>
      <c r="C2511" s="7" t="inlineStr">
        <is>
          <t>전화 영어</t>
        </is>
      </c>
      <c r="D2511" s="8" t="inlineStr">
        <is>
          <t>Could you email me the details?</t>
        </is>
      </c>
      <c r="E2511" s="12" t="inlineStr">
        <is>
          <t>이메일로 내용을 요청할 때 (자세한 내용은 메일로 보내주시겠어요?)</t>
        </is>
      </c>
      <c r="F2511" s="12" t="inlineStr">
        <is>
          <t>I'm driving right now; could you email me the details?</t>
        </is>
      </c>
      <c r="G2511" s="12" t="inlineStr">
        <is>
          <t>제가 지금 운전 중이라서요, 자세한 내용은 이메일로 보내주실 수 있나요?</t>
        </is>
      </c>
      <c r="H2511" s="9">
        <f>HYPERLINK("https://www.youtube.com/watch?v=BqQecvVoMLc", "영상 보기 ▶")</f>
        <v/>
      </c>
    </row>
    <row r="2512" ht="26" customHeight="1">
      <c r="A2512" s="2" t="n">
        <v>2511</v>
      </c>
      <c r="B2512" s="3" t="inlineStr">
        <is>
          <t>전화영어 특강</t>
        </is>
      </c>
      <c r="C2512" s="3" t="inlineStr">
        <is>
          <t>전화 영어</t>
        </is>
      </c>
      <c r="D2512" s="4" t="inlineStr">
        <is>
          <t>I'll email you the details.</t>
        </is>
      </c>
      <c r="E2512" s="11" t="inlineStr">
        <is>
          <t>이메일로 보내겠다고 안내할 때 (자세한 내용은 메일로 보내드릴게요)</t>
        </is>
      </c>
      <c r="F2512" s="11" t="inlineStr">
        <is>
          <t>Don't worry about taking notes; I'll email you the details.</t>
        </is>
      </c>
      <c r="G2512" s="11" t="inlineStr">
        <is>
          <t>메모하실 필요 없습니다, 상세한 내용은 제가 이메일로 보내드릴게요.</t>
        </is>
      </c>
      <c r="H2512" s="5">
        <f>HYPERLINK("https://www.youtube.com/watch?v=BqQecvVoMLc", "영상 보기 ▶")</f>
        <v/>
      </c>
    </row>
    <row r="2513" ht="26" customHeight="1">
      <c r="A2513" s="6" t="n">
        <v>2512</v>
      </c>
      <c r="B2513" s="7" t="inlineStr">
        <is>
          <t>전화영어 특강</t>
        </is>
      </c>
      <c r="C2513" s="7" t="inlineStr">
        <is>
          <t>전화 영어</t>
        </is>
      </c>
      <c r="D2513" s="8" t="inlineStr">
        <is>
          <t>How do you spell that?</t>
        </is>
      </c>
      <c r="E2513" s="12" t="inlineStr">
        <is>
          <t>(이메일이나 이름 등의) 철자를 물어볼 때 (스펠링이 어떻게 되나요?)</t>
        </is>
      </c>
      <c r="F2513" s="12" t="inlineStr">
        <is>
          <t>Could you repeat your last name? How do you spell that?</t>
        </is>
      </c>
      <c r="G2513" s="12" t="inlineStr">
        <is>
          <t>성함을 다시 말씀해 주시겠어요? 철자가 어떻게 되나요?</t>
        </is>
      </c>
      <c r="H2513" s="9">
        <f>HYPERLINK("https://www.youtube.com/watch?v=BqQecvVoMLc", "영상 보기 ▶")</f>
        <v/>
      </c>
    </row>
    <row r="2514" ht="26" customHeight="1">
      <c r="A2514" s="2" t="n">
        <v>2513</v>
      </c>
      <c r="B2514" s="3" t="inlineStr">
        <is>
          <t>전화영어 특강</t>
        </is>
      </c>
      <c r="C2514" s="3" t="inlineStr">
        <is>
          <t>전화 영어</t>
        </is>
      </c>
      <c r="D2514" s="4" t="inlineStr">
        <is>
          <t>I'm calling about ~</t>
        </is>
      </c>
      <c r="E2514" s="11" t="inlineStr">
        <is>
          <t>전화 목적을 알릴 때 (~ 건으로 전화드렸습니다)</t>
        </is>
      </c>
      <c r="F2514" s="11" t="inlineStr">
        <is>
          <t>I'm calling about tomorrow's budget review meeting.</t>
        </is>
      </c>
      <c r="G2514" s="11" t="inlineStr">
        <is>
          <t>내일 있을 예산 검토 회의 건으로 전화드렸습니다.</t>
        </is>
      </c>
      <c r="H2514" s="5">
        <f>HYPERLINK("https://www.youtube.com/watch?v=BqQecvVoMLc", "영상 보기 ▶")</f>
        <v/>
      </c>
    </row>
    <row r="2515" ht="26" customHeight="1">
      <c r="A2515" s="6" t="n">
        <v>2514</v>
      </c>
      <c r="B2515" s="7" t="inlineStr">
        <is>
          <t>전화영어 특강</t>
        </is>
      </c>
      <c r="C2515" s="7" t="inlineStr">
        <is>
          <t>전화 영어</t>
        </is>
      </c>
      <c r="D2515" s="8" t="inlineStr">
        <is>
          <t>Can I speak to someone in charge?</t>
        </is>
      </c>
      <c r="E2515" s="12" t="inlineStr">
        <is>
          <t>담당자를 바꿔달라고 할 때 (담당자와 통화할 수 있을까요?)</t>
        </is>
      </c>
      <c r="F2515" s="12" t="inlineStr">
        <is>
          <t>Can I speak to someone in charge of vendor partnerships?</t>
        </is>
      </c>
      <c r="G2515" s="12" t="inlineStr">
        <is>
          <t>협력업체 제휴 담당자분과 통화할 수 있을까요?</t>
        </is>
      </c>
      <c r="H2515" s="9">
        <f>HYPERLINK("https://www.youtube.com/watch?v=BqQecvVoMLc", "영상 보기 ▶")</f>
        <v/>
      </c>
    </row>
    <row r="2516" ht="26" customHeight="1">
      <c r="A2516" s="2" t="n">
        <v>2515</v>
      </c>
      <c r="B2516" s="3" t="inlineStr">
        <is>
          <t>전화영어 특강</t>
        </is>
      </c>
      <c r="C2516" s="3" t="inlineStr">
        <is>
          <t>전화 영어</t>
        </is>
      </c>
      <c r="D2516" s="4" t="inlineStr">
        <is>
          <t>May I ask what this is about?</t>
        </is>
      </c>
      <c r="E2516" s="11" t="inlineStr">
        <is>
          <t>용건이 무엇인지 정중히 물어볼 때 (실례지만 어떤 일 때문인지 여쭤봐도 될까요?)</t>
        </is>
      </c>
      <c r="F2516" s="11" t="inlineStr">
        <is>
          <t>He stepped out. May I ask what this is about?</t>
        </is>
      </c>
      <c r="G2516" s="11" t="inlineStr">
        <is>
          <t>그분이 잠시 자리를 비우셨는데, 실례지만 어떤 용건 때문인지 여쭤봐도 될까요?</t>
        </is>
      </c>
      <c r="H2516" s="5">
        <f>HYPERLINK("https://www.youtube.com/watch?v=BqQecvVoMLc", "영상 보기 ▶")</f>
        <v/>
      </c>
    </row>
    <row r="2517" ht="26" customHeight="1">
      <c r="A2517" s="6" t="n">
        <v>2516</v>
      </c>
      <c r="B2517" s="7" t="inlineStr">
        <is>
          <t>전화영어 특강</t>
        </is>
      </c>
      <c r="C2517" s="7" t="inlineStr">
        <is>
          <t>전화 영어</t>
        </is>
      </c>
      <c r="D2517" s="8" t="inlineStr">
        <is>
          <t>Let me put you through.</t>
        </is>
      </c>
      <c r="E2517" s="12" t="inlineStr">
        <is>
          <t>전화를 다른 분께 연결해 줄 때 (연결해 드리겠습니다)</t>
        </is>
      </c>
      <c r="F2517" s="12" t="inlineStr">
        <is>
          <t>Hold the line, please; let me put you through to accounting.</t>
        </is>
      </c>
      <c r="G2517" s="12" t="inlineStr">
        <is>
          <t>끊지 말고 잠시만 기다려주세요, 회계팀으로 연결해 드리겠습니다.</t>
        </is>
      </c>
      <c r="H2517" s="9">
        <f>HYPERLINK("https://www.youtube.com/watch?v=BqQecvVoMLc", "영상 보기 ▶")</f>
        <v/>
      </c>
    </row>
    <row r="2518" ht="26" customHeight="1">
      <c r="A2518" s="2" t="n">
        <v>2517</v>
      </c>
      <c r="B2518" s="3" t="inlineStr">
        <is>
          <t>전화영어 특강</t>
        </is>
      </c>
      <c r="C2518" s="3" t="inlineStr">
        <is>
          <t>전화 영어</t>
        </is>
      </c>
      <c r="D2518" s="4" t="inlineStr">
        <is>
          <t>Could you hold for a second?</t>
        </is>
      </c>
      <c r="E2518" s="11" t="inlineStr">
        <is>
          <t>잠시 기다려달라고 정중히 요청할 때 (잠시만 기다려주시겠어요?)</t>
        </is>
      </c>
      <c r="F2518" s="11" t="inlineStr">
        <is>
          <t>Could you hold for a second while I pull up your account?</t>
        </is>
      </c>
      <c r="G2518" s="11" t="inlineStr">
        <is>
          <t>고객님 계정 정보를 조회하는 동안 잠시만 기다려주시겠어요?</t>
        </is>
      </c>
      <c r="H2518" s="5">
        <f>HYPERLINK("https://www.youtube.com/watch?v=BqQecvVoMLc", "영상 보기 ▶")</f>
        <v/>
      </c>
    </row>
    <row r="2519" ht="26" customHeight="1">
      <c r="A2519" s="6" t="n">
        <v>2518</v>
      </c>
      <c r="B2519" s="7" t="inlineStr">
        <is>
          <t>전화영어 특강</t>
        </is>
      </c>
      <c r="C2519" s="7" t="inlineStr">
        <is>
          <t>전화 영어</t>
        </is>
      </c>
      <c r="D2519" s="8" t="inlineStr">
        <is>
          <t>He's not at his desk right now.</t>
        </is>
      </c>
      <c r="E2519" s="12" t="inlineStr">
        <is>
          <t>담당자가 부재중일 때 (지금 자리에 안 계세요)</t>
        </is>
      </c>
      <c r="F2519" s="12" t="inlineStr">
        <is>
          <t>I'm afraid he's not at his desk right now.</t>
        </is>
      </c>
      <c r="G2519" s="12" t="inlineStr">
        <is>
          <t>죄송하지만 그분께서 지금은 자리에 계시지 않습니다.</t>
        </is>
      </c>
      <c r="H2519" s="9">
        <f>HYPERLINK("https://www.youtube.com/watch?v=BqQecvVoMLc", "영상 보기 ▶")</f>
        <v/>
      </c>
    </row>
    <row r="2520" ht="26" customHeight="1">
      <c r="A2520" s="2" t="n">
        <v>2519</v>
      </c>
      <c r="B2520" s="3" t="inlineStr">
        <is>
          <t>전화영어 특강</t>
        </is>
      </c>
      <c r="C2520" s="3" t="inlineStr">
        <is>
          <t>전화 영어</t>
        </is>
      </c>
      <c r="D2520" s="4" t="inlineStr">
        <is>
          <t>She's on another call.</t>
        </is>
      </c>
      <c r="E2520" s="11" t="inlineStr">
        <is>
          <t>담당자가 다른 통화 중일 때 (지금 다른 전화 통화 중이세요)</t>
        </is>
      </c>
      <c r="F2520" s="11" t="inlineStr">
        <is>
          <t>Her line is busy; she's on another call right now.</t>
        </is>
      </c>
      <c r="G2520" s="11" t="inlineStr">
        <is>
          <t>통화 중이시네요, 지금 다른 고객과 통화 중이십니다.</t>
        </is>
      </c>
      <c r="H2520" s="5">
        <f>HYPERLINK("https://www.youtube.com/watch?v=BqQecvVoMLc", "영상 보기 ▶")</f>
        <v/>
      </c>
    </row>
    <row r="2521" ht="26" customHeight="1">
      <c r="A2521" s="6" t="n">
        <v>2520</v>
      </c>
      <c r="B2521" s="7" t="inlineStr">
        <is>
          <t>전화영어 특강</t>
        </is>
      </c>
      <c r="C2521" s="7" t="inlineStr">
        <is>
          <t>전화 영어</t>
        </is>
      </c>
      <c r="D2521" s="8" t="inlineStr">
        <is>
          <t>Would you like to leave a message?</t>
        </is>
      </c>
      <c r="E2521" s="12" t="inlineStr">
        <is>
          <t>메시지를 대신 받아 적겠다고 할 때 (메시지 남겨드릴까요?)</t>
        </is>
      </c>
      <c r="F2521" s="12" t="inlineStr">
        <is>
          <t>He is away today. Would you like to leave a message?</t>
        </is>
      </c>
      <c r="G2521" s="12" t="inlineStr">
        <is>
          <t>그분은 오늘 출장 중이십니다. 메시지 남겨드릴까요?</t>
        </is>
      </c>
      <c r="H2521" s="9">
        <f>HYPERLINK("https://www.youtube.com/watch?v=BqQecvVoMLc", "영상 보기 ▶")</f>
        <v/>
      </c>
    </row>
    <row r="2522" ht="26" customHeight="1">
      <c r="A2522" s="2" t="n">
        <v>2521</v>
      </c>
      <c r="B2522" s="3" t="inlineStr">
        <is>
          <t>전화영어 특강</t>
        </is>
      </c>
      <c r="C2522" s="3" t="inlineStr">
        <is>
          <t>전화 영어</t>
        </is>
      </c>
      <c r="D2522" s="4" t="inlineStr">
        <is>
          <t>I'll let him know you called.</t>
        </is>
      </c>
      <c r="E2522" s="11" t="inlineStr">
        <is>
          <t>메시지를 전하겠다고 안내할 때 (전화 주셨다고 꼭 전해드릴게요)</t>
        </is>
      </c>
      <c r="F2522" s="11" t="inlineStr">
        <is>
          <t>Thanks for reaching out; I'll let him know you called.</t>
        </is>
      </c>
      <c r="G2522" s="11" t="inlineStr">
        <is>
          <t>연락 주셔서 감사합니다, 전화 주셨었다고 꼭 전해드릴게요.</t>
        </is>
      </c>
      <c r="H2522" s="5">
        <f>HYPERLINK("https://www.youtube.com/watch?v=BqQecvVoMLc", "영상 보기 ▶")</f>
        <v/>
      </c>
    </row>
    <row r="2523" ht="26" customHeight="1">
      <c r="A2523" s="6" t="n">
        <v>2522</v>
      </c>
      <c r="B2523" s="7" t="inlineStr">
        <is>
          <t>전화영어 특강</t>
        </is>
      </c>
      <c r="C2523" s="7" t="inlineStr">
        <is>
          <t>전화 영어</t>
        </is>
      </c>
      <c r="D2523" s="8" t="inlineStr">
        <is>
          <t>Just so you know, you're on speakerphone.</t>
        </is>
      </c>
      <c r="E2523" s="12" t="inlineStr">
        <is>
          <t>스피커폰 통화 중일 때 상대에게 사전 안내 (스피커폰 상태라는 걸 알려드려요)</t>
        </is>
      </c>
      <c r="F2523" s="12" t="inlineStr">
        <is>
          <t>Just so you know, you're on speakerphone with our design team.</t>
        </is>
      </c>
      <c r="G2523" s="12" t="inlineStr">
        <is>
          <t>참고로 말씀드리면, 지금 디자인팀 전원과 스피커폰으로 통화 중이십니다.</t>
        </is>
      </c>
      <c r="H2523" s="9">
        <f>HYPERLINK("https://www.youtube.com/watch?v=BqQecvVoMLc", "영상 보기 ▶")</f>
        <v/>
      </c>
    </row>
    <row r="2524" ht="26" customHeight="1">
      <c r="A2524" s="2" t="n">
        <v>2523</v>
      </c>
      <c r="B2524" s="3" t="inlineStr">
        <is>
          <t>전화영어 특강</t>
        </is>
      </c>
      <c r="C2524" s="3" t="inlineStr">
        <is>
          <t>전화 영어</t>
        </is>
      </c>
      <c r="D2524" s="4" t="inlineStr">
        <is>
          <t>Sorry, I didn't catch that.</t>
        </is>
      </c>
      <c r="E2524" s="11" t="inlineStr">
        <is>
          <t>상대방의 말을 잘 못 들었을 때 (죄송한데 뭐라고 하셨는지 놓쳤어요)</t>
        </is>
      </c>
      <c r="F2524" s="11" t="inlineStr">
        <is>
          <t>There's background noise; sorry, I didn't catch that.</t>
        </is>
      </c>
      <c r="G2524" s="11" t="inlineStr">
        <is>
          <t>주변 소음 때문에 죄송하지만 방금 말씀을 잘 못 들었습니다.</t>
        </is>
      </c>
      <c r="H2524" s="5">
        <f>HYPERLINK("https://www.youtube.com/watch?v=BqQecvVoMLc", "영상 보기 ▶")</f>
        <v/>
      </c>
    </row>
    <row r="2525" ht="26" customHeight="1">
      <c r="A2525" s="6" t="n">
        <v>2524</v>
      </c>
      <c r="B2525" s="7" t="inlineStr">
        <is>
          <t>전화영어 특강</t>
        </is>
      </c>
      <c r="C2525" s="7" t="inlineStr">
        <is>
          <t>전화 영어</t>
        </is>
      </c>
      <c r="D2525" s="8" t="inlineStr">
        <is>
          <t>Could you speak a little slower?</t>
        </is>
      </c>
      <c r="E2525" s="12" t="inlineStr">
        <is>
          <t>상대가 너무 빨리 말할 때 (조금만 천천히 말씀해 주시겠어요?)</t>
        </is>
      </c>
      <c r="F2525" s="12" t="inlineStr">
        <is>
          <t>The connection is faint; could you speak a little slower?</t>
        </is>
      </c>
      <c r="G2525" s="12" t="inlineStr">
        <is>
          <t>연결이 흐릿해서 그런데, 조금만 천천히 말씀해 주실 수 있나요?</t>
        </is>
      </c>
      <c r="H2525" s="9">
        <f>HYPERLINK("https://www.youtube.com/watch?v=BqQecvVoMLc", "영상 보기 ▶")</f>
        <v/>
      </c>
    </row>
    <row r="2526" ht="26" customHeight="1">
      <c r="A2526" s="2" t="n">
        <v>2525</v>
      </c>
      <c r="B2526" s="3" t="inlineStr">
        <is>
          <t>전화영어 특강</t>
        </is>
      </c>
      <c r="C2526" s="3" t="inlineStr">
        <is>
          <t>전화 영어</t>
        </is>
      </c>
      <c r="D2526" s="4" t="inlineStr">
        <is>
          <t>Could you speak up, please?</t>
        </is>
      </c>
      <c r="E2526" s="11" t="inlineStr">
        <is>
          <t>상대의 목소리가 너무 작을 때 (조금만 더 크게 말씀해 주실래요?)</t>
        </is>
      </c>
      <c r="F2526" s="11" t="inlineStr">
        <is>
          <t>I can barely hear you; could you speak up, please?</t>
        </is>
      </c>
      <c r="G2526" s="11" t="inlineStr">
        <is>
          <t>목소리가 거의 들리지 않는데, 조금만 더 크게 말씀해 주시겠어요?</t>
        </is>
      </c>
      <c r="H2526" s="5">
        <f>HYPERLINK("https://www.youtube.com/watch?v=BqQecvVoMLc", "영상 보기 ▶")</f>
        <v/>
      </c>
    </row>
    <row r="2527" ht="26" customHeight="1">
      <c r="A2527" s="6" t="n">
        <v>2526</v>
      </c>
      <c r="B2527" s="7" t="inlineStr">
        <is>
          <t>전화영어 특강</t>
        </is>
      </c>
      <c r="C2527" s="7" t="inlineStr">
        <is>
          <t>전화 영어</t>
        </is>
      </c>
      <c r="D2527" s="8" t="inlineStr">
        <is>
          <t>Can you hear me okay?</t>
        </is>
      </c>
      <c r="E2527" s="12" t="inlineStr">
        <is>
          <t>상대방의 반응이 없거나 연결 확인 시 (제 목소리 잘 들리시나요?)</t>
        </is>
      </c>
      <c r="F2527" s="12" t="inlineStr">
        <is>
          <t>Hello? Can you hear me okay on this line?</t>
        </is>
      </c>
      <c r="G2527" s="12" t="inlineStr">
        <is>
          <t>여보세요? 제 목소리 잘 들리시나요?</t>
        </is>
      </c>
      <c r="H2527" s="9">
        <f>HYPERLINK("https://www.youtube.com/watch?v=BqQecvVoMLc", "영상 보기 ▶")</f>
        <v/>
      </c>
    </row>
    <row r="2528" ht="26" customHeight="1">
      <c r="A2528" s="2" t="n">
        <v>2527</v>
      </c>
      <c r="B2528" s="3" t="inlineStr">
        <is>
          <t>전화영어 특강</t>
        </is>
      </c>
      <c r="C2528" s="3" t="inlineStr">
        <is>
          <t>전화 영어</t>
        </is>
      </c>
      <c r="D2528" s="4" t="inlineStr">
        <is>
          <t>You're breaking up.</t>
        </is>
      </c>
      <c r="E2528" s="11" t="inlineStr">
        <is>
          <t>상대방의 목소리가 뚝뚝 끊겨 들릴 때 (목소리가 자꾸 끊기네요)</t>
        </is>
      </c>
      <c r="F2528" s="11" t="inlineStr">
        <is>
          <t>I can't follow your words; you're breaking up badly.</t>
        </is>
      </c>
      <c r="G2528" s="11" t="inlineStr">
        <is>
          <t>말씀을 알아들을 수가 없어요, 목소리가 심하게 끊기네요.</t>
        </is>
      </c>
      <c r="H2528" s="5">
        <f>HYPERLINK("https://www.youtube.com/watch?v=BqQecvVoMLc", "영상 보기 ▶")</f>
        <v/>
      </c>
    </row>
    <row r="2529" ht="26" customHeight="1">
      <c r="A2529" s="6" t="n">
        <v>2528</v>
      </c>
      <c r="B2529" s="7" t="inlineStr">
        <is>
          <t>전화영어 특강</t>
        </is>
      </c>
      <c r="C2529" s="7" t="inlineStr">
        <is>
          <t>전화 영어</t>
        </is>
      </c>
      <c r="D2529" s="8" t="inlineStr">
        <is>
          <t>I have a bad signal here.</t>
        </is>
      </c>
      <c r="E2529" s="12" t="inlineStr">
        <is>
          <t>전화 신호 상태가 나쁠 때 (여기 전파가 잘 안 터지네요)</t>
        </is>
      </c>
      <c r="F2529" s="12" t="inlineStr">
        <is>
          <t>I'm in an elevator, so I have a bad signal here.</t>
        </is>
      </c>
      <c r="G2529" s="12" t="inlineStr">
        <is>
          <t>제가 지금 엘리베이터 안이라 전파가 잘 터지지 않네요.</t>
        </is>
      </c>
      <c r="H2529" s="9">
        <f>HYPERLINK("https://www.youtube.com/watch?v=BqQecvVoMLc", "영상 보기 ▶")</f>
        <v/>
      </c>
    </row>
    <row r="2530" ht="26" customHeight="1">
      <c r="A2530" s="2" t="n">
        <v>2529</v>
      </c>
      <c r="B2530" s="3" t="inlineStr">
        <is>
          <t>전화영어 특강</t>
        </is>
      </c>
      <c r="C2530" s="3" t="inlineStr">
        <is>
          <t>전화 영어</t>
        </is>
      </c>
      <c r="D2530" s="4" t="inlineStr">
        <is>
          <t>I think we got disconnected.</t>
        </is>
      </c>
      <c r="E2530" s="11" t="inlineStr">
        <is>
          <t>통화가 도중에 끊어졌다가 다시 연결되었을 때 (통화가 중간에 끊겼었네요)</t>
        </is>
      </c>
      <c r="F2530" s="11" t="inlineStr">
        <is>
          <t>Hi, sorry about that! I think we got disconnected earlier.</t>
        </is>
      </c>
      <c r="G2530" s="11" t="inlineStr">
        <is>
          <t>안녕하세요, 아까 죄송합니다! 통화가 도중에 끊겼던 것 같아요.</t>
        </is>
      </c>
      <c r="H2530" s="5">
        <f>HYPERLINK("https://www.youtube.com/watch?v=BqQecvVoMLc", "영상 보기 ▶")</f>
        <v/>
      </c>
    </row>
    <row r="2531" ht="26" customHeight="1">
      <c r="A2531" s="6" t="n">
        <v>2530</v>
      </c>
      <c r="B2531" s="7" t="inlineStr">
        <is>
          <t>전화영어 특강</t>
        </is>
      </c>
      <c r="C2531" s="7" t="inlineStr">
        <is>
          <t>전화 영어</t>
        </is>
      </c>
      <c r="D2531" s="8" t="inlineStr">
        <is>
          <t>Just a second, please.</t>
        </is>
      </c>
      <c r="E2531" s="12" t="inlineStr">
        <is>
          <t>잠시 시간을 끌거나 확인할 때 (잠시만 기다려주세요)</t>
        </is>
      </c>
      <c r="F2531" s="12" t="inlineStr">
        <is>
          <t>Just a second, let me open that document on my screen.</t>
        </is>
      </c>
      <c r="G2531" s="12" t="inlineStr">
        <is>
          <t>잠시만요, 제 화면에서 해당 문서를 열어보겠습니다.</t>
        </is>
      </c>
      <c r="H2531" s="9">
        <f>HYPERLINK("https://www.youtube.com/watch?v=BqQecvVoMLc", "영상 보기 ▶")</f>
        <v/>
      </c>
    </row>
    <row r="2532" ht="26" customHeight="1">
      <c r="A2532" s="2" t="n">
        <v>2531</v>
      </c>
      <c r="B2532" s="3" t="inlineStr">
        <is>
          <t>전화영어 특강</t>
        </is>
      </c>
      <c r="C2532" s="3" t="inlineStr">
        <is>
          <t>전화 영어</t>
        </is>
      </c>
      <c r="D2532" s="4" t="inlineStr">
        <is>
          <t>Let me write that down.</t>
        </is>
      </c>
      <c r="E2532" s="11" t="inlineStr">
        <is>
          <t>상대방의 말을 메모해야 할 때 (그 내용 좀 받아 적을게요)</t>
        </is>
      </c>
      <c r="F2532" s="11" t="inlineStr">
        <is>
          <t>That's important; let me grab a pen and write that down.</t>
        </is>
      </c>
      <c r="G2532" s="11" t="inlineStr">
        <is>
          <t>중요한 내용이네요, 펜을 가져와서 받아 적겠습니다.</t>
        </is>
      </c>
      <c r="H2532" s="5">
        <f>HYPERLINK("https://www.youtube.com/watch?v=BqQecvVoMLc", "영상 보기 ▶")</f>
        <v/>
      </c>
    </row>
    <row r="2533" ht="26" customHeight="1">
      <c r="A2533" s="6" t="n">
        <v>2532</v>
      </c>
      <c r="B2533" s="7" t="inlineStr">
        <is>
          <t>전화영어 특강</t>
        </is>
      </c>
      <c r="C2533" s="7" t="inlineStr">
        <is>
          <t>전화 영어</t>
        </is>
      </c>
      <c r="D2533" s="8" t="inlineStr">
        <is>
          <t>I'll look into it right away.</t>
        </is>
      </c>
      <c r="E2533" s="12" t="inlineStr">
        <is>
          <t>자세히 알아봐야 할 때 (제가 그 부분 즉시 확인해 볼게요)</t>
        </is>
      </c>
      <c r="F2533" s="12" t="inlineStr">
        <is>
          <t>Thanks for flagging the issue; I'll look into it right away.</t>
        </is>
      </c>
      <c r="G2533" s="12" t="inlineStr">
        <is>
          <t>문제를 알려주셔서 감사합니다, 즉시 알아보고 조치하겠습니다.</t>
        </is>
      </c>
      <c r="H2533" s="9">
        <f>HYPERLINK("https://www.youtube.com/watch?v=BqQecvVoMLc", "영상 보기 ▶")</f>
        <v/>
      </c>
    </row>
    <row r="2534" ht="26" customHeight="1">
      <c r="A2534" s="2" t="n">
        <v>2533</v>
      </c>
      <c r="B2534" s="3" t="inlineStr">
        <is>
          <t>전화영어 특강</t>
        </is>
      </c>
      <c r="C2534" s="3" t="inlineStr">
        <is>
          <t>전화 영어</t>
        </is>
      </c>
      <c r="D2534" s="4" t="inlineStr">
        <is>
          <t>Let me think about it and get back to you.</t>
        </is>
      </c>
      <c r="E2534" s="11" t="inlineStr">
        <is>
          <t>생각할 시간이 필요할 때 (생각 좀 해보고 다시 연락드릴게요)</t>
        </is>
      </c>
      <c r="F2534" s="11" t="inlineStr">
        <is>
          <t>It's a big decision; let me think about it and get back to you.</t>
        </is>
      </c>
      <c r="G2534" s="11" t="inlineStr">
        <is>
          <t>중요한 결정이니 생각할 시간을 갖고 다시 연락드리겠습니다.</t>
        </is>
      </c>
      <c r="H2534" s="5">
        <f>HYPERLINK("https://www.youtube.com/watch?v=BqQecvVoMLc", "영상 보기 ▶")</f>
        <v/>
      </c>
    </row>
    <row r="2535" ht="26" customHeight="1">
      <c r="A2535" s="6" t="n">
        <v>2534</v>
      </c>
      <c r="B2535" s="7" t="inlineStr">
        <is>
          <t>전화영어 특강</t>
        </is>
      </c>
      <c r="C2535" s="7" t="inlineStr">
        <is>
          <t>전화 영어</t>
        </is>
      </c>
      <c r="D2535" s="8" t="inlineStr">
        <is>
          <t>Let me check my calendar.</t>
        </is>
      </c>
      <c r="E2535" s="12" t="inlineStr">
        <is>
          <t>일정을 확인해야 할 때 (제 일정표 좀 확인해 볼게요)</t>
        </is>
      </c>
      <c r="F2535" s="12" t="inlineStr">
        <is>
          <t>Let me check my calendar to see if I'm free on Thursday.</t>
        </is>
      </c>
      <c r="G2535" s="12" t="inlineStr">
        <is>
          <t>목요일에 시간이 되는지 제 일정표를 먼저 확인해 볼게요.</t>
        </is>
      </c>
      <c r="H2535" s="9">
        <f>HYPERLINK("https://www.youtube.com/watch?v=BqQecvVoMLc", "영상 보기 ▶")</f>
        <v/>
      </c>
    </row>
    <row r="2536" ht="26" customHeight="1">
      <c r="A2536" s="2" t="n">
        <v>2535</v>
      </c>
      <c r="B2536" s="3" t="inlineStr">
        <is>
          <t>전화영어 특강</t>
        </is>
      </c>
      <c r="C2536" s="3" t="inlineStr">
        <is>
          <t>전화 영어</t>
        </is>
      </c>
      <c r="D2536" s="4" t="inlineStr">
        <is>
          <t>What's your schedule like next week?</t>
        </is>
      </c>
      <c r="E2536" s="11" t="inlineStr">
        <is>
          <t>상대방의 일정을 물어볼 때 (다음 주 일정은 어떠신가요?)</t>
        </is>
      </c>
      <c r="F2536" s="11" t="inlineStr">
        <is>
          <t>We need to sync up. What's your schedule like next week?</t>
        </is>
      </c>
      <c r="G2536" s="11" t="inlineStr">
        <is>
          <t>우리 회의를 잡아야 하는데, 다음 주 일정은 어떠신가요?</t>
        </is>
      </c>
      <c r="H2536" s="5">
        <f>HYPERLINK("https://www.youtube.com/watch?v=BqQecvVoMLc", "영상 보기 ▶")</f>
        <v/>
      </c>
    </row>
    <row r="2537" ht="26" customHeight="1">
      <c r="A2537" s="6" t="n">
        <v>2536</v>
      </c>
      <c r="B2537" s="7" t="inlineStr">
        <is>
          <t>전화영어 특강</t>
        </is>
      </c>
      <c r="C2537" s="7" t="inlineStr">
        <is>
          <t>전화 영어</t>
        </is>
      </c>
      <c r="D2537" s="8" t="inlineStr">
        <is>
          <t>Does Tuesday work for you?</t>
        </is>
      </c>
      <c r="E2537" s="12" t="inlineStr">
        <is>
          <t>특정 요일/시간이 괜찮은지 확인할 때 (화요일 괜찮으세요?)</t>
        </is>
      </c>
      <c r="F2537" s="12" t="inlineStr">
        <is>
          <t>Does Tuesday at 2 PM work for you for the demo?</t>
        </is>
      </c>
      <c r="G2537" s="12" t="inlineStr">
        <is>
          <t>시연 미팅으로 화요일 오후 2시 괜찮으신가요?</t>
        </is>
      </c>
      <c r="H2537" s="9">
        <f>HYPERLINK("https://www.youtube.com/watch?v=BqQecvVoMLc", "영상 보기 ▶")</f>
        <v/>
      </c>
    </row>
    <row r="2538" ht="26" customHeight="1">
      <c r="A2538" s="2" t="n">
        <v>2537</v>
      </c>
      <c r="B2538" s="3" t="inlineStr">
        <is>
          <t>전화영어 특강</t>
        </is>
      </c>
      <c r="C2538" s="3" t="inlineStr">
        <is>
          <t>전화 영어</t>
        </is>
      </c>
      <c r="D2538" s="4" t="inlineStr">
        <is>
          <t>Can we reschedule? Something came up.</t>
        </is>
      </c>
      <c r="E2538" s="11" t="inlineStr">
        <is>
          <t>일정을 다시 잡거나 변경할 때 (급한 일이 생겨서 그런데 일정 재조정 가능할까요?)</t>
        </is>
      </c>
      <c r="F2538" s="11" t="inlineStr">
        <is>
          <t>I'm so sorry, but something came up. Can we reschedule for Friday?</t>
        </is>
      </c>
      <c r="G2538" s="11" t="inlineStr">
        <is>
          <t>정말 죄송하지만 급한 일이 생겨서요, 금요일로 일정을 다시 잡을 수 있을까요?</t>
        </is>
      </c>
      <c r="H2538" s="5">
        <f>HYPERLINK("https://www.youtube.com/watch?v=BqQecvVoMLc", "영상 보기 ▶")</f>
        <v/>
      </c>
    </row>
    <row r="2539" ht="26" customHeight="1">
      <c r="A2539" s="6" t="n">
        <v>2538</v>
      </c>
      <c r="B2539" s="7" t="inlineStr">
        <is>
          <t>전화영어 특강</t>
        </is>
      </c>
      <c r="C2539" s="7" t="inlineStr">
        <is>
          <t>전화 영어</t>
        </is>
      </c>
      <c r="D2539" s="8" t="inlineStr">
        <is>
          <t>Let me know if anything changes.</t>
        </is>
      </c>
      <c r="E2539" s="12" t="inlineStr">
        <is>
          <t>변동 사항이 생기면 알려달라고 할 때 (일정에 변동이 생기면 알려주세요)</t>
        </is>
      </c>
      <c r="F2539" s="12" t="inlineStr">
        <is>
          <t>See you Thursday, and please let me know if anything changes.</t>
        </is>
      </c>
      <c r="G2539" s="12" t="inlineStr">
        <is>
          <t>목요일에 뵙고, 혹시라도 변동 사항이 생기면 말씀해 주세요.</t>
        </is>
      </c>
      <c r="H2539" s="9">
        <f>HYPERLINK("https://www.youtube.com/watch?v=BqQecvVoMLc", "영상 보기 ▶")</f>
        <v/>
      </c>
    </row>
    <row r="2540" ht="26" customHeight="1">
      <c r="A2540" s="2" t="n">
        <v>2539</v>
      </c>
      <c r="B2540" s="3" t="inlineStr">
        <is>
          <t>전화영어 특강</t>
        </is>
      </c>
      <c r="C2540" s="3" t="inlineStr">
        <is>
          <t>전화 영어</t>
        </is>
      </c>
      <c r="D2540" s="4" t="inlineStr">
        <is>
          <t>It was nice talking to you.</t>
        </is>
      </c>
      <c r="E2540" s="11" t="inlineStr">
        <is>
          <t>통화 마무리 인사 (오늘 통화 즐거웠습니다 / 말씀 나눠서 좋았습니다)</t>
        </is>
      </c>
      <c r="F2540" s="11" t="inlineStr">
        <is>
          <t>Thank you for your insights; it was really nice talking to you.</t>
        </is>
      </c>
      <c r="G2540" s="11" t="inlineStr">
        <is>
          <t>좋은 의견 감사드립니다, 오늘 통화 나눠서 정말 즐거웠습니다.</t>
        </is>
      </c>
      <c r="H2540" s="5">
        <f>HYPERLINK("https://www.youtube.com/watch?v=BqQecvVoMLc", "영상 보기 ▶")</f>
        <v/>
      </c>
    </row>
    <row r="2541" ht="26" customHeight="1">
      <c r="A2541" s="6" t="n">
        <v>2540</v>
      </c>
      <c r="B2541" s="7" t="inlineStr">
        <is>
          <t>전화영어 특강</t>
        </is>
      </c>
      <c r="C2541" s="7" t="inlineStr">
        <is>
          <t>전화 영어</t>
        </is>
      </c>
      <c r="D2541" s="8" t="inlineStr">
        <is>
          <t>Thank you for letting me know.</t>
        </is>
      </c>
      <c r="E2541" s="12" t="inlineStr">
        <is>
          <t>상대가 정보를 공유해 줘서 고마울 때 (알려주셔서 감사합니다)</t>
        </is>
      </c>
      <c r="F2541" s="12" t="inlineStr">
        <is>
          <t>I appreciate the quick update; thank you for letting me know.</t>
        </is>
      </c>
      <c r="G2541" s="12" t="inlineStr">
        <is>
          <t>빠른 업데이트 감사드려요, 미리 알려주셔서 고맙습니다.</t>
        </is>
      </c>
      <c r="H2541" s="9">
        <f>HYPERLINK("https://www.youtube.com/watch?v=BqQecvVoMLc", "영상 보기 ▶")</f>
        <v/>
      </c>
    </row>
    <row r="2542" ht="26" customHeight="1">
      <c r="A2542" s="2" t="n">
        <v>2541</v>
      </c>
      <c r="B2542" s="3" t="inlineStr">
        <is>
          <t>전화영어 특강</t>
        </is>
      </c>
      <c r="C2542" s="3" t="inlineStr">
        <is>
          <t>전화 영어</t>
        </is>
      </c>
      <c r="D2542" s="4" t="inlineStr">
        <is>
          <t>I'll let you go now.</t>
        </is>
      </c>
      <c r="E2542" s="11" t="inlineStr">
        <is>
          <t>상대를 배려하며 전화를 끊을 때 (이만 바쁘실 텐데 끊어드릴게요/보내드릴게요)</t>
        </is>
      </c>
      <c r="F2542" s="11" t="inlineStr">
        <is>
          <t>I know you have another meeting, so I'll let you go now.</t>
        </is>
      </c>
      <c r="G2542" s="11" t="inlineStr">
        <is>
          <t>다음 회의가 있으신 것 같으니 이만 통화 끊어드릴게요.</t>
        </is>
      </c>
      <c r="H2542" s="5">
        <f>HYPERLINK("https://www.youtube.com/watch?v=BqQecvVoMLc", "영상 보기 ▶")</f>
        <v/>
      </c>
    </row>
    <row r="2543" ht="26" customHeight="1">
      <c r="A2543" s="6" t="n">
        <v>2542</v>
      </c>
      <c r="B2543" s="7" t="inlineStr">
        <is>
          <t>전화영어 특강</t>
        </is>
      </c>
      <c r="C2543" s="7" t="inlineStr">
        <is>
          <t>전화 영어</t>
        </is>
      </c>
      <c r="D2543" s="8" t="inlineStr">
        <is>
          <t>Let me know if you have any questions.</t>
        </is>
      </c>
      <c r="E2543" s="12" t="inlineStr">
        <is>
          <t>추가 질문이 있는지 물어볼 때 (더 궁금하신 점 있으시면 언제든 말씀해 주세요)</t>
        </is>
      </c>
      <c r="F2543" s="12" t="inlineStr">
        <is>
          <t>I just sent the files; let me know if you have any questions.</t>
        </is>
      </c>
      <c r="G2543" s="12" t="inlineStr">
        <is>
          <t>파일 방금 보내드렸으니 보시고 궁금한 점 있으시면 언제든 말씀해 주세요.</t>
        </is>
      </c>
      <c r="H2543" s="9">
        <f>HYPERLINK("https://www.youtube.com/watch?v=BqQecvVoMLc", "영상 보기 ▶")</f>
        <v/>
      </c>
    </row>
    <row r="2544" ht="26" customHeight="1">
      <c r="A2544" s="2" t="n">
        <v>2543</v>
      </c>
      <c r="B2544" s="3" t="inlineStr">
        <is>
          <t>전화영어 특강</t>
        </is>
      </c>
      <c r="C2544" s="3" t="inlineStr">
        <is>
          <t>전화 영어</t>
        </is>
      </c>
      <c r="D2544" s="4" t="inlineStr">
        <is>
          <t>I'll be in touch.</t>
        </is>
      </c>
      <c r="E2544" s="11" t="inlineStr">
        <is>
          <t>추후 다시 연락하겠다고 할 때 (제가 다시 연락드리겠습니다)</t>
        </is>
      </c>
      <c r="F2544" s="11" t="inlineStr">
        <is>
          <t>Once the board approves, I'll be in touch immediately.</t>
        </is>
      </c>
      <c r="G2544" s="11" t="inlineStr">
        <is>
          <t>이사회 승인이 떨어지는 대로 즉시 다시 연락드리겠습니다.</t>
        </is>
      </c>
      <c r="H2544" s="5">
        <f>HYPERLINK("https://www.youtube.com/watch?v=BqQecvVoMLc", "영상 보기 ▶")</f>
        <v/>
      </c>
    </row>
    <row r="2545" ht="26" customHeight="1">
      <c r="A2545" s="6" t="n">
        <v>2544</v>
      </c>
      <c r="B2545" s="7" t="inlineStr">
        <is>
          <t>전화영어 특강</t>
        </is>
      </c>
      <c r="C2545" s="7" t="inlineStr">
        <is>
          <t>전화 영어</t>
        </is>
      </c>
      <c r="D2545" s="8" t="inlineStr">
        <is>
          <t>I'll touch base with you next week.</t>
        </is>
      </c>
      <c r="E2545" s="12" t="inlineStr">
        <is>
          <t>확인차 가볍게 다시 연락하겠다고 할 때 (다음 주에 가볍게 다시 연락드릴게요)</t>
        </is>
      </c>
      <c r="F2545" s="12" t="inlineStr">
        <is>
          <t>Enjoy your trip, and I'll touch base with you next week.</t>
        </is>
      </c>
      <c r="G2545" s="12" t="inlineStr">
        <is>
          <t>출장 잘 다녀오시고, 다음 주에 확인차 가볍게 다시 연락드릴게요.</t>
        </is>
      </c>
      <c r="H2545" s="9">
        <f>HYPERLINK("https://www.youtube.com/watch?v=BqQecvVoMLc", "영상 보기 ▶")</f>
        <v/>
      </c>
    </row>
    <row r="2546" ht="26" customHeight="1">
      <c r="A2546" s="2" t="n">
        <v>2545</v>
      </c>
      <c r="B2546" s="3" t="inlineStr">
        <is>
          <t>전화영어 특강</t>
        </is>
      </c>
      <c r="C2546" s="3" t="inlineStr">
        <is>
          <t>전화 영어</t>
        </is>
      </c>
      <c r="D2546" s="4" t="inlineStr">
        <is>
          <t>Have a good one! / Enjoy the rest of your day.</t>
        </is>
      </c>
      <c r="E2546" s="11" t="inlineStr">
        <is>
          <t>통화 끝맺음 덕담 (좋은 하루 보내세요 / 남은 하루도 즐겁게 보내세요)</t>
        </is>
      </c>
      <c r="F2546" s="11" t="inlineStr">
        <is>
          <t>Thanks again for your help. Have a good one!</t>
        </is>
      </c>
      <c r="G2546" s="11" t="inlineStr">
        <is>
          <t>도와주셔서 다시 한번 감사드립니다. 좋은 하루 보내세요!</t>
        </is>
      </c>
      <c r="H2546" s="5">
        <f>HYPERLINK("https://www.youtube.com/watch?v=BqQecvVoMLc", "영상 보기 ▶")</f>
        <v/>
      </c>
    </row>
    <row r="2547" ht="26" customHeight="1">
      <c r="A2547" s="6" t="n">
        <v>2546</v>
      </c>
      <c r="B2547" s="7" t="inlineStr">
        <is>
          <t>대화센스 20선</t>
        </is>
      </c>
      <c r="C2547" s="7" t="inlineStr">
        <is>
          <t>대화 센스/매너</t>
        </is>
      </c>
      <c r="D2547" s="8" t="inlineStr">
        <is>
          <t>I can always find/make time for you.</t>
        </is>
      </c>
      <c r="E2547" s="12" t="inlineStr">
        <is>
          <t>우리 사이에 언제든 시간 낼 수 있지, 뭐.</t>
        </is>
      </c>
      <c r="F2547" s="12" t="inlineStr">
        <is>
          <t>A: Thank you for taking time out of your busy schedule.</t>
        </is>
      </c>
      <c r="G2547" s="12" t="inlineStr">
        <is>
          <t>바쁘실텐데 이렇게 시간 내어주셔서 감사해요.</t>
        </is>
      </c>
      <c r="H2547" s="9">
        <f>HYPERLINK("https://www.youtube.com/watch?v=m77Sbt6TC2o", "영상 보기 ▶")</f>
        <v/>
      </c>
    </row>
    <row r="2548" ht="26" customHeight="1">
      <c r="A2548" s="2" t="n">
        <v>2547</v>
      </c>
      <c r="B2548" s="3" t="inlineStr">
        <is>
          <t>대화센스 20선</t>
        </is>
      </c>
      <c r="C2548" s="3" t="inlineStr">
        <is>
          <t>대화 센스/매너</t>
        </is>
      </c>
      <c r="D2548" s="4" t="inlineStr">
        <is>
          <t>I wouldn't miss it for the world.</t>
        </is>
      </c>
      <c r="E2548" s="11" t="inlineStr">
        <is>
          <t>무슨 일이 있어도 꼭 가야지.</t>
        </is>
      </c>
      <c r="F2548" s="11" t="inlineStr">
        <is>
          <t>A: Do you think you can make it?</t>
        </is>
      </c>
      <c r="G2548" s="11" t="inlineStr">
        <is>
          <t>올 수 있을 것 같아?</t>
        </is>
      </c>
      <c r="H2548" s="5">
        <f>HYPERLINK("https://www.youtube.com/watch?v=m77Sbt6TC2o", "영상 보기 ▶")</f>
        <v/>
      </c>
    </row>
    <row r="2549" ht="26" customHeight="1">
      <c r="A2549" s="6" t="n">
        <v>2548</v>
      </c>
      <c r="B2549" s="7" t="inlineStr">
        <is>
          <t>대화센스 20선</t>
        </is>
      </c>
      <c r="C2549" s="7" t="inlineStr">
        <is>
          <t>대화 센스/매너</t>
        </is>
      </c>
      <c r="D2549" s="8" t="inlineStr">
        <is>
          <t>You made it!</t>
        </is>
      </c>
      <c r="E2549" s="12" t="inlineStr">
        <is>
          <t>왔구나!</t>
        </is>
      </c>
      <c r="F2549" s="12" t="inlineStr">
        <is>
          <t>I'm glad you made it.</t>
        </is>
      </c>
      <c r="G2549" s="12" t="inlineStr">
        <is>
          <t>네가 와줘서 좋은걸.</t>
        </is>
      </c>
      <c r="H2549" s="9">
        <f>HYPERLINK("https://www.youtube.com/watch?v=m77Sbt6TC2o", "영상 보기 ▶")</f>
        <v/>
      </c>
    </row>
    <row r="2550" ht="26" customHeight="1">
      <c r="A2550" s="2" t="n">
        <v>2549</v>
      </c>
      <c r="B2550" s="3" t="inlineStr">
        <is>
          <t>대화센스 20선</t>
        </is>
      </c>
      <c r="C2550" s="3" t="inlineStr">
        <is>
          <t>대화 센스/매너</t>
        </is>
      </c>
      <c r="D2550" s="4" t="inlineStr">
        <is>
          <t>I'm just a phone call away.</t>
        </is>
      </c>
      <c r="E2550" s="11" t="inlineStr">
        <is>
          <t>내게 언제든 전화해.</t>
        </is>
      </c>
      <c r="F2550" s="11" t="inlineStr">
        <is>
          <t>If you need anything at all, I'm just a phone call away.</t>
        </is>
      </c>
      <c r="G2550" s="11" t="inlineStr">
        <is>
          <t>조금이라도 필요한게 있으면 언제든 전화해.</t>
        </is>
      </c>
      <c r="H2550" s="5">
        <f>HYPERLINK("https://www.youtube.com/watch?v=m77Sbt6TC2o", "영상 보기 ▶")</f>
        <v/>
      </c>
    </row>
    <row r="2551" ht="26" customHeight="1">
      <c r="A2551" s="6" t="n">
        <v>2550</v>
      </c>
      <c r="B2551" s="7" t="inlineStr">
        <is>
          <t>대화센스 20선</t>
        </is>
      </c>
      <c r="C2551" s="7" t="inlineStr">
        <is>
          <t>대화 센스/매너</t>
        </is>
      </c>
      <c r="D2551" s="8" t="inlineStr">
        <is>
          <t>No one deserves it more than you.</t>
        </is>
      </c>
      <c r="E2551" s="12" t="inlineStr">
        <is>
          <t>그 누구보다 열심히 했는데 당연히 네가 돼야지.</t>
        </is>
      </c>
      <c r="F2551" s="12" t="inlineStr">
        <is>
          <t>Nice work. No one deserves it more.</t>
        </is>
      </c>
      <c r="G2551" s="12" t="inlineStr">
        <is>
          <t>잘했어. 네가 제일 그럴 자격있어.</t>
        </is>
      </c>
      <c r="H2551" s="9">
        <f>HYPERLINK("https://www.youtube.com/watch?v=m77Sbt6TC2o", "영상 보기 ▶")</f>
        <v/>
      </c>
    </row>
    <row r="2552" ht="26" customHeight="1">
      <c r="A2552" s="2" t="n">
        <v>2551</v>
      </c>
      <c r="B2552" s="3" t="inlineStr">
        <is>
          <t>대화센스 20선</t>
        </is>
      </c>
      <c r="C2552" s="3" t="inlineStr">
        <is>
          <t>대화 센스/매너</t>
        </is>
      </c>
      <c r="D2552" s="4" t="inlineStr">
        <is>
          <t>Thank you for the pep talk.</t>
        </is>
      </c>
      <c r="E2552" s="11" t="inlineStr">
        <is>
          <t>응원해주셔서 감사합니다.</t>
        </is>
      </c>
      <c r="F2552" s="11" t="inlineStr">
        <is>
          <t>A: Thank you for the pep talk.</t>
        </is>
      </c>
      <c r="G2552" s="11" t="inlineStr">
        <is>
          <t>격려해주셔서 감사해요.</t>
        </is>
      </c>
      <c r="H2552" s="5">
        <f>HYPERLINK("https://www.youtube.com/watch?v=m77Sbt6TC2o", "영상 보기 ▶")</f>
        <v/>
      </c>
    </row>
    <row r="2553" ht="26" customHeight="1">
      <c r="A2553" s="6" t="n">
        <v>2552</v>
      </c>
      <c r="B2553" s="7" t="inlineStr">
        <is>
          <t>대화센스 20선</t>
        </is>
      </c>
      <c r="C2553" s="7" t="inlineStr">
        <is>
          <t>대화 센스/매너</t>
        </is>
      </c>
      <c r="D2553" s="8" t="inlineStr">
        <is>
          <t>It was nice talking to you.</t>
        </is>
      </c>
      <c r="E2553" s="12" t="inlineStr">
        <is>
          <t>얘기 즐거웠어.</t>
        </is>
      </c>
      <c r="F2553" s="12" t="inlineStr">
        <is>
          <t>A: Well, it was nice talking to you.</t>
        </is>
      </c>
      <c r="G2553" s="12" t="inlineStr">
        <is>
          <t>통화해서 즐거웠어.</t>
        </is>
      </c>
      <c r="H2553" s="9">
        <f>HYPERLINK("https://www.youtube.com/watch?v=m77Sbt6TC2o", "영상 보기 ▶")</f>
        <v/>
      </c>
    </row>
    <row r="2554" ht="26" customHeight="1">
      <c r="A2554" s="2" t="n">
        <v>2553</v>
      </c>
      <c r="B2554" s="3" t="inlineStr">
        <is>
          <t>대화센스 20선</t>
        </is>
      </c>
      <c r="C2554" s="3" t="inlineStr">
        <is>
          <t>대화 센스/매너</t>
        </is>
      </c>
      <c r="D2554" s="4" t="inlineStr">
        <is>
          <t>It was nice meeting you. (초면)</t>
        </is>
      </c>
      <c r="E2554" s="11" t="inlineStr">
        <is>
          <t>상대방을 기분 좋게 해주는 센스 있는 표현</t>
        </is>
      </c>
      <c r="F2554" s="11" t="inlineStr">
        <is>
          <t>It was nice meeting you. (초면)</t>
        </is>
      </c>
      <c r="G2554" s="11" t="inlineStr">
        <is>
          <t>상대방을 기분 좋게 해주는 센스 있는 표현</t>
        </is>
      </c>
      <c r="H2554" s="5">
        <f>HYPERLINK("https://www.youtube.com/watch?v=m77Sbt6TC2o", "영상 보기 ▶")</f>
        <v/>
      </c>
    </row>
    <row r="2555" ht="26" customHeight="1">
      <c r="A2555" s="6" t="n">
        <v>2554</v>
      </c>
      <c r="B2555" s="7" t="inlineStr">
        <is>
          <t>대화센스 20선</t>
        </is>
      </c>
      <c r="C2555" s="7" t="inlineStr">
        <is>
          <t>대화 센스/매너</t>
        </is>
      </c>
      <c r="D2555" s="8" t="inlineStr">
        <is>
          <t>It was nice seeing you. (구면)</t>
        </is>
      </c>
      <c r="E2555" s="12" t="inlineStr">
        <is>
          <t>상대방을 기분 좋게 해주는 센스 있는 표현</t>
        </is>
      </c>
      <c r="F2555" s="12" t="inlineStr">
        <is>
          <t>A: It was nice meeting you.</t>
        </is>
      </c>
      <c r="G2555" s="12" t="inlineStr">
        <is>
          <t>만나서 반가웠어요.</t>
        </is>
      </c>
      <c r="H2555" s="9">
        <f>HYPERLINK("https://www.youtube.com/watch?v=m77Sbt6TC2o", "영상 보기 ▶")</f>
        <v/>
      </c>
    </row>
    <row r="2556" ht="26" customHeight="1">
      <c r="A2556" s="2" t="n">
        <v>2555</v>
      </c>
      <c r="B2556" s="3" t="inlineStr">
        <is>
          <t>대화센스 20선</t>
        </is>
      </c>
      <c r="C2556" s="3" t="inlineStr">
        <is>
          <t>대화 센스/매너</t>
        </is>
      </c>
      <c r="D2556" s="4" t="inlineStr">
        <is>
          <t>I'll let you go now.</t>
        </is>
      </c>
      <c r="E2556" s="11" t="inlineStr">
        <is>
          <t>이제 그만 가볼게.</t>
        </is>
      </c>
      <c r="F2556" s="11" t="inlineStr">
        <is>
          <t>Well, I know you're busy, so I'll let you go now.</t>
        </is>
      </c>
      <c r="G2556" s="11" t="inlineStr">
        <is>
          <t>바쁠텐데 이만 전화 끊을게.</t>
        </is>
      </c>
      <c r="H2556" s="5">
        <f>HYPERLINK("https://www.youtube.com/watch?v=m77Sbt6TC2o", "영상 보기 ▶")</f>
        <v/>
      </c>
    </row>
    <row r="2557" ht="26" customHeight="1">
      <c r="A2557" s="6" t="n">
        <v>2556</v>
      </c>
      <c r="B2557" s="7" t="inlineStr">
        <is>
          <t>대화센스 20선</t>
        </is>
      </c>
      <c r="C2557" s="7" t="inlineStr">
        <is>
          <t>대화 센스/매너</t>
        </is>
      </c>
      <c r="D2557" s="8" t="inlineStr">
        <is>
          <t>It's always nice to hear your voice.</t>
        </is>
      </c>
      <c r="E2557" s="12" t="inlineStr">
        <is>
          <t>네 목소리 듣는 건 언제든 좋아.</t>
        </is>
      </c>
      <c r="F2557" s="12" t="inlineStr">
        <is>
          <t>Always so lovely to hear your voice.</t>
        </is>
      </c>
      <c r="G2557" s="12" t="inlineStr">
        <is>
          <t>네 목소리 듣는 건 언제든 좋네.</t>
        </is>
      </c>
      <c r="H2557" s="9">
        <f>HYPERLINK("https://www.youtube.com/watch?v=m77Sbt6TC2o", "영상 보기 ▶")</f>
        <v/>
      </c>
    </row>
    <row r="2558" ht="26" customHeight="1">
      <c r="A2558" s="2" t="n">
        <v>2557</v>
      </c>
      <c r="B2558" s="3" t="inlineStr">
        <is>
          <t>대화센스 20선</t>
        </is>
      </c>
      <c r="C2558" s="3" t="inlineStr">
        <is>
          <t>대화 센스/매너</t>
        </is>
      </c>
      <c r="D2558" s="4" t="inlineStr">
        <is>
          <t>I wish I could.</t>
        </is>
      </c>
      <c r="E2558" s="11" t="inlineStr">
        <is>
          <t>그럴 수 있다면 좋겠어.</t>
        </is>
      </c>
      <c r="F2558" s="11" t="inlineStr">
        <is>
          <t>A: Why don't you stay for dinner?</t>
        </is>
      </c>
      <c r="G2558" s="11" t="inlineStr">
        <is>
          <t>저녁 먹고 가는게 어때?</t>
        </is>
      </c>
      <c r="H2558" s="5">
        <f>HYPERLINK("https://www.youtube.com/watch?v=m77Sbt6TC2o", "영상 보기 ▶")</f>
        <v/>
      </c>
    </row>
    <row r="2559" ht="26" customHeight="1">
      <c r="A2559" s="6" t="n">
        <v>2558</v>
      </c>
      <c r="B2559" s="7" t="inlineStr">
        <is>
          <t>대화센스 20선</t>
        </is>
      </c>
      <c r="C2559" s="7" t="inlineStr">
        <is>
          <t>대화 센스/매너</t>
        </is>
      </c>
      <c r="D2559" s="8" t="inlineStr">
        <is>
          <t>What would I do without you?</t>
        </is>
      </c>
      <c r="E2559" s="12" t="inlineStr">
        <is>
          <t>너 없으면 어쩔뻔 했어</t>
        </is>
      </c>
      <c r="F2559" s="12" t="inlineStr">
        <is>
          <t>What would I do without you?</t>
        </is>
      </c>
      <c r="G2559" s="12" t="inlineStr">
        <is>
          <t>너 없으면 어쩔뻔 했어</t>
        </is>
      </c>
      <c r="H2559" s="9">
        <f>HYPERLINK("https://www.youtube.com/watch?v=m77Sbt6TC2o", "영상 보기 ▶")</f>
        <v/>
      </c>
    </row>
    <row r="2560" ht="26" customHeight="1">
      <c r="A2560" s="2" t="n">
        <v>2559</v>
      </c>
      <c r="B2560" s="3" t="inlineStr">
        <is>
          <t>대화센스 20선</t>
        </is>
      </c>
      <c r="C2560" s="3" t="inlineStr">
        <is>
          <t>대화 센스/매너</t>
        </is>
      </c>
      <c r="D2560" s="4" t="inlineStr">
        <is>
          <t>Maybe another time.</t>
        </is>
      </c>
      <c r="E2560" s="11" t="inlineStr">
        <is>
          <t>다음에 할게요.</t>
        </is>
      </c>
      <c r="F2560" s="11" t="inlineStr">
        <is>
          <t>B: Maybe another time.</t>
        </is>
      </c>
      <c r="G2560" s="11" t="inlineStr">
        <is>
          <t>다음에 할게요.</t>
        </is>
      </c>
      <c r="H2560" s="5">
        <f>HYPERLINK("https://www.youtube.com/watch?v=m77Sbt6TC2o", "영상 보기 ▶")</f>
        <v/>
      </c>
    </row>
    <row r="2561" ht="26" customHeight="1">
      <c r="A2561" s="6" t="n">
        <v>2560</v>
      </c>
      <c r="B2561" s="7" t="inlineStr">
        <is>
          <t>대화센스 20선</t>
        </is>
      </c>
      <c r="C2561" s="7" t="inlineStr">
        <is>
          <t>대화 센스/매너</t>
        </is>
      </c>
      <c r="D2561" s="8" t="inlineStr">
        <is>
          <t>Everyone speaks highly of you.</t>
        </is>
      </c>
      <c r="E2561" s="12" t="inlineStr">
        <is>
          <t>좋은 말씀 많이 들었어요,</t>
        </is>
      </c>
      <c r="F2561" s="12" t="inlineStr">
        <is>
          <t>Everyone speaks highly of you, and I can see why.</t>
        </is>
      </c>
      <c r="G2561" s="12" t="inlineStr">
        <is>
          <t>다들 좋은 말씀 많이 하시던데, 왜 그런지 알 것 같네요.</t>
        </is>
      </c>
      <c r="H2561" s="9">
        <f>HYPERLINK("https://www.youtube.com/watch?v=m77Sbt6TC2o", "영상 보기 ▶")</f>
        <v/>
      </c>
    </row>
    <row r="2562" ht="26" customHeight="1">
      <c r="A2562" s="2" t="n">
        <v>2561</v>
      </c>
      <c r="B2562" s="3" t="inlineStr">
        <is>
          <t>대화센스 20선</t>
        </is>
      </c>
      <c r="C2562" s="3" t="inlineStr">
        <is>
          <t>대화 센스/매너</t>
        </is>
      </c>
      <c r="D2562" s="4" t="inlineStr">
        <is>
          <t>I can see where Mike gets his good looks.</t>
        </is>
      </c>
      <c r="E2562" s="11" t="inlineStr">
        <is>
          <t>Mike가 아버님을 닮아서 미남이었군요.</t>
        </is>
      </c>
      <c r="F2562" s="11" t="inlineStr">
        <is>
          <t>I can see where Mike gets his good looks.</t>
        </is>
      </c>
      <c r="G2562" s="11" t="inlineStr">
        <is>
          <t>Mike가 아버님을 닮아서 미남이었군요.</t>
        </is>
      </c>
      <c r="H2562" s="5">
        <f>HYPERLINK("https://www.youtube.com/watch?v=m77Sbt6TC2o", "영상 보기 ▶")</f>
        <v/>
      </c>
    </row>
    <row r="2563" ht="26" customHeight="1">
      <c r="A2563" s="6" t="n">
        <v>2562</v>
      </c>
      <c r="B2563" s="7" t="inlineStr">
        <is>
          <t>대화센스 20선</t>
        </is>
      </c>
      <c r="C2563" s="7" t="inlineStr">
        <is>
          <t>대화 센스/매너</t>
        </is>
      </c>
      <c r="D2563" s="8" t="inlineStr">
        <is>
          <t>I learned from the best.</t>
        </is>
      </c>
      <c r="E2563" s="12" t="inlineStr">
        <is>
          <t>다 최고한테 배워서 그런걸요.</t>
        </is>
      </c>
      <c r="F2563" s="12" t="inlineStr">
        <is>
          <t>A: I’m so proud of you.</t>
        </is>
      </c>
      <c r="G2563" s="12" t="inlineStr">
        <is>
          <t>정말 대단한걸.</t>
        </is>
      </c>
      <c r="H2563" s="9">
        <f>HYPERLINK("https://www.youtube.com/watch?v=m77Sbt6TC2o", "영상 보기 ▶")</f>
        <v/>
      </c>
    </row>
    <row r="2564" ht="26" customHeight="1">
      <c r="A2564" s="2" t="n">
        <v>2563</v>
      </c>
      <c r="B2564" s="3" t="inlineStr">
        <is>
          <t>대화센스 20선</t>
        </is>
      </c>
      <c r="C2564" s="3" t="inlineStr">
        <is>
          <t>대화 센스/매너</t>
        </is>
      </c>
      <c r="D2564" s="4" t="inlineStr">
        <is>
          <t>Couldn’t be better.</t>
        </is>
      </c>
      <c r="E2564" s="11" t="inlineStr">
        <is>
          <t>이보다 더 좋을 순 없지.</t>
        </is>
      </c>
      <c r="F2564" s="11" t="inlineStr">
        <is>
          <t>A: How’s everything?</t>
        </is>
      </c>
      <c r="G2564" s="11" t="inlineStr">
        <is>
          <t>음식은 다 어떠신가요?</t>
        </is>
      </c>
      <c r="H2564" s="5">
        <f>HYPERLINK("https://www.youtube.com/watch?v=m77Sbt6TC2o", "영상 보기 ▶")</f>
        <v/>
      </c>
    </row>
    <row r="2565" ht="26" customHeight="1">
      <c r="A2565" s="6" t="n">
        <v>2564</v>
      </c>
      <c r="B2565" s="7" t="inlineStr">
        <is>
          <t>대화센스 20선</t>
        </is>
      </c>
      <c r="C2565" s="7" t="inlineStr">
        <is>
          <t>대화 센스/매너</t>
        </is>
      </c>
      <c r="D2565" s="8" t="inlineStr">
        <is>
          <t>Could be worse.</t>
        </is>
      </c>
      <c r="E2565" s="12" t="inlineStr">
        <is>
          <t>이만하길 다행이야.</t>
        </is>
      </c>
      <c r="F2565" s="12" t="inlineStr">
        <is>
          <t>It’s not that bad. I mean, it could be worse.</t>
        </is>
      </c>
      <c r="G2565" s="12" t="inlineStr">
        <is>
          <t>그리 나쁘진 않아, 이만한게 다행인걸.</t>
        </is>
      </c>
      <c r="H2565" s="9">
        <f>HYPERLINK("https://www.youtube.com/watch?v=m77Sbt6TC2o", "영상 보기 ▶")</f>
        <v/>
      </c>
    </row>
    <row r="2566" ht="26" customHeight="1">
      <c r="A2566" s="2" t="n">
        <v>2565</v>
      </c>
      <c r="B2566" s="3" t="inlineStr">
        <is>
          <t>대화센스 20선</t>
        </is>
      </c>
      <c r="C2566" s="3" t="inlineStr">
        <is>
          <t>대화 센스/매너</t>
        </is>
      </c>
      <c r="D2566" s="4" t="inlineStr">
        <is>
          <t>Don’t be a stranger.</t>
        </is>
      </c>
      <c r="E2566" s="11" t="inlineStr">
        <is>
          <t>연락하고 지내자.</t>
        </is>
      </c>
      <c r="F2566" s="11" t="inlineStr">
        <is>
          <t>A: Don’t be a stanger.</t>
        </is>
      </c>
      <c r="G2566" s="11" t="inlineStr">
        <is>
          <t>종종 연락하고 지내자.</t>
        </is>
      </c>
      <c r="H2566" s="5">
        <f>HYPERLINK("https://www.youtube.com/watch?v=m77Sbt6TC2o", "영상 보기 ▶")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8" customWidth="1" min="3" max="3"/>
    <col width="48" customWidth="1" min="4" max="4"/>
    <col width="57" customWidth="1" min="5" max="5"/>
    <col width="57.2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1</v>
      </c>
      <c r="B2" s="3" t="inlineStr">
        <is>
          <t>업무 조율</t>
        </is>
      </c>
      <c r="C2" s="4" t="inlineStr">
        <is>
          <t>come up with</t>
        </is>
      </c>
      <c r="D2" s="11" t="inlineStr">
        <is>
          <t>(돈, 해결책, 아이디어 등을) 생각해내다, 마련하다</t>
        </is>
      </c>
      <c r="E2" s="11" t="inlineStr">
        <is>
          <t>Can you come up with a solution?</t>
        </is>
      </c>
      <c r="F2" s="11" t="inlineStr">
        <is>
          <t>해결책 좀 생각해낼 수 있어?</t>
        </is>
      </c>
      <c r="G2" s="5">
        <f>HYPERLINK("https://www.youtube.com/watch?v=uKoTQ_r5KvM", "영상 보기 ▶")</f>
        <v/>
      </c>
    </row>
    <row r="3" ht="26" customHeight="1">
      <c r="A3" s="6" t="n">
        <v>2</v>
      </c>
      <c r="B3" s="7" t="inlineStr">
        <is>
          <t>업무 조율</t>
        </is>
      </c>
      <c r="C3" s="8" t="inlineStr">
        <is>
          <t>put together</t>
        </is>
      </c>
      <c r="D3" s="12" t="inlineStr">
        <is>
          <t>(자료, 프레젠테이션, 부품 등을) 준비하다, 취합하다</t>
        </is>
      </c>
      <c r="E3" s="12" t="inlineStr">
        <is>
          <t>Could you put together a presentation for tomorrow?</t>
        </is>
      </c>
      <c r="F3" s="12" t="inlineStr">
        <is>
          <t>내일 프레젠테이션 좀 준비해 줄 수 있어?</t>
        </is>
      </c>
      <c r="G3" s="9">
        <f>HYPERLINK("https://www.youtube.com/watch?v=uKoTQ_r5KvM", "영상 보기 ▶")</f>
        <v/>
      </c>
    </row>
    <row r="4" ht="26" customHeight="1">
      <c r="A4" s="2" t="n">
        <v>3</v>
      </c>
      <c r="B4" s="3" t="inlineStr">
        <is>
          <t>일정/효과</t>
        </is>
      </c>
      <c r="C4" s="4" t="inlineStr">
        <is>
          <t>work</t>
        </is>
      </c>
      <c r="D4" s="11" t="inlineStr">
        <is>
          <t>① 일하다/야근하다 ② (일정이) 되다/괜찮다 ③ 작동하다/효과가 있다</t>
        </is>
      </c>
      <c r="E4" s="11" t="inlineStr">
        <is>
          <t>Does Friday work for you? / It really works.</t>
        </is>
      </c>
      <c r="F4" s="11" t="inlineStr">
        <is>
          <t>금요일 괜찮아? / 그거 진짜 효과 있어.</t>
        </is>
      </c>
      <c r="G4" s="5">
        <f>HYPERLINK("https://www.youtube.com/watch?v=uKoTQ_r5KvM", "영상 보기 ▶")</f>
        <v/>
      </c>
    </row>
    <row r="5" ht="26" customHeight="1">
      <c r="A5" s="6" t="n">
        <v>4</v>
      </c>
      <c r="B5" s="7" t="inlineStr">
        <is>
          <t>업무 조율</t>
        </is>
      </c>
      <c r="C5" s="8" t="inlineStr">
        <is>
          <t>keep (사람) posted</t>
        </is>
      </c>
      <c r="D5" s="12" t="inlineStr">
        <is>
          <t>진행 상황/현황을 계속해서 알려주다</t>
        </is>
      </c>
      <c r="E5" s="12" t="inlineStr">
        <is>
          <t>Please keep me posted.</t>
        </is>
      </c>
      <c r="F5" s="12" t="inlineStr">
        <is>
          <t>어떻게 진행되는지 계속 알려줘.</t>
        </is>
      </c>
      <c r="G5" s="9">
        <f>HYPERLINK("https://www.youtube.com/watch?v=uKoTQ_r5KvM", "영상 보기 ▶")</f>
        <v/>
      </c>
    </row>
    <row r="6" ht="26" customHeight="1">
      <c r="A6" s="2" t="n">
        <v>5</v>
      </c>
      <c r="B6" s="3" t="inlineStr">
        <is>
          <t>일정 조율</t>
        </is>
      </c>
      <c r="C6" s="4" t="inlineStr">
        <is>
          <t>move / move on</t>
        </is>
      </c>
      <c r="D6" s="11" t="inlineStr">
        <is>
          <t>① (일정을) 조정하다/옮기다 ② (다음으로) 넘어가다</t>
        </is>
      </c>
      <c r="E6" s="11" t="inlineStr">
        <is>
          <t>Let's move on to the next slide.</t>
        </is>
      </c>
      <c r="F6" s="11" t="inlineStr">
        <is>
          <t>다음 슬라이드로 넘어갑시다.</t>
        </is>
      </c>
      <c r="G6" s="5">
        <f>HYPERLINK("https://www.youtube.com/watch?v=uKoTQ_r5KvM", "영상 보기 ▶")</f>
        <v/>
      </c>
    </row>
    <row r="7" ht="26" customHeight="1">
      <c r="A7" s="6" t="n">
        <v>6</v>
      </c>
      <c r="B7" s="7" t="inlineStr">
        <is>
          <t>소통</t>
        </is>
      </c>
      <c r="C7" s="8" t="inlineStr">
        <is>
          <t>pick up</t>
        </is>
      </c>
      <c r="D7" s="12" t="inlineStr">
        <is>
          <t>① 중단된 부분부터 다시 계속하다 ② (pick up on) 눈치채다</t>
        </is>
      </c>
      <c r="E7" s="12" t="inlineStr">
        <is>
          <t>Let's pick this up tomorrow.</t>
        </is>
      </c>
      <c r="F7" s="12" t="inlineStr">
        <is>
          <t>이건 내일 이어서 계속하자.</t>
        </is>
      </c>
      <c r="G7" s="9">
        <f>HYPERLINK("https://www.youtube.com/watch?v=uKoTQ_r5KvM", "영상 보기 ▶")</f>
        <v/>
      </c>
    </row>
    <row r="8" ht="26" customHeight="1">
      <c r="A8" s="2" t="n">
        <v>7</v>
      </c>
      <c r="B8" s="3" t="inlineStr">
        <is>
          <t>비즈니스 소통</t>
        </is>
      </c>
      <c r="C8" s="4" t="inlineStr">
        <is>
          <t>let (사람) know</t>
        </is>
      </c>
      <c r="D8" s="11" t="inlineStr">
        <is>
          <t>~에게 알려주다 (말씀 부탁드립니다)</t>
        </is>
      </c>
      <c r="E8" s="11" t="inlineStr">
        <is>
          <t>Please let me know at your earliest convenience.</t>
        </is>
      </c>
      <c r="F8" s="11" t="inlineStr">
        <is>
          <t>편하실 때 말씀 부탁드립니다.</t>
        </is>
      </c>
      <c r="G8" s="5">
        <f>HYPERLINK("https://www.youtube.com/watch?v=uKoTQ_r5KvM", "영상 보기 ▶")</f>
        <v/>
      </c>
    </row>
    <row r="9" ht="26" customHeight="1">
      <c r="A9" s="6" t="n">
        <v>8</v>
      </c>
      <c r="B9" s="7" t="inlineStr">
        <is>
          <t>일정 조율</t>
        </is>
      </c>
      <c r="C9" s="8" t="inlineStr">
        <is>
          <t>at the latest / earliest</t>
        </is>
      </c>
      <c r="D9" s="12" t="inlineStr">
        <is>
          <t>늦어도 / 빨라도</t>
        </is>
      </c>
      <c r="E9" s="12" t="inlineStr">
        <is>
          <t>Please send it by Friday at the latest.</t>
        </is>
      </c>
      <c r="F9" s="12" t="inlineStr">
        <is>
          <t>늦어도 금요일까지는 보내주세요.</t>
        </is>
      </c>
      <c r="G9" s="9">
        <f>HYPERLINK("https://www.youtube.com/watch?v=uKoTQ_r5KvM", "영상 보기 ▶")</f>
        <v/>
      </c>
    </row>
    <row r="10" ht="26" customHeight="1">
      <c r="A10" s="2" t="n">
        <v>9</v>
      </c>
      <c r="B10" s="3" t="inlineStr">
        <is>
          <t>문제 해결</t>
        </is>
      </c>
      <c r="C10" s="4" t="inlineStr">
        <is>
          <t>figure out</t>
        </is>
      </c>
      <c r="D10" s="11" t="inlineStr">
        <is>
          <t>(곰곰이 생각해서) 알아내다, 해결하다</t>
        </is>
      </c>
      <c r="E10" s="11" t="inlineStr">
        <is>
          <t>We'll figure something out.</t>
        </is>
      </c>
      <c r="F10" s="11" t="inlineStr">
        <is>
          <t>우리가 어떻게든 해결책을 찾아볼게.</t>
        </is>
      </c>
      <c r="G10" s="5">
        <f>HYPERLINK("https://www.youtube.com/watch?v=uKoTQ_r5KvM", "영상 보기 ▶")</f>
        <v/>
      </c>
    </row>
    <row r="11" ht="26" customHeight="1">
      <c r="A11" s="6" t="n">
        <v>10</v>
      </c>
      <c r="B11" s="7" t="inlineStr">
        <is>
          <t>비즈니스</t>
        </is>
      </c>
      <c r="C11" s="8" t="inlineStr">
        <is>
          <t>ballpark figure</t>
        </is>
      </c>
      <c r="D11" s="12" t="inlineStr">
        <is>
          <t>어림잡은 견적, 대략적인 수치</t>
        </is>
      </c>
      <c r="E11" s="12" t="inlineStr">
        <is>
          <t>Can you give me a ballpark figure?</t>
        </is>
      </c>
      <c r="F11" s="12" t="inlineStr">
        <is>
          <t>대략 얼마 정도 나오는지 알려줄 수 있어?</t>
        </is>
      </c>
      <c r="G11" s="9">
        <f>HYPERLINK("https://www.youtube.com/watch?v=uKoTQ_r5KvM", "영상 보기 ▶")</f>
        <v/>
      </c>
    </row>
    <row r="12" ht="26" customHeight="1">
      <c r="A12" s="2" t="n">
        <v>11</v>
      </c>
      <c r="B12" s="3" t="inlineStr">
        <is>
          <t>상황 표현</t>
        </is>
      </c>
      <c r="C12" s="4" t="inlineStr">
        <is>
          <t>be stuck</t>
        </is>
      </c>
      <c r="D12" s="11" t="inlineStr">
        <is>
          <t>(안 좋은 상황/장소에) 갇혀 꼼짝 못하다</t>
        </is>
      </c>
      <c r="E12" s="11" t="inlineStr">
        <is>
          <t>I'm stuck in traffic.</t>
        </is>
      </c>
      <c r="F12" s="11" t="inlineStr">
        <is>
          <t>차가 막혀서 꼼짝 못하고 있어.</t>
        </is>
      </c>
      <c r="G12" s="5">
        <f>HYPERLINK("https://www.youtube.com/watch?v=uKoTQ_r5KvM", "영상 보기 ▶")</f>
        <v/>
      </c>
    </row>
    <row r="13" ht="26" customHeight="1">
      <c r="A13" s="6" t="n">
        <v>12</v>
      </c>
      <c r="B13" s="7" t="inlineStr">
        <is>
          <t>의견 전달</t>
        </is>
      </c>
      <c r="C13" s="8" t="inlineStr">
        <is>
          <t>I want to say ~</t>
        </is>
      </c>
      <c r="D13" s="12" t="inlineStr">
        <is>
          <t>(진심을 담아) 꼭 ~라고 말하고 싶어요</t>
        </is>
      </c>
      <c r="E13" s="12" t="inlineStr">
        <is>
          <t>I want to say thank you.</t>
        </is>
      </c>
      <c r="F13" s="12" t="inlineStr">
        <is>
          <t>정말 고맙다고 꼭 말하고 싶어.</t>
        </is>
      </c>
      <c r="G13" s="9">
        <f>HYPERLINK("https://www.youtube.com/watch?v=uKoTQ_r5KvM", "영상 보기 ▶")</f>
        <v/>
      </c>
    </row>
    <row r="14" ht="26" customHeight="1">
      <c r="A14" s="2" t="n">
        <v>13</v>
      </c>
      <c r="B14" s="3" t="inlineStr">
        <is>
          <t>소통 뉘앙스</t>
        </is>
      </c>
      <c r="C14" s="4" t="inlineStr">
        <is>
          <t>I mean it</t>
        </is>
      </c>
      <c r="D14" s="11" t="inlineStr">
        <is>
          <t>(빈말/장난이 아니라) 진심이야, 정말이야</t>
        </is>
      </c>
      <c r="E14" s="11" t="inlineStr">
        <is>
          <t>You did a great job. I mean it.</t>
        </is>
      </c>
      <c r="F14" s="11" t="inlineStr">
        <is>
          <t>너 정말 잘했어. 진심이야.</t>
        </is>
      </c>
      <c r="G14" s="5">
        <f>HYPERLINK("https://www.youtube.com/watch?v=uKoTQ_r5KvM", "영상 보기 ▶")</f>
        <v/>
      </c>
    </row>
    <row r="15" ht="26" customHeight="1">
      <c r="A15" s="6" t="n">
        <v>14</v>
      </c>
      <c r="B15" s="7" t="inlineStr">
        <is>
          <t>일상 회화</t>
        </is>
      </c>
      <c r="C15" s="8" t="inlineStr">
        <is>
          <t>grab</t>
        </is>
      </c>
      <c r="D15" s="12" t="inlineStr">
        <is>
          <t>(시간 내서 재빨리/간단히) 먹다, 사다, 잡다</t>
        </is>
      </c>
      <c r="E15" s="12" t="inlineStr">
        <is>
          <t>Let's grab lunch sometime.</t>
        </is>
      </c>
      <c r="F15" s="12" t="inlineStr">
        <is>
          <t>언제 간단히 점심이나 같이 먹자.</t>
        </is>
      </c>
      <c r="G15" s="9">
        <f>HYPERLINK("https://www.youtube.com/watch?v=uKoTQ_r5KvM", "영상 보기 ▶")</f>
        <v/>
      </c>
    </row>
    <row r="16" ht="26" customHeight="1">
      <c r="A16" s="2" t="n">
        <v>15</v>
      </c>
      <c r="B16" s="3" t="inlineStr">
        <is>
          <t>인간관계</t>
        </is>
      </c>
      <c r="C16" s="4" t="inlineStr">
        <is>
          <t>company</t>
        </is>
      </c>
      <c r="D16" s="11" t="inlineStr">
        <is>
          <t>동료, 일행, 함께 있어 줌 (발음: 캄퍼니)</t>
        </is>
      </c>
      <c r="E16" s="11" t="inlineStr">
        <is>
          <t>Thanks for your company.</t>
        </is>
      </c>
      <c r="F16" s="11" t="inlineStr">
        <is>
          <t>함께 시간 보내줘서/말동무 해줘서 고마워.</t>
        </is>
      </c>
      <c r="G16" s="5">
        <f>HYPERLINK("https://www.youtube.com/watch?v=uKoTQ_r5KvM", "영상 보기 ▶")</f>
        <v/>
      </c>
    </row>
    <row r="17" ht="26" customHeight="1">
      <c r="A17" s="6" t="n">
        <v>16</v>
      </c>
      <c r="B17" s="7" t="inlineStr">
        <is>
          <t>직장 회화</t>
        </is>
      </c>
      <c r="C17" s="8" t="inlineStr">
        <is>
          <t>work (직장)</t>
        </is>
      </c>
      <c r="D17" s="12" t="inlineStr">
        <is>
          <t>회사, 직장 (at work / get off work)</t>
        </is>
      </c>
      <c r="E17" s="12" t="inlineStr">
        <is>
          <t>I'm still at work. What time do you get off?</t>
        </is>
      </c>
      <c r="F17" s="12" t="inlineStr">
        <is>
          <t>나 아직 회사야. 너 몇 시에 퇴근해?</t>
        </is>
      </c>
      <c r="G17" s="9">
        <f>HYPERLINK("https://www.youtube.com/watch?v=uKoTQ_r5KvM", "영상 보기 ▶")</f>
        <v/>
      </c>
    </row>
    <row r="18" ht="26" customHeight="1">
      <c r="A18" s="2" t="n">
        <v>17</v>
      </c>
      <c r="B18" s="3" t="inlineStr">
        <is>
          <t>전화 매너</t>
        </is>
      </c>
      <c r="C18" s="4" t="inlineStr">
        <is>
          <t>Is this a good time?</t>
        </is>
      </c>
      <c r="D18" s="11" t="inlineStr">
        <is>
          <t>지금 통화/이야기 괜찮으세요?</t>
        </is>
      </c>
      <c r="E18" s="11" t="inlineStr">
        <is>
          <t>Hi, John. Is this a good time?</t>
        </is>
      </c>
      <c r="F18" s="11" t="inlineStr">
        <is>
          <t>존, 지금 통화 괜찮아?</t>
        </is>
      </c>
      <c r="G18" s="5">
        <f>HYPERLINK("https://www.youtube.com/watch?v=uKoTQ_r5KvM", "영상 보기 ▶")</f>
        <v/>
      </c>
    </row>
    <row r="19" ht="26" customHeight="1">
      <c r="A19" s="6" t="n">
        <v>18</v>
      </c>
      <c r="B19" s="7" t="inlineStr">
        <is>
          <t>전화 매너</t>
        </is>
      </c>
      <c r="C19" s="8" t="inlineStr">
        <is>
          <t>Did I catch you at a bad time?</t>
        </is>
      </c>
      <c r="D19" s="12" t="inlineStr">
        <is>
          <t>(상대가 바빠 보일 때) 지금 통화 곤란한 때인가요?</t>
        </is>
      </c>
      <c r="E19" s="12" t="inlineStr">
        <is>
          <t>Did I catch you at a bad time? I can call back later.</t>
        </is>
      </c>
      <c r="F19" s="12" t="inlineStr">
        <is>
          <t>혹시 지금 곤란한 때인가요? 나중에 다시 전화할게요.</t>
        </is>
      </c>
      <c r="G19" s="9">
        <f>HYPERLINK("https://www.youtube.com/watch?v=uKoTQ_r5KvM", "영상 보기 ▶")</f>
        <v/>
      </c>
    </row>
    <row r="20" ht="26" customHeight="1">
      <c r="A20" s="2" t="n">
        <v>19</v>
      </c>
      <c r="B20" s="3" t="inlineStr">
        <is>
          <t>전화 매너</t>
        </is>
      </c>
      <c r="C20" s="4" t="inlineStr">
        <is>
          <t>Sorry to call so late</t>
        </is>
      </c>
      <c r="D20" s="11" t="inlineStr">
        <is>
          <t>늦은 시간에 전화드려 죄송합니다</t>
        </is>
      </c>
      <c r="E20" s="11" t="inlineStr">
        <is>
          <t>Sorry to call so late, but I have a quick question.</t>
        </is>
      </c>
      <c r="F20" s="11" t="inlineStr">
        <is>
          <t>늦은 시간에 전화드려 죄송한데 간단한 질문이 있어요.</t>
        </is>
      </c>
      <c r="G20" s="5">
        <f>HYPERLINK("https://www.youtube.com/watch?v=uKoTQ_r5KvM", "영상 보기 ▶")</f>
        <v/>
      </c>
    </row>
    <row r="21" ht="26" customHeight="1">
      <c r="A21" s="6" t="n">
        <v>20</v>
      </c>
      <c r="B21" s="7" t="inlineStr">
        <is>
          <t>전화 매너</t>
        </is>
      </c>
      <c r="C21" s="8" t="inlineStr">
        <is>
          <t>Sorry to call so early</t>
        </is>
      </c>
      <c r="D21" s="12" t="inlineStr">
        <is>
          <t>너무 이른 시간에 전화드려 죄송합니다</t>
        </is>
      </c>
      <c r="E21" s="12" t="inlineStr">
        <is>
          <t>Sorry to call so early. Did I wake you?</t>
        </is>
      </c>
      <c r="F21" s="12" t="inlineStr">
        <is>
          <t>이른 시간에 전화해서 미안해요. 깨웠나요?</t>
        </is>
      </c>
      <c r="G21" s="9">
        <f>HYPERLINK("https://www.youtube.com/watch?v=uKoTQ_r5KvM", "영상 보기 ▶")</f>
        <v/>
      </c>
    </row>
    <row r="22" ht="26" customHeight="1">
      <c r="A22" s="2" t="n">
        <v>21</v>
      </c>
      <c r="B22" s="3" t="inlineStr">
        <is>
          <t>전화 매너</t>
        </is>
      </c>
      <c r="C22" s="4" t="inlineStr">
        <is>
          <t>May I ask who's calling?</t>
        </is>
      </c>
      <c r="D22" s="11" t="inlineStr">
        <is>
          <t>실례지만 어디 누구시라고 전해드릴까요?</t>
        </is>
      </c>
      <c r="E22" s="11" t="inlineStr">
        <is>
          <t>May I ask who's calling, please?</t>
        </is>
      </c>
      <c r="F22" s="11" t="inlineStr">
        <is>
          <t>실례지만 전화 주신 분 성함 여쭤봐도 될까요?</t>
        </is>
      </c>
      <c r="G22" s="5">
        <f>HYPERLINK("https://www.youtube.com/watch?v=uKoTQ_r5KvM", "영상 보기 ▶")</f>
        <v/>
      </c>
    </row>
    <row r="23" ht="26" customHeight="1">
      <c r="A23" s="6" t="n">
        <v>22</v>
      </c>
      <c r="B23" s="7" t="inlineStr">
        <is>
          <t>전화 매너</t>
        </is>
      </c>
      <c r="C23" s="8" t="inlineStr">
        <is>
          <t>May I ask what this is regarding?</t>
        </is>
      </c>
      <c r="D23" s="12" t="inlineStr">
        <is>
          <t>어떤 용건으로 전화 주셨는지 여쭤봐도 될까요?</t>
        </is>
      </c>
      <c r="E23" s="12" t="inlineStr">
        <is>
          <t>May I ask what this is regarding?</t>
        </is>
      </c>
      <c r="F23" s="12" t="inlineStr">
        <is>
          <t>어떤 일 때문에 그러시는지 여쭤봐도 될까요?</t>
        </is>
      </c>
      <c r="G23" s="9">
        <f>HYPERLINK("https://www.youtube.com/watch?v=uKoTQ_r5KvM", "영상 보기 ▶")</f>
        <v/>
      </c>
    </row>
    <row r="24" ht="26" customHeight="1">
      <c r="A24" s="2" t="n">
        <v>23</v>
      </c>
      <c r="B24" s="3" t="inlineStr">
        <is>
          <t>사교 표현</t>
        </is>
      </c>
      <c r="C24" s="4" t="inlineStr">
        <is>
          <t>To what do I owe this pleasure?</t>
        </is>
      </c>
      <c r="D24" s="11" t="inlineStr">
        <is>
          <t>웬일로 연락을/찾아오셨어요? (반가운 격식 표현)</t>
        </is>
      </c>
      <c r="E24" s="11" t="inlineStr">
        <is>
          <t>Good to hear from you! To what do I owe this pleasure?</t>
        </is>
      </c>
      <c r="F24" s="11" t="inlineStr">
        <is>
          <t>목소리 들으니 반갑네요! 웬일로 연락을 주셨어요?</t>
        </is>
      </c>
      <c r="G24" s="5">
        <f>HYPERLINK("https://www.youtube.com/watch?v=uKoTQ_r5KvM", "영상 보기 ▶")</f>
        <v/>
      </c>
    </row>
    <row r="25" ht="26" customHeight="1">
      <c r="A25" s="6" t="n">
        <v>24</v>
      </c>
      <c r="B25" s="7" t="inlineStr">
        <is>
          <t>소통 뉘앙스</t>
        </is>
      </c>
      <c r="C25" s="8" t="inlineStr">
        <is>
          <t>at the moment</t>
        </is>
      </c>
      <c r="D25" s="12" t="inlineStr">
        <is>
          <t>지금 이 순간에는 (나중에는 가능할 수도 있다는 뉘앙스)</t>
        </is>
      </c>
      <c r="E25" s="12" t="inlineStr">
        <is>
          <t>I'm tied up at the moment.</t>
        </is>
      </c>
      <c r="F25" s="12" t="inlineStr">
        <is>
          <t>제가 지금은 손이 묶여서(바빠서) 곤란해요.</t>
        </is>
      </c>
      <c r="G25" s="9">
        <f>HYPERLINK("https://www.youtube.com/watch?v=uKoTQ_r5KvM", "영상 보기 ▶")</f>
        <v/>
      </c>
    </row>
    <row r="26" ht="26" customHeight="1">
      <c r="A26" s="2" t="n">
        <v>25</v>
      </c>
      <c r="B26" s="3" t="inlineStr">
        <is>
          <t>비즈니스 소통</t>
        </is>
      </c>
      <c r="C26" s="4" t="inlineStr">
        <is>
          <t>When can I expect to hear from you?</t>
        </is>
      </c>
      <c r="D26" s="11" t="inlineStr">
        <is>
          <t>언제쯤 연락/답변을 주실 것으로 생각하면 될까요?</t>
        </is>
      </c>
      <c r="E26" s="11" t="inlineStr">
        <is>
          <t>When can I expect to hear from you?</t>
        </is>
      </c>
      <c r="F26" s="11" t="inlineStr">
        <is>
          <t>언제쯤 연락 주실 예정인가요?</t>
        </is>
      </c>
      <c r="G26" s="5">
        <f>HYPERLINK("https://www.youtube.com/watch?v=uKoTQ_r5KvM", "영상 보기 ▶")</f>
        <v/>
      </c>
    </row>
    <row r="27" ht="26" customHeight="1">
      <c r="A27" s="6" t="n">
        <v>26</v>
      </c>
      <c r="B27" s="7" t="inlineStr">
        <is>
          <t>비즈니스 소통</t>
        </is>
      </c>
      <c r="C27" s="8" t="inlineStr">
        <is>
          <t>be in touch</t>
        </is>
      </c>
      <c r="D27" s="12" t="inlineStr">
        <is>
          <t>연락하다, 연락을 취하다</t>
        </is>
      </c>
      <c r="E27" s="12" t="inlineStr">
        <is>
          <t>I'll be in touch by next week.</t>
        </is>
      </c>
      <c r="F27" s="12" t="inlineStr">
        <is>
          <t>다음 주까지 연락드리겠습니다.</t>
        </is>
      </c>
      <c r="G27" s="9">
        <f>HYPERLINK("https://www.youtube.com/watch?v=uKoTQ_r5KvM", "영상 보기 ▶")</f>
        <v/>
      </c>
    </row>
    <row r="28" ht="26" customHeight="1">
      <c r="A28" s="2" t="n">
        <v>27</v>
      </c>
      <c r="B28" s="3" t="inlineStr">
        <is>
          <t>업무 소통</t>
        </is>
      </c>
      <c r="C28" s="4" t="inlineStr">
        <is>
          <t>ASAP</t>
        </is>
      </c>
      <c r="D28" s="11" t="inlineStr">
        <is>
          <t>가능한 한 빨리 (as soon as possible)</t>
        </is>
      </c>
      <c r="E28" s="11" t="inlineStr">
        <is>
          <t>Please send it to me ASAP.</t>
        </is>
      </c>
      <c r="F28" s="11" t="inlineStr">
        <is>
          <t>가능한 한 빨리 보내주세요.</t>
        </is>
      </c>
      <c r="G28" s="5">
        <f>HYPERLINK("https://www.youtube.com/watch?v=uKoTQ_r5KvM", "영상 보기 ▶")</f>
        <v/>
      </c>
    </row>
    <row r="29" ht="26" customHeight="1">
      <c r="A29" s="6" t="n">
        <v>28</v>
      </c>
      <c r="B29" s="7" t="inlineStr">
        <is>
          <t>사교/비즈니스</t>
        </is>
      </c>
      <c r="C29" s="8" t="inlineStr">
        <is>
          <t>hesitate</t>
        </is>
      </c>
      <c r="D29" s="12" t="inlineStr">
        <is>
          <t>주저하다, 망설이다 (주로 부정문 권유)</t>
        </is>
      </c>
      <c r="E29" s="12" t="inlineStr">
        <is>
          <t>Please don't hesitate to call me.</t>
        </is>
      </c>
      <c r="F29" s="12" t="inlineStr">
        <is>
          <t>필요한 게 있으시면 언제든 주저 말고 전화 주세요.</t>
        </is>
      </c>
      <c r="G29" s="9">
        <f>HYPERLINK("https://www.youtube.com/watch?v=uKoTQ_r5KvM", "영상 보기 ▶")</f>
        <v/>
      </c>
    </row>
    <row r="30" ht="26" customHeight="1">
      <c r="A30" s="2" t="n">
        <v>29</v>
      </c>
      <c r="B30" s="3" t="inlineStr">
        <is>
          <t>사교/비즈니스</t>
        </is>
      </c>
      <c r="C30" s="4" t="inlineStr">
        <is>
          <t>feel free to + 동사원형</t>
        </is>
      </c>
      <c r="D30" s="11" t="inlineStr">
        <is>
          <t>부담 갖지 말고 편하게 ~하세요</t>
        </is>
      </c>
      <c r="E30" s="11" t="inlineStr">
        <is>
          <t>Feel free to ask questions anytime.</t>
        </is>
      </c>
      <c r="F30" s="11" t="inlineStr">
        <is>
          <t>언제든지 편하게 질문하세요.</t>
        </is>
      </c>
      <c r="G30" s="5">
        <f>HYPERLINK("https://www.youtube.com/watch?v=uKoTQ_r5KvM", "영상 보기 ▶")</f>
        <v/>
      </c>
    </row>
    <row r="31" ht="26" customHeight="1">
      <c r="A31" s="6" t="n">
        <v>30</v>
      </c>
      <c r="B31" s="7" t="inlineStr">
        <is>
          <t>대화 마무리</t>
        </is>
      </c>
      <c r="C31" s="8" t="inlineStr">
        <is>
          <t>It was nice talking to you</t>
        </is>
      </c>
      <c r="D31" s="12" t="inlineStr">
        <is>
          <t>대화/통화 즐거웠습니다 (마무리 인사)</t>
        </is>
      </c>
      <c r="E31" s="12" t="inlineStr">
        <is>
          <t>It was nice talking to you. Have a great day!</t>
        </is>
      </c>
      <c r="F31" s="12" t="inlineStr">
        <is>
          <t>통화 즐거웠습니다. 좋은 하루 보내세요!</t>
        </is>
      </c>
      <c r="G31" s="9">
        <f>HYPERLINK("https://www.youtube.com/watch?v=uKoTQ_r5KvM", "영상 보기 ▶")</f>
        <v/>
      </c>
    </row>
    <row r="32" ht="26" customHeight="1">
      <c r="A32" s="2" t="n">
        <v>31</v>
      </c>
      <c r="B32" s="3" t="inlineStr">
        <is>
          <t>감사 표현</t>
        </is>
      </c>
      <c r="C32" s="4" t="inlineStr">
        <is>
          <t>You're the best</t>
        </is>
      </c>
      <c r="D32" s="11" t="inlineStr">
        <is>
          <t>넌 정말 최고야 / 진짜 고마워!</t>
        </is>
      </c>
      <c r="E32" s="11" t="inlineStr">
        <is>
          <t>Thanks for helping me out. You're the best!</t>
        </is>
      </c>
      <c r="F32" s="11" t="inlineStr">
        <is>
          <t>도와줘서 정말 고마워. 너가 최고야!</t>
        </is>
      </c>
      <c r="G32" s="5">
        <f>HYPERLINK("https://www.youtube.com/watch?v=uKoTQ_r5KvM", "영상 보기 ▶")</f>
        <v/>
      </c>
    </row>
    <row r="33" ht="26" customHeight="1">
      <c r="A33" s="6" t="n">
        <v>32</v>
      </c>
      <c r="B33" s="7" t="inlineStr">
        <is>
          <t>일상 회화</t>
        </is>
      </c>
      <c r="C33" s="8" t="inlineStr">
        <is>
          <t>catch up</t>
        </is>
      </c>
      <c r="D33" s="12" t="inlineStr">
        <is>
          <t>(오랜만에 만나) 밀린 이야기를 나누다</t>
        </is>
      </c>
      <c r="E33" s="12" t="inlineStr">
        <is>
          <t>We should catch up sometime.</t>
        </is>
      </c>
      <c r="F33" s="12" t="inlineStr">
        <is>
          <t>우리 언제 한번 밀린 이야기 좀 하자.</t>
        </is>
      </c>
      <c r="G33" s="9">
        <f>HYPERLINK("https://www.youtube.com/watch?v=uKoTQ_r5KvM", "영상 보기 ▶")</f>
        <v/>
      </c>
    </row>
    <row r="34" ht="26" customHeight="1">
      <c r="A34" s="2" t="n">
        <v>33</v>
      </c>
      <c r="B34" s="3" t="inlineStr">
        <is>
          <t>일상 회화</t>
        </is>
      </c>
      <c r="C34" s="4" t="inlineStr">
        <is>
          <t>get together</t>
        </is>
      </c>
      <c r="D34" s="11" t="inlineStr">
        <is>
          <t>(약속 잡고) 만나다, 모이다</t>
        </is>
      </c>
      <c r="E34" s="11" t="inlineStr">
        <is>
          <t>Let's get together for drinks sometime.</t>
        </is>
      </c>
      <c r="F34" s="11" t="inlineStr">
        <is>
          <t>언제 한번 만나서 술 한잔하자.</t>
        </is>
      </c>
      <c r="G34" s="5">
        <f>HYPERLINK("https://www.youtube.com/watch?v=uKoTQ_r5KvM", "영상 보기 ▶")</f>
        <v/>
      </c>
    </row>
    <row r="35" ht="26" customHeight="1">
      <c r="A35" s="6" t="n">
        <v>34</v>
      </c>
      <c r="B35" s="7" t="inlineStr">
        <is>
          <t>의견 표현</t>
        </is>
      </c>
      <c r="C35" s="8" t="inlineStr">
        <is>
          <t>find</t>
        </is>
      </c>
      <c r="D35" s="12" t="inlineStr">
        <is>
          <t>(겪어보고 나서) ~라고 생각하다/느끼다</t>
        </is>
      </c>
      <c r="E35" s="12" t="inlineStr">
        <is>
          <t>I found it challenging.</t>
        </is>
      </c>
      <c r="F35" s="12" t="inlineStr">
        <is>
          <t>해보니까 좀 어렵고 도전적으로 느껴지더라고요.</t>
        </is>
      </c>
      <c r="G35" s="9">
        <f>HYPERLINK("https://www.youtube.com/watch?v=uKoTQ_r5KvM", "영상 보기 ▶")</f>
        <v/>
      </c>
    </row>
    <row r="36" ht="26" customHeight="1">
      <c r="A36" s="2" t="n">
        <v>35</v>
      </c>
      <c r="B36" s="3" t="inlineStr">
        <is>
          <t>상황 판단</t>
        </is>
      </c>
      <c r="C36" s="4" t="inlineStr">
        <is>
          <t>doable</t>
        </is>
      </c>
      <c r="D36" s="11" t="inlineStr">
        <is>
          <t>(무리 없이) 할 만한, 실현 가능한</t>
        </is>
      </c>
      <c r="E36" s="11" t="inlineStr">
        <is>
          <t>I think it's doable.</t>
        </is>
      </c>
      <c r="F36" s="11" t="inlineStr">
        <is>
          <t>그거 충분히 할 만하다고 생각해.</t>
        </is>
      </c>
      <c r="G36" s="5">
        <f>HYPERLINK("https://www.youtube.com/watch?v=uKoTQ_r5KvM", "영상 보기 ▶")</f>
        <v/>
      </c>
    </row>
    <row r="37" ht="26" customHeight="1">
      <c r="A37" s="6" t="n">
        <v>36</v>
      </c>
      <c r="B37" s="7" t="inlineStr">
        <is>
          <t>뉘앙스 강화</t>
        </is>
      </c>
      <c r="C37" s="8" t="inlineStr">
        <is>
          <t>at all</t>
        </is>
      </c>
      <c r="D37" s="12" t="inlineStr">
        <is>
          <t>① 의문문: 조금이라도 ② 조건문: 혹시라도 조금이라도</t>
        </is>
      </c>
      <c r="E37" s="12" t="inlineStr">
        <is>
          <t>If you need anything at all, please let me know.</t>
        </is>
      </c>
      <c r="F37" s="12" t="inlineStr">
        <is>
          <t>조금이라도 필요한 게 있으시면 말씀해 주세요.</t>
        </is>
      </c>
      <c r="G37" s="9">
        <f>HYPERLINK("https://www.youtube.com/watch?v=uKoTQ_r5KvM", "영상 보기 ▶")</f>
        <v/>
      </c>
    </row>
    <row r="38" ht="26" customHeight="1">
      <c r="A38" s="2" t="n">
        <v>37</v>
      </c>
      <c r="B38" s="3" t="inlineStr">
        <is>
          <t>상황 표현</t>
        </is>
      </c>
      <c r="C38" s="4" t="inlineStr">
        <is>
          <t>be in the middle of</t>
        </is>
      </c>
      <c r="D38" s="11" t="inlineStr">
        <is>
          <t>한창 ~하는 중이다</t>
        </is>
      </c>
      <c r="E38" s="11" t="inlineStr">
        <is>
          <t>I'm in the middle of something.</t>
        </is>
      </c>
      <c r="F38" s="11" t="inlineStr">
        <is>
          <t>나 지금 뭐 좀 하는 중이야.</t>
        </is>
      </c>
      <c r="G38" s="5">
        <f>HYPERLINK("https://www.youtube.com/watch?v=uKoTQ_r5KvM", "영상 보기 ▶")</f>
        <v/>
      </c>
    </row>
    <row r="39" ht="26" customHeight="1">
      <c r="A39" s="6" t="n">
        <v>38</v>
      </c>
      <c r="B39" s="7" t="inlineStr">
        <is>
          <t>사과/해명</t>
        </is>
      </c>
      <c r="C39" s="8" t="inlineStr">
        <is>
          <t>I didn't mean to + 동사원형</t>
        </is>
      </c>
      <c r="D39" s="12" t="inlineStr">
        <is>
          <t>일부러 ~하려던 건 아니었어요</t>
        </is>
      </c>
      <c r="E39" s="12" t="inlineStr">
        <is>
          <t>I didn't mean to be late. I was stuck at work.</t>
        </is>
      </c>
      <c r="F39" s="12" t="inlineStr">
        <is>
          <t>일부러 늦으려던 건 아니었어요. 회사에 일이 밀려 잡혀 있었어요.</t>
        </is>
      </c>
      <c r="G39" s="9">
        <f>HYPERLINK("https://www.youtube.com/watch?v=uKoTQ_r5KvM", "영상 보기 ▶")</f>
        <v/>
      </c>
    </row>
    <row r="40" ht="26" customHeight="1">
      <c r="A40" s="2" t="n">
        <v>39</v>
      </c>
      <c r="B40" s="3" t="inlineStr">
        <is>
          <t>진행 표현</t>
        </is>
      </c>
      <c r="C40" s="4" t="inlineStr">
        <is>
          <t>go</t>
        </is>
      </c>
      <c r="D40" s="11" t="inlineStr">
        <is>
          <t>(일/상황이) 진행되다, 굴러가다</t>
        </is>
      </c>
      <c r="E40" s="11" t="inlineStr">
        <is>
          <t>How did the meeting go?</t>
        </is>
      </c>
      <c r="F40" s="11" t="inlineStr">
        <is>
          <t>회의 어떻게 진행됐어?</t>
        </is>
      </c>
      <c r="G40" s="5">
        <f>HYPERLINK("https://www.youtube.com/watch?v=uKoTQ_r5KvM", "영상 보기 ▶")</f>
        <v/>
      </c>
    </row>
    <row r="41" ht="26" customHeight="1">
      <c r="A41" s="6" t="n">
        <v>40</v>
      </c>
      <c r="B41" s="7" t="inlineStr">
        <is>
          <t>일정 조율</t>
        </is>
      </c>
      <c r="C41" s="8" t="inlineStr">
        <is>
          <t>wait</t>
        </is>
      </c>
      <c r="D41" s="12" t="inlineStr">
        <is>
          <t>(급하지 않아서) 나중으로 미뤄도 되다</t>
        </is>
      </c>
      <c r="E41" s="12" t="inlineStr">
        <is>
          <t>It can wait. / Can it wait?</t>
        </is>
      </c>
      <c r="F41" s="12" t="inlineStr">
        <is>
          <t>그거 안 급해. 이따 해도 돼. / 그거 나중에 해도 돼?</t>
        </is>
      </c>
      <c r="G41" s="9">
        <f>HYPERLINK("https://www.youtube.com/watch?v=uKoTQ_r5KvM", "영상 보기 ▶")</f>
        <v/>
      </c>
    </row>
    <row r="42" ht="26" customHeight="1">
      <c r="A42" s="2" t="n">
        <v>41</v>
      </c>
      <c r="B42" s="3" t="inlineStr">
        <is>
          <t>업무 검토</t>
        </is>
      </c>
      <c r="C42" s="4" t="inlineStr">
        <is>
          <t>go over</t>
        </is>
      </c>
      <c r="D42" s="11" t="inlineStr">
        <is>
          <t>꼼꼼히 거듭 살펴보다, 검토하다</t>
        </is>
      </c>
      <c r="E42" s="11" t="inlineStr">
        <is>
          <t>We have a lot to go over today.</t>
        </is>
      </c>
      <c r="F42" s="11" t="inlineStr">
        <is>
          <t>오늘 꼼꼼히 살펴봐야 할 내용이 많아요.</t>
        </is>
      </c>
      <c r="G42" s="5">
        <f>HYPERLINK("https://www.youtube.com/watch?v=uKoTQ_r5KvM", "영상 보기 ▶")</f>
        <v/>
      </c>
    </row>
    <row r="43" ht="26" customHeight="1">
      <c r="A43" s="6" t="n">
        <v>42</v>
      </c>
      <c r="B43" s="7" t="inlineStr">
        <is>
          <t>상황 공감</t>
        </is>
      </c>
      <c r="C43" s="8" t="inlineStr">
        <is>
          <t>go through</t>
        </is>
      </c>
      <c r="D43" s="12" t="inlineStr">
        <is>
          <t>(힘든 일/과정 등을) 겪다</t>
        </is>
      </c>
      <c r="E43" s="12" t="inlineStr">
        <is>
          <t>I'm sorry for what you're going through.</t>
        </is>
      </c>
      <c r="F43" s="12" t="inlineStr">
        <is>
          <t>지금 겪고 계신 힘든 일에 대해 정말 안타깝게 생각해요.</t>
        </is>
      </c>
      <c r="G43" s="9">
        <f>HYPERLINK("https://www.youtube.com/watch?v=uKoTQ_r5KvM", "영상 보기 ▶")</f>
        <v/>
      </c>
    </row>
    <row r="44" ht="26" customHeight="1">
      <c r="A44" s="2" t="n">
        <v>43</v>
      </c>
      <c r="B44" s="3" t="inlineStr">
        <is>
          <t>선택 표현</t>
        </is>
      </c>
      <c r="C44" s="4" t="inlineStr">
        <is>
          <t>go with</t>
        </is>
      </c>
      <c r="D44" s="11" t="inlineStr">
        <is>
          <t>(선택지 중) ~로 선택하다/정하다</t>
        </is>
      </c>
      <c r="E44" s="11" t="inlineStr">
        <is>
          <t>I'll go with the pasta.</t>
        </is>
      </c>
      <c r="F44" s="11" t="inlineStr">
        <is>
          <t>저는 파스타로 할게요.</t>
        </is>
      </c>
      <c r="G44" s="5">
        <f>HYPERLINK("https://www.youtube.com/watch?v=uKoTQ_r5KvM", "영상 보기 ▶")</f>
        <v/>
      </c>
    </row>
    <row r="45" ht="26" customHeight="1">
      <c r="A45" s="6" t="n">
        <v>44</v>
      </c>
      <c r="B45" s="7" t="inlineStr">
        <is>
          <t>만능동사 get</t>
        </is>
      </c>
      <c r="C45" s="8" t="inlineStr">
        <is>
          <t>get (사오다/선물하다)</t>
        </is>
      </c>
      <c r="D45" s="12" t="inlineStr">
        <is>
          <t>선물이나 음료를 사주다, 가져오다</t>
        </is>
      </c>
      <c r="E45" s="12" t="inlineStr">
        <is>
          <t>I got you a present.</t>
        </is>
      </c>
      <c r="F45" s="12" t="inlineStr">
        <is>
          <t>너 주려고 선물 사 왔어.</t>
        </is>
      </c>
      <c r="G45" s="9">
        <f>HYPERLINK("https://www.youtube.com/watch?v=uKoTQ_r5KvM", "영상 보기 ▶")</f>
        <v/>
      </c>
    </row>
    <row r="46" ht="26" customHeight="1">
      <c r="A46" s="2" t="n">
        <v>45</v>
      </c>
      <c r="B46" s="3" t="inlineStr">
        <is>
          <t>만능동사 get</t>
        </is>
      </c>
      <c r="C46" s="4" t="inlineStr">
        <is>
          <t>get (상태 변화)</t>
        </is>
      </c>
      <c r="D46" s="11" t="inlineStr">
        <is>
          <t>점점 ~한 상태가 되다 (become 구어체)</t>
        </is>
      </c>
      <c r="E46" s="11" t="inlineStr">
        <is>
          <t>I hope you get better soon.</t>
        </is>
      </c>
      <c r="F46" s="11" t="inlineStr">
        <is>
          <t>얼른 나아지시길 바랄게요.</t>
        </is>
      </c>
      <c r="G46" s="5">
        <f>HYPERLINK("https://www.youtube.com/watch?v=uKoTQ_r5KvM", "영상 보기 ▶")</f>
        <v/>
      </c>
    </row>
    <row r="47" ht="26" customHeight="1">
      <c r="A47" s="6" t="n">
        <v>46</v>
      </c>
      <c r="B47" s="7" t="inlineStr">
        <is>
          <t>만능동사 get</t>
        </is>
      </c>
      <c r="C47" s="8" t="inlineStr">
        <is>
          <t>get (도착하다)</t>
        </is>
      </c>
      <c r="D47" s="12" t="inlineStr">
        <is>
          <t>(목적지에) 도착하다, 닿다</t>
        </is>
      </c>
      <c r="E47" s="12" t="inlineStr">
        <is>
          <t>What time did you get here?</t>
        </is>
      </c>
      <c r="F47" s="12" t="inlineStr">
        <is>
          <t>여기 몇 시에 도착했어?</t>
        </is>
      </c>
      <c r="G47" s="9">
        <f>HYPERLINK("https://www.youtube.com/watch?v=uKoTQ_r5KvM", "영상 보기 ▶")</f>
        <v/>
      </c>
    </row>
    <row r="48" ht="26" customHeight="1">
      <c r="A48" s="2" t="n">
        <v>47</v>
      </c>
      <c r="B48" s="3" t="inlineStr">
        <is>
          <t>만능동사 get</t>
        </is>
      </c>
      <c r="C48" s="4" t="inlineStr">
        <is>
          <t>get (이해하다)</t>
        </is>
      </c>
      <c r="D48" s="11" t="inlineStr">
        <is>
          <t>상대의 말을 알아듣다, 이해하다</t>
        </is>
      </c>
      <c r="E48" s="11" t="inlineStr">
        <is>
          <t>I get it. / I don't get it.</t>
        </is>
      </c>
      <c r="F48" s="11" t="inlineStr">
        <is>
          <t>아, 무슨 말인지 알겠어. / 이해가 잘 안 가.</t>
        </is>
      </c>
      <c r="G48" s="5">
        <f>HYPERLINK("https://www.youtube.com/watch?v=uKoTQ_r5KvM", "영상 보기 ▶")</f>
        <v/>
      </c>
    </row>
    <row r="49" ht="26" customHeight="1">
      <c r="A49" s="6" t="n">
        <v>48</v>
      </c>
      <c r="B49" s="7" t="inlineStr">
        <is>
          <t>만능동사 get</t>
        </is>
      </c>
      <c r="C49" s="8" t="inlineStr">
        <is>
          <t>get + 사람 + to-v</t>
        </is>
      </c>
      <c r="D49" s="12" t="inlineStr">
        <is>
          <t>~가 ...하게 만들다, 설득하다</t>
        </is>
      </c>
      <c r="E49" s="12" t="inlineStr">
        <is>
          <t>I'll get him to call you.</t>
        </is>
      </c>
      <c r="F49" s="12" t="inlineStr">
        <is>
          <t>그 사람한테 전화드리라고 설득해 볼게요.</t>
        </is>
      </c>
      <c r="G49" s="9">
        <f>HYPERLINK("https://www.youtube.com/watch?v=uKoTQ_r5KvM", "영상 보기 ▶")</f>
        <v/>
      </c>
    </row>
    <row r="50" ht="26" customHeight="1">
      <c r="A50" s="2" t="n">
        <v>49</v>
      </c>
      <c r="B50" s="3" t="inlineStr">
        <is>
          <t>만능동사 get</t>
        </is>
      </c>
      <c r="C50" s="4" t="inlineStr">
        <is>
          <t>get (받다)</t>
        </is>
      </c>
      <c r="D50" s="11" t="inlineStr">
        <is>
          <t>전화, 메시지, 이메일을 받다</t>
        </is>
      </c>
      <c r="E50" s="11" t="inlineStr">
        <is>
          <t>I just got a call from headquarters.</t>
        </is>
      </c>
      <c r="F50" s="11" t="inlineStr">
        <is>
          <t>방금 본사로부터 전화를 받았어.</t>
        </is>
      </c>
      <c r="G50" s="5">
        <f>HYPERLINK("https://www.youtube.com/watch?v=uKoTQ_r5KvM", "영상 보기 ▶")</f>
        <v/>
      </c>
    </row>
    <row r="51" ht="26" customHeight="1">
      <c r="A51" s="6" t="n">
        <v>50</v>
      </c>
      <c r="B51" s="7" t="inlineStr">
        <is>
          <t>일상 회화</t>
        </is>
      </c>
      <c r="C51" s="8" t="inlineStr">
        <is>
          <t>take a break</t>
        </is>
      </c>
      <c r="D51" s="12" t="inlineStr">
        <is>
          <t>(일하는 도중) 잠시 휴식을 취하다</t>
        </is>
      </c>
      <c r="E51" s="12" t="inlineStr">
        <is>
          <t>Why don't we take a coffee break?</t>
        </is>
      </c>
      <c r="F51" s="12" t="inlineStr">
        <is>
          <t>커피 한잔하면서 잠깐 쉴까?</t>
        </is>
      </c>
      <c r="G51" s="9">
        <f>HYPERLINK("https://www.youtube.com/watch?v=uKoTQ_r5KvM", "영상 보기 ▶")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8" customWidth="1" min="3" max="3"/>
    <col width="48" customWidth="1" min="4" max="4"/>
    <col width="55" customWidth="1" min="5" max="5"/>
    <col width="49.7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51</v>
      </c>
      <c r="B2" s="3" t="inlineStr">
        <is>
          <t>만능동사 Take</t>
        </is>
      </c>
      <c r="C2" s="4" t="inlineStr">
        <is>
          <t>take</t>
        </is>
      </c>
      <c r="D2" s="11" t="inlineStr">
        <is>
          <t>(시간이) 걸리다</t>
        </is>
      </c>
      <c r="E2" s="11" t="inlineStr">
        <is>
          <t>How long will it take? / Good things take time.</t>
        </is>
      </c>
      <c r="F2" s="11" t="inlineStr">
        <is>
          <t>얼마나 걸릴까요? / 좋은 건 다 시간이 걸리기 마련이죠.</t>
        </is>
      </c>
      <c r="G2" s="5">
        <f>HYPERLINK("https://www.youtube.com/watch?v=IKMtRxARBZY", "영상 보기 ▶")</f>
        <v/>
      </c>
    </row>
    <row r="3" ht="26" customHeight="1">
      <c r="A3" s="6" t="n">
        <v>52</v>
      </c>
      <c r="B3" s="7" t="inlineStr">
        <is>
          <t>만능동사 Take</t>
        </is>
      </c>
      <c r="C3" s="8" t="inlineStr">
        <is>
          <t>take it from here</t>
        </is>
      </c>
      <c r="D3" s="12" t="inlineStr">
        <is>
          <t>여기서부터 책임지고 맡아서 하다</t>
        </is>
      </c>
      <c r="E3" s="12" t="inlineStr">
        <is>
          <t>I'll take it from here.</t>
        </is>
      </c>
      <c r="F3" s="12" t="inlineStr">
        <is>
          <t>여기서부터는 제가 맡아서 처리할게요.</t>
        </is>
      </c>
      <c r="G3" s="9">
        <f>HYPERLINK("https://www.youtube.com/watch?v=IKMtRxARBZY", "영상 보기 ▶")</f>
        <v/>
      </c>
    </row>
    <row r="4" ht="26" customHeight="1">
      <c r="A4" s="2" t="n">
        <v>53</v>
      </c>
      <c r="B4" s="3" t="inlineStr">
        <is>
          <t>만능동사 Take</t>
        </is>
      </c>
      <c r="C4" s="4" t="inlineStr">
        <is>
          <t>take (사람) out</t>
        </is>
      </c>
      <c r="D4" s="11" t="inlineStr">
        <is>
          <t>~를 데리고 나가 대접하다/사주다</t>
        </is>
      </c>
      <c r="E4" s="11" t="inlineStr">
        <is>
          <t>I'd love to take you out for coffee sometime.</t>
        </is>
      </c>
      <c r="F4" s="11" t="inlineStr">
        <is>
          <t>언제 커피 한잔 대접해 드리고 싶어요.</t>
        </is>
      </c>
      <c r="G4" s="5">
        <f>HYPERLINK("https://www.youtube.com/watch?v=IKMtRxARBZY", "영상 보기 ▶")</f>
        <v/>
      </c>
    </row>
    <row r="5" ht="26" customHeight="1">
      <c r="A5" s="6" t="n">
        <v>54</v>
      </c>
      <c r="B5" s="7" t="inlineStr">
        <is>
          <t>만능동사 Take</t>
        </is>
      </c>
      <c r="C5" s="8" t="inlineStr">
        <is>
          <t>take responsibility</t>
        </is>
      </c>
      <c r="D5" s="12" t="inlineStr">
        <is>
          <t>~에 대해 책임을 지다</t>
        </is>
      </c>
      <c r="E5" s="12" t="inlineStr">
        <is>
          <t>Take responsibility for your actions.</t>
        </is>
      </c>
      <c r="F5" s="12" t="inlineStr">
        <is>
          <t>너의 행동에 대해 책임을 져라.</t>
        </is>
      </c>
      <c r="G5" s="9">
        <f>HYPERLINK("https://www.youtube.com/watch?v=IKMtRxARBZY", "영상 보기 ▶")</f>
        <v/>
      </c>
    </row>
    <row r="6" ht="26" customHeight="1">
      <c r="A6" s="2" t="n">
        <v>55</v>
      </c>
      <c r="B6" s="3" t="inlineStr">
        <is>
          <t>만능동사 Take</t>
        </is>
      </c>
      <c r="C6" s="4" t="inlineStr">
        <is>
          <t>take advantage of</t>
        </is>
      </c>
      <c r="D6" s="11" t="inlineStr">
        <is>
          <t>(내게 이득이 되도록) 기회를 활용하다 / 악용하다</t>
        </is>
      </c>
      <c r="E6" s="11" t="inlineStr">
        <is>
          <t>Take advantage of this opportunity.</t>
        </is>
      </c>
      <c r="F6" s="11" t="inlineStr">
        <is>
          <t>이 기회를 잘 활용해 봐.</t>
        </is>
      </c>
      <c r="G6" s="5">
        <f>HYPERLINK("https://www.youtube.com/watch?v=IKMtRxARBZY", "영상 보기 ▶")</f>
        <v/>
      </c>
    </row>
    <row r="7" ht="26" customHeight="1">
      <c r="A7" s="6" t="n">
        <v>56</v>
      </c>
      <c r="B7" s="7" t="inlineStr">
        <is>
          <t>사교 표현</t>
        </is>
      </c>
      <c r="C7" s="8" t="inlineStr">
        <is>
          <t>hospitality</t>
        </is>
      </c>
      <c r="D7" s="12" t="inlineStr">
        <is>
          <t>환대 (I don't want to take advantage of your hospitality)</t>
        </is>
      </c>
      <c r="E7" s="12" t="inlineStr">
        <is>
          <t>I don't want to take advantage of your hospitality.</t>
        </is>
      </c>
      <c r="F7" s="12" t="inlineStr">
        <is>
          <t>환대를 악용하고 싶지 않아요 (계속 신세를 질 순 없죠).</t>
        </is>
      </c>
      <c r="G7" s="9">
        <f>HYPERLINK("https://www.youtube.com/watch?v=IKMtRxARBZY", "영상 보기 ▶")</f>
        <v/>
      </c>
    </row>
    <row r="8" ht="26" customHeight="1">
      <c r="A8" s="2" t="n">
        <v>57</v>
      </c>
      <c r="B8" s="3" t="inlineStr">
        <is>
          <t>만능동사 Take</t>
        </is>
      </c>
      <c r="C8" s="4" t="inlineStr">
        <is>
          <t>take off</t>
        </is>
      </c>
      <c r="D8" s="11" t="inlineStr">
        <is>
          <t>① 옷/신발을 벗다 ② 이륙하다/가다 ③ 쉬다</t>
        </is>
      </c>
      <c r="E8" s="11" t="inlineStr">
        <is>
          <t>I gotta take off.</t>
        </is>
      </c>
      <c r="F8" s="11" t="inlineStr">
        <is>
          <t>나 이제 가봐야 해.</t>
        </is>
      </c>
      <c r="G8" s="5">
        <f>HYPERLINK("https://www.youtube.com/watch?v=IKMtRxARBZY", "영상 보기 ▶")</f>
        <v/>
      </c>
    </row>
    <row r="9" ht="26" customHeight="1">
      <c r="A9" s="6" t="n">
        <v>58</v>
      </c>
      <c r="B9" s="7" t="inlineStr">
        <is>
          <t>조동사 must</t>
        </is>
      </c>
      <c r="C9" s="8" t="inlineStr">
        <is>
          <t>must (환영/위로)</t>
        </is>
      </c>
      <c r="D9" s="12" t="inlineStr">
        <is>
          <t>~임에 틀림없다 (격한 환영 &amp; 공감 위로)</t>
        </is>
      </c>
      <c r="E9" s="12" t="inlineStr">
        <is>
          <t>You must be Alex! / That must be hard.</t>
        </is>
      </c>
      <c r="F9" s="12" t="inlineStr">
        <is>
          <t>너가 알렉스구나! / 정말 힘들겠어요.</t>
        </is>
      </c>
      <c r="G9" s="9">
        <f>HYPERLINK("https://www.youtube.com/watch?v=IKMtRxARBZY", "영상 보기 ▶")</f>
        <v/>
      </c>
    </row>
    <row r="10" ht="26" customHeight="1">
      <c r="A10" s="2" t="n">
        <v>59</v>
      </c>
      <c r="B10" s="3" t="inlineStr">
        <is>
          <t>인간관계</t>
        </is>
      </c>
      <c r="C10" s="4" t="inlineStr">
        <is>
          <t>speak highly of</t>
        </is>
      </c>
      <c r="D10" s="11" t="inlineStr">
        <is>
          <t>~에 대해 좋은 얘기를 많이 하다/칭찬하다</t>
        </is>
      </c>
      <c r="E10" s="11" t="inlineStr">
        <is>
          <t>Everyone speaks highly of you.</t>
        </is>
      </c>
      <c r="F10" s="11" t="inlineStr">
        <is>
          <t>다들 당신에 대해 칭찬을 정말 많이 하더라고요.</t>
        </is>
      </c>
      <c r="G10" s="5">
        <f>HYPERLINK("https://www.youtube.com/watch?v=IKMtRxARBZY", "영상 보기 ▶")</f>
        <v/>
      </c>
    </row>
    <row r="11" ht="26" customHeight="1">
      <c r="A11" s="6" t="n">
        <v>60</v>
      </c>
      <c r="B11" s="7" t="inlineStr">
        <is>
          <t>칭찬 표현</t>
        </is>
      </c>
      <c r="C11" s="8" t="inlineStr">
        <is>
          <t>suit</t>
        </is>
      </c>
      <c r="D11" s="12" t="inlineStr">
        <is>
          <t>잘 어울리다</t>
        </is>
      </c>
      <c r="E11" s="12" t="inlineStr">
        <is>
          <t>It suits you well.</t>
        </is>
      </c>
      <c r="F11" s="12" t="inlineStr">
        <is>
          <t>너한테 정말 잘 어울린다.</t>
        </is>
      </c>
      <c r="G11" s="9">
        <f>HYPERLINK("https://www.youtube.com/watch?v=IKMtRxARBZY", "영상 보기 ▶")</f>
        <v/>
      </c>
    </row>
    <row r="12" ht="26" customHeight="1">
      <c r="A12" s="2" t="n">
        <v>61</v>
      </c>
      <c r="B12" s="3" t="inlineStr">
        <is>
          <t>칭찬 표현</t>
        </is>
      </c>
      <c r="C12" s="4" t="inlineStr">
        <is>
          <t>I like your ~</t>
        </is>
      </c>
      <c r="D12" s="11" t="inlineStr">
        <is>
          <t>(외모 대신 옷/장신구 칭찬) ~가 마음에 드네/예쁘네</t>
        </is>
      </c>
      <c r="E12" s="11" t="inlineStr">
        <is>
          <t>I like your shirt.</t>
        </is>
      </c>
      <c r="F12" s="11" t="inlineStr">
        <is>
          <t>셔츠가 아주 예쁜데요/마음에 들어요.</t>
        </is>
      </c>
      <c r="G12" s="5">
        <f>HYPERLINK("https://www.youtube.com/watch?v=IKMtRxARBZY", "영상 보기 ▶")</f>
        <v/>
      </c>
    </row>
    <row r="13" ht="26" customHeight="1">
      <c r="A13" s="6" t="n">
        <v>62</v>
      </c>
      <c r="B13" s="7" t="inlineStr">
        <is>
          <t>공손한 질문</t>
        </is>
      </c>
      <c r="C13" s="8" t="inlineStr">
        <is>
          <t>If you don't mind me asking,</t>
        </is>
      </c>
      <c r="D13" s="12" t="inlineStr">
        <is>
          <t>이런 질문 드려도 될지 모르겠지만,</t>
        </is>
      </c>
      <c r="E13" s="12" t="inlineStr">
        <is>
          <t>If you don't mind me asking, what do you do?</t>
        </is>
      </c>
      <c r="F13" s="12" t="inlineStr">
        <is>
          <t>실례가 안 된다면 하시는 일이 어떻게 되세요?</t>
        </is>
      </c>
      <c r="G13" s="9">
        <f>HYPERLINK("https://www.youtube.com/watch?v=IKMtRxARBZY", "영상 보기 ▶")</f>
        <v/>
      </c>
    </row>
    <row r="14" ht="26" customHeight="1">
      <c r="A14" s="2" t="n">
        <v>63</v>
      </c>
      <c r="B14" s="3" t="inlineStr">
        <is>
          <t>열린 질문</t>
        </is>
      </c>
      <c r="C14" s="4" t="inlineStr">
        <is>
          <t>How was ~?</t>
        </is>
      </c>
      <c r="D14" s="11" t="inlineStr">
        <is>
          <t>(Did보다 긴 답변 유도) ~는 어땠어?</t>
        </is>
      </c>
      <c r="E14" s="11" t="inlineStr">
        <is>
          <t>How was your day?</t>
        </is>
      </c>
      <c r="F14" s="11" t="inlineStr">
        <is>
          <t>오늘 하루 어땠어?</t>
        </is>
      </c>
      <c r="G14" s="5">
        <f>HYPERLINK("https://www.youtube.com/watch?v=IKMtRxARBZY", "영상 보기 ▶")</f>
        <v/>
      </c>
    </row>
    <row r="15" ht="26" customHeight="1">
      <c r="A15" s="6" t="n">
        <v>64</v>
      </c>
      <c r="B15" s="7" t="inlineStr">
        <is>
          <t>안부 답변</t>
        </is>
      </c>
      <c r="C15" s="8" t="inlineStr">
        <is>
          <t>Same old, same old</t>
        </is>
      </c>
      <c r="D15" s="12" t="inlineStr">
        <is>
          <t>늘 똑같지 뭐, 그저 그래</t>
        </is>
      </c>
      <c r="E15" s="12" t="inlineStr">
        <is>
          <t>How's work? - Same old, same old.</t>
        </is>
      </c>
      <c r="F15" s="12" t="inlineStr">
        <is>
          <t>일은 어때? - 늘 똑같지 뭐.</t>
        </is>
      </c>
      <c r="G15" s="9">
        <f>HYPERLINK("https://www.youtube.com/watch?v=IKMtRxARBZY", "영상 보기 ▶")</f>
        <v/>
      </c>
    </row>
    <row r="16" ht="26" customHeight="1">
      <c r="A16" s="2" t="n">
        <v>65</v>
      </c>
      <c r="B16" s="3" t="inlineStr">
        <is>
          <t>일정 회화</t>
        </is>
      </c>
      <c r="C16" s="4" t="inlineStr">
        <is>
          <t>have plans</t>
        </is>
      </c>
      <c r="D16" s="11" t="inlineStr">
        <is>
          <t>(지인과의) 약속이 있다 (appointment와 구분)</t>
        </is>
      </c>
      <c r="E16" s="11" t="inlineStr">
        <is>
          <t>I already have plans.</t>
        </is>
      </c>
      <c r="F16" s="11" t="inlineStr">
        <is>
          <t>나 이미 선약이 있어.</t>
        </is>
      </c>
      <c r="G16" s="5">
        <f>HYPERLINK("https://www.youtube.com/watch?v=IKMtRxARBZY", "영상 보기 ▶")</f>
        <v/>
      </c>
    </row>
    <row r="17" ht="26" customHeight="1">
      <c r="A17" s="6" t="n">
        <v>66</v>
      </c>
      <c r="B17" s="7" t="inlineStr">
        <is>
          <t>구어 표현</t>
        </is>
      </c>
      <c r="C17" s="8" t="inlineStr">
        <is>
          <t>freak</t>
        </is>
      </c>
      <c r="D17" s="12" t="inlineStr">
        <is>
          <t>괴짜, ~에 광적으로 관심이 많은 사람</t>
        </is>
      </c>
      <c r="E17" s="12" t="inlineStr">
        <is>
          <t>He's a neat freak.</t>
        </is>
      </c>
      <c r="F17" s="12" t="inlineStr">
        <is>
          <t>그 사람은 결벽증/깔끔쟁이야.</t>
        </is>
      </c>
      <c r="G17" s="9">
        <f>HYPERLINK("https://www.youtube.com/watch?v=IKMtRxARBZY", "영상 보기 ▶")</f>
        <v/>
      </c>
    </row>
    <row r="18" ht="26" customHeight="1">
      <c r="A18" s="2" t="n">
        <v>67</v>
      </c>
      <c r="B18" s="3" t="inlineStr">
        <is>
          <t>감정 표현</t>
        </is>
      </c>
      <c r="C18" s="4" t="inlineStr">
        <is>
          <t>freak out</t>
        </is>
      </c>
      <c r="D18" s="11" t="inlineStr">
        <is>
          <t>깜짝 놀라다, 멘붕 오다, 어쩔 줄 몰라하다</t>
        </is>
      </c>
      <c r="E18" s="11" t="inlineStr">
        <is>
          <t>Don't freak out.</t>
        </is>
      </c>
      <c r="F18" s="11" t="inlineStr">
        <is>
          <t>너무 당황하지 마 / 멘붕 오지 마.</t>
        </is>
      </c>
      <c r="G18" s="5">
        <f>HYPERLINK("https://www.youtube.com/watch?v=IKMtRxARBZY", "영상 보기 ▶")</f>
        <v/>
      </c>
    </row>
    <row r="19" ht="26" customHeight="1">
      <c r="A19" s="6" t="n">
        <v>68</v>
      </c>
      <c r="B19" s="7" t="inlineStr">
        <is>
          <t>구어 표현</t>
        </is>
      </c>
      <c r="C19" s="8" t="inlineStr">
        <is>
          <t>legit (= legitimate)</t>
        </is>
      </c>
      <c r="D19" s="12" t="inlineStr">
        <is>
          <t>합법적인, (누가 봐도 인정할 만큼) 찐인, 끝내주는</t>
        </is>
      </c>
      <c r="E19" s="12" t="inlineStr">
        <is>
          <t>This place is legit.</t>
        </is>
      </c>
      <c r="F19" s="12" t="inlineStr">
        <is>
          <t>여기 진짜 찐이다 / 제대로네.</t>
        </is>
      </c>
      <c r="G19" s="9">
        <f>HYPERLINK("https://www.youtube.com/watch?v=IKMtRxARBZY", "영상 보기 ▶")</f>
        <v/>
      </c>
    </row>
    <row r="20" ht="26" customHeight="1">
      <c r="A20" s="2" t="n">
        <v>69</v>
      </c>
      <c r="B20" s="3" t="inlineStr">
        <is>
          <t>가격 표현</t>
        </is>
      </c>
      <c r="C20" s="4" t="inlineStr">
        <is>
          <t>cheap</t>
        </is>
      </c>
      <c r="D20" s="11" t="inlineStr">
        <is>
          <t>(품질 보장 없이) 가격만 싼, 싸구려의</t>
        </is>
      </c>
      <c r="E20" s="11" t="inlineStr">
        <is>
          <t>It feels a bit cheap.</t>
        </is>
      </c>
      <c r="F20" s="11" t="inlineStr">
        <is>
          <t>약간 싸구려 느낌이 나.</t>
        </is>
      </c>
      <c r="G20" s="5">
        <f>HYPERLINK("https://www.youtube.com/watch?v=IKMtRxARBZY", "영상 보기 ▶")</f>
        <v/>
      </c>
    </row>
    <row r="21" ht="26" customHeight="1">
      <c r="A21" s="6" t="n">
        <v>70</v>
      </c>
      <c r="B21" s="7" t="inlineStr">
        <is>
          <t>가격 표현</t>
        </is>
      </c>
      <c r="C21" s="8" t="inlineStr">
        <is>
          <t>affordable</t>
        </is>
      </c>
      <c r="D21" s="12" t="inlineStr">
        <is>
          <t>가격이 적당한, 감당할 만한 비용인</t>
        </is>
      </c>
      <c r="E21" s="12" t="inlineStr">
        <is>
          <t>It's very affordable.</t>
        </is>
      </c>
      <c r="F21" s="12" t="inlineStr">
        <is>
          <t>가격이 아주 합리적이고 부담 없어요.</t>
        </is>
      </c>
      <c r="G21" s="9">
        <f>HYPERLINK("https://www.youtube.com/watch?v=IKMtRxARBZY", "영상 보기 ▶")</f>
        <v/>
      </c>
    </row>
    <row r="22" ht="26" customHeight="1">
      <c r="A22" s="2" t="n">
        <v>71</v>
      </c>
      <c r="B22" s="3" t="inlineStr">
        <is>
          <t>소비 습관</t>
        </is>
      </c>
      <c r="C22" s="4" t="inlineStr">
        <is>
          <t>be smart with money</t>
        </is>
      </c>
      <c r="D22" s="11" t="inlineStr">
        <is>
          <t>현명한 소비습관을 지니다</t>
        </is>
      </c>
      <c r="E22" s="11" t="inlineStr">
        <is>
          <t>She is smart with money.</t>
        </is>
      </c>
      <c r="F22" s="11" t="inlineStr">
        <is>
          <t>그녀는 돈을 똑똑하게 잘 써요.</t>
        </is>
      </c>
      <c r="G22" s="5">
        <f>HYPERLINK("https://www.youtube.com/watch?v=IKMtRxARBZY", "영상 보기 ▶")</f>
        <v/>
      </c>
    </row>
    <row r="23" ht="26" customHeight="1">
      <c r="A23" s="6" t="n">
        <v>72</v>
      </c>
      <c r="B23" s="7" t="inlineStr">
        <is>
          <t>상태 표현</t>
        </is>
      </c>
      <c r="C23" s="8" t="inlineStr">
        <is>
          <t>weird</t>
        </is>
      </c>
      <c r="D23" s="12" t="inlineStr">
        <is>
          <t>(내 상식/경험과 달라) 이상한</t>
        </is>
      </c>
      <c r="E23" s="12" t="inlineStr">
        <is>
          <t>That's weird.</t>
        </is>
      </c>
      <c r="F23" s="12" t="inlineStr">
        <is>
          <t>그거 참 이상하네.</t>
        </is>
      </c>
      <c r="G23" s="9">
        <f>HYPERLINK("https://www.youtube.com/watch?v=IKMtRxARBZY", "영상 보기 ▶")</f>
        <v/>
      </c>
    </row>
    <row r="24" ht="26" customHeight="1">
      <c r="A24" s="2" t="n">
        <v>73</v>
      </c>
      <c r="B24" s="3" t="inlineStr">
        <is>
          <t>구어 뉘앙스</t>
        </is>
      </c>
      <c r="C24" s="4" t="inlineStr">
        <is>
          <t>kind of / sort of</t>
        </is>
      </c>
      <c r="D24" s="11" t="inlineStr">
        <is>
          <t>약간, 어느 정도, 말하자면</t>
        </is>
      </c>
      <c r="E24" s="11" t="inlineStr">
        <is>
          <t>I'm kind of tired.</t>
        </is>
      </c>
      <c r="F24" s="11" t="inlineStr">
        <is>
          <t>나 약간 피곤해.</t>
        </is>
      </c>
      <c r="G24" s="5">
        <f>HYPERLINK("https://www.youtube.com/watch?v=IKMtRxARBZY", "영상 보기 ▶")</f>
        <v/>
      </c>
    </row>
    <row r="25" ht="26" customHeight="1">
      <c r="A25" s="6" t="n">
        <v>74</v>
      </c>
      <c r="B25" s="7" t="inlineStr">
        <is>
          <t>상황 표현</t>
        </is>
      </c>
      <c r="C25" s="8" t="inlineStr">
        <is>
          <t>mess</t>
        </is>
      </c>
      <c r="D25" s="12" t="inlineStr">
        <is>
          <t>엉망진창인 상태/상황</t>
        </is>
      </c>
      <c r="E25" s="12" t="inlineStr">
        <is>
          <t>My desk is a mess.</t>
        </is>
      </c>
      <c r="F25" s="12" t="inlineStr">
        <is>
          <t>내 책상이 완전 난장판이야.</t>
        </is>
      </c>
      <c r="G25" s="9">
        <f>HYPERLINK("https://www.youtube.com/watch?v=IKMtRxARBZY", "영상 보기 ▶")</f>
        <v/>
      </c>
    </row>
    <row r="26" ht="26" customHeight="1">
      <c r="A26" s="2" t="n">
        <v>75</v>
      </c>
      <c r="B26" s="3" t="inlineStr">
        <is>
          <t>실수/상황</t>
        </is>
      </c>
      <c r="C26" s="4" t="inlineStr">
        <is>
          <t>mess up</t>
        </is>
      </c>
      <c r="D26" s="11" t="inlineStr">
        <is>
          <t>~를 엉망으로 만들다, 망치다</t>
        </is>
      </c>
      <c r="E26" s="11" t="inlineStr">
        <is>
          <t>I messed up.</t>
        </is>
      </c>
      <c r="F26" s="11" t="inlineStr">
        <is>
          <t>내가 일을 망쳤어 / 큰 실수했어.</t>
        </is>
      </c>
      <c r="G26" s="5">
        <f>HYPERLINK("https://www.youtube.com/watch?v=IKMtRxARBZY", "영상 보기 ▶")</f>
        <v/>
      </c>
    </row>
    <row r="27" ht="26" customHeight="1">
      <c r="A27" s="6" t="n">
        <v>76</v>
      </c>
      <c r="B27" s="7" t="inlineStr">
        <is>
          <t>예측 표현</t>
        </is>
      </c>
      <c r="C27" s="8" t="inlineStr">
        <is>
          <t>I saw this coming</t>
        </is>
      </c>
      <c r="D27" s="12" t="inlineStr">
        <is>
          <t>이럴 줄 알았어 / 이렇게 될 줄 알았어</t>
        </is>
      </c>
      <c r="E27" s="12" t="inlineStr">
        <is>
          <t>I saw this coming.</t>
        </is>
      </c>
      <c r="F27" s="12" t="inlineStr">
        <is>
          <t>나 이렇게 될 줄 진작에 알았어.</t>
        </is>
      </c>
      <c r="G27" s="9">
        <f>HYPERLINK("https://www.youtube.com/watch?v=IKMtRxARBZY", "영상 보기 ▶")</f>
        <v/>
      </c>
    </row>
    <row r="28" ht="26" customHeight="1">
      <c r="A28" s="2" t="n">
        <v>77</v>
      </c>
      <c r="B28" s="3" t="inlineStr">
        <is>
          <t>방문 인사</t>
        </is>
      </c>
      <c r="C28" s="4" t="inlineStr">
        <is>
          <t>What brings you here?</t>
        </is>
      </c>
      <c r="D28" s="11" t="inlineStr">
        <is>
          <t>여기 웬일로 오셨어요? / 무슨 일로 오셨어요?</t>
        </is>
      </c>
      <c r="E28" s="11" t="inlineStr">
        <is>
          <t>Hey, what brings you here?</t>
        </is>
      </c>
      <c r="F28" s="11" t="inlineStr">
        <is>
          <t>어, 여기 어쩐 일로 오셨어요?</t>
        </is>
      </c>
      <c r="G28" s="5">
        <f>HYPERLINK("https://www.youtube.com/watch?v=IKMtRxARBZY", "영상 보기 ▶")</f>
        <v/>
      </c>
    </row>
    <row r="29" ht="26" customHeight="1">
      <c r="A29" s="6" t="n">
        <v>78</v>
      </c>
      <c r="B29" s="7" t="inlineStr">
        <is>
          <t>소통 방식</t>
        </is>
      </c>
      <c r="C29" s="8" t="inlineStr">
        <is>
          <t>in person</t>
        </is>
      </c>
      <c r="D29" s="12" t="inlineStr">
        <is>
          <t>직접, 대면하여 (= face to face)</t>
        </is>
      </c>
      <c r="E29" s="12" t="inlineStr">
        <is>
          <t>It's great to meet you in person.</t>
        </is>
      </c>
      <c r="F29" s="12" t="inlineStr">
        <is>
          <t>직접 뵙게 되어 정말 반갑습니다.</t>
        </is>
      </c>
      <c r="G29" s="9">
        <f>HYPERLINK("https://www.youtube.com/watch?v=IKMtRxARBZY", "영상 보기 ▶")</f>
        <v/>
      </c>
    </row>
    <row r="30" ht="26" customHeight="1">
      <c r="A30" s="2" t="n">
        <v>79</v>
      </c>
      <c r="B30" s="3" t="inlineStr">
        <is>
          <t>연락 소통</t>
        </is>
      </c>
      <c r="C30" s="4" t="inlineStr">
        <is>
          <t>reach</t>
        </is>
      </c>
      <c r="D30" s="11" t="inlineStr">
        <is>
          <t>(전화/이메일/문자로) 연락이 닿다</t>
        </is>
      </c>
      <c r="E30" s="11" t="inlineStr">
        <is>
          <t>How can I reach you?</t>
        </is>
      </c>
      <c r="F30" s="11" t="inlineStr">
        <is>
          <t>어디로 연락드리면 될까요?</t>
        </is>
      </c>
      <c r="G30" s="5">
        <f>HYPERLINK("https://www.youtube.com/watch?v=IKMtRxARBZY", "영상 보기 ▶")</f>
        <v/>
      </c>
    </row>
    <row r="31" ht="26" customHeight="1">
      <c r="A31" s="6" t="n">
        <v>80</v>
      </c>
      <c r="B31" s="7" t="inlineStr">
        <is>
          <t>기분 표현</t>
        </is>
      </c>
      <c r="C31" s="8" t="inlineStr">
        <is>
          <t>be in the mood for</t>
        </is>
      </c>
      <c r="D31" s="12" t="inlineStr">
        <is>
          <t>~하고/먹고/보고 싶은 기분이다</t>
        </is>
      </c>
      <c r="E31" s="12" t="inlineStr">
        <is>
          <t>I'm in the mood for pizza.</t>
        </is>
      </c>
      <c r="F31" s="12" t="inlineStr">
        <is>
          <t>나 오늘 피자 먹고 싶은 기분이야.</t>
        </is>
      </c>
      <c r="G31" s="9">
        <f>HYPERLINK("https://www.youtube.com/watch?v=IKMtRxARBZY", "영상 보기 ▶")</f>
        <v/>
      </c>
    </row>
    <row r="32" ht="26" customHeight="1">
      <c r="A32" s="2" t="n">
        <v>81</v>
      </c>
      <c r="B32" s="3" t="inlineStr">
        <is>
          <t>배려 표현</t>
        </is>
      </c>
      <c r="C32" s="4" t="inlineStr">
        <is>
          <t>Is there anything I can do?</t>
        </is>
      </c>
      <c r="D32" s="11" t="inlineStr">
        <is>
          <t>내가 도울 수 있는 게 뭐라도 있을까?</t>
        </is>
      </c>
      <c r="E32" s="11" t="inlineStr">
        <is>
          <t>Is there anything I can do to help?</t>
        </is>
      </c>
      <c r="F32" s="11" t="inlineStr">
        <is>
          <t>내가 도와줄 수 있는 게 뭐라도 있을까?</t>
        </is>
      </c>
      <c r="G32" s="5">
        <f>HYPERLINK("https://www.youtube.com/watch?v=IKMtRxARBZY", "영상 보기 ▶")</f>
        <v/>
      </c>
    </row>
    <row r="33" ht="26" customHeight="1">
      <c r="A33" s="6" t="n">
        <v>82</v>
      </c>
      <c r="B33" s="7" t="inlineStr">
        <is>
          <t>단어 뉘앙스</t>
        </is>
      </c>
      <c r="C33" s="8" t="inlineStr">
        <is>
          <t>else</t>
        </is>
      </c>
      <c r="D33" s="12" t="inlineStr">
        <is>
          <t>또, 다른 (그 밖에)</t>
        </is>
      </c>
      <c r="E33" s="12" t="inlineStr">
        <is>
          <t>Anything else?</t>
        </is>
      </c>
      <c r="F33" s="12" t="inlineStr">
        <is>
          <t>그 밖에 더 필요한 거 있으세요?</t>
        </is>
      </c>
      <c r="G33" s="9">
        <f>HYPERLINK("https://www.youtube.com/watch?v=IKMtRxARBZY", "영상 보기 ▶")</f>
        <v/>
      </c>
    </row>
    <row r="34" ht="26" customHeight="1">
      <c r="A34" s="2" t="n">
        <v>83</v>
      </c>
      <c r="B34" s="3" t="inlineStr">
        <is>
          <t>정중한 제안</t>
        </is>
      </c>
      <c r="C34" s="4" t="inlineStr">
        <is>
          <t>Allow me to + 동사원형</t>
        </is>
      </c>
      <c r="D34" s="11" t="inlineStr">
        <is>
          <t>제가 ~하도록 허락해 주세요 (제가 ~해 드릴게요)</t>
        </is>
      </c>
      <c r="E34" s="11" t="inlineStr">
        <is>
          <t>Allow me to introduce myself.</t>
        </is>
      </c>
      <c r="F34" s="11" t="inlineStr">
        <is>
          <t>제 소개를 드리겠습니다.</t>
        </is>
      </c>
      <c r="G34" s="5">
        <f>HYPERLINK("https://www.youtube.com/watch?v=IKMtRxARBZY", "영상 보기 ▶")</f>
        <v/>
      </c>
    </row>
    <row r="35" ht="26" customHeight="1">
      <c r="A35" s="6" t="n">
        <v>84</v>
      </c>
      <c r="B35" s="7" t="inlineStr">
        <is>
          <t>업무 소통</t>
        </is>
      </c>
      <c r="C35" s="8" t="inlineStr">
        <is>
          <t>get back to (사람)</t>
        </is>
      </c>
      <c r="D35" s="12" t="inlineStr">
        <is>
          <t>~에게 나중에 연락하다/답변하다</t>
        </is>
      </c>
      <c r="E35" s="12" t="inlineStr">
        <is>
          <t>I'll get back to you soon.</t>
        </is>
      </c>
      <c r="F35" s="12" t="inlineStr">
        <is>
          <t>확인 후 곧 답변드리겠습니다.</t>
        </is>
      </c>
      <c r="G35" s="9">
        <f>HYPERLINK("https://www.youtube.com/watch?v=IKMtRxARBZY", "영상 보기 ▶")</f>
        <v/>
      </c>
    </row>
    <row r="36" ht="26" customHeight="1">
      <c r="A36" s="2" t="n">
        <v>85</v>
      </c>
      <c r="B36" s="3" t="inlineStr">
        <is>
          <t>비즈니스</t>
        </is>
      </c>
      <c r="C36" s="4" t="inlineStr">
        <is>
          <t>area of expertise</t>
        </is>
      </c>
      <c r="D36" s="11" t="inlineStr">
        <is>
          <t>전문 분야</t>
        </is>
      </c>
      <c r="E36" s="11" t="inlineStr">
        <is>
          <t>That's not my area of expertise.</t>
        </is>
      </c>
      <c r="F36" s="11" t="inlineStr">
        <is>
          <t>그건 제 전문 분야가 아닙니다.</t>
        </is>
      </c>
      <c r="G36" s="5">
        <f>HYPERLINK("https://www.youtube.com/watch?v=IKMtRxARBZY", "영상 보기 ▶")</f>
        <v/>
      </c>
    </row>
    <row r="37" ht="26" customHeight="1">
      <c r="A37" s="6" t="n">
        <v>86</v>
      </c>
      <c r="B37" s="7" t="inlineStr">
        <is>
          <t>정중한 감사</t>
        </is>
      </c>
      <c r="C37" s="8" t="inlineStr">
        <is>
          <t>Thank you for taking time out of your busy schedule</t>
        </is>
      </c>
      <c r="D37" s="12" t="inlineStr">
        <is>
          <t>바쁜 일정 중에 시간 내주셔서 감사합니다</t>
        </is>
      </c>
      <c r="E37" s="12" t="inlineStr">
        <is>
          <t>Thank you for taking time out of your busy schedule.</t>
        </is>
      </c>
      <c r="F37" s="12" t="inlineStr">
        <is>
          <t>바쁘신 와중에 시간 내주셔서 감사드립니다.</t>
        </is>
      </c>
      <c r="G37" s="9">
        <f>HYPERLINK("https://www.youtube.com/watch?v=IKMtRxARBZY", "영상 보기 ▶")</f>
        <v/>
      </c>
    </row>
    <row r="38" ht="26" customHeight="1">
      <c r="A38" s="2" t="n">
        <v>87</v>
      </c>
      <c r="B38" s="3" t="inlineStr">
        <is>
          <t>마무리 표현</t>
        </is>
      </c>
      <c r="C38" s="4" t="inlineStr">
        <is>
          <t>wrap up</t>
        </is>
      </c>
      <c r="D38" s="11" t="inlineStr">
        <is>
          <t>마무리하다 (집에 간다는 보장은 없음)</t>
        </is>
      </c>
      <c r="E38" s="11" t="inlineStr">
        <is>
          <t>Let's wrap up this meeting.</t>
        </is>
      </c>
      <c r="F38" s="11" t="inlineStr">
        <is>
          <t>이번 회의 마무리합시다.</t>
        </is>
      </c>
      <c r="G38" s="5">
        <f>HYPERLINK("https://www.youtube.com/watch?v=IKMtRxARBZY", "영상 보기 ▶")</f>
        <v/>
      </c>
    </row>
    <row r="39" ht="26" customHeight="1">
      <c r="A39" s="6" t="n">
        <v>88</v>
      </c>
      <c r="B39" s="7" t="inlineStr">
        <is>
          <t>퇴근 표현</t>
        </is>
      </c>
      <c r="C39" s="8" t="inlineStr">
        <is>
          <t>call it a day / night</t>
        </is>
      </c>
      <c r="D39" s="12" t="inlineStr">
        <is>
          <t>오늘 일과를 마무리하다 (집에 가자는 뉘앙스)</t>
        </is>
      </c>
      <c r="E39" s="12" t="inlineStr">
        <is>
          <t>Let's call it a day.</t>
        </is>
      </c>
      <c r="F39" s="12" t="inlineStr">
        <is>
          <t>오늘 일은 여기서 마칩시다(퇴근합시다).</t>
        </is>
      </c>
      <c r="G39" s="9">
        <f>HYPERLINK("https://www.youtube.com/watch?v=IKMtRxARBZY", "영상 보기 ▶")</f>
        <v/>
      </c>
    </row>
    <row r="40" ht="26" customHeight="1">
      <c r="A40" s="2" t="n">
        <v>89</v>
      </c>
      <c r="B40" s="3" t="inlineStr">
        <is>
          <t>일상 회화</t>
        </is>
      </c>
      <c r="C40" s="4" t="inlineStr">
        <is>
          <t>errand</t>
        </is>
      </c>
      <c r="D40" s="11" t="inlineStr">
        <is>
          <t>심부름, 볼일, 용무</t>
        </is>
      </c>
      <c r="E40" s="11" t="inlineStr">
        <is>
          <t>I have errands to run.</t>
        </is>
      </c>
      <c r="F40" s="11" t="inlineStr">
        <is>
          <t>나 볼일 보러 다녀와야 해.</t>
        </is>
      </c>
      <c r="G40" s="5">
        <f>HYPERLINK("https://www.youtube.com/watch?v=IKMtRxARBZY", "영상 보기 ▶")</f>
        <v/>
      </c>
    </row>
    <row r="41" ht="26" customHeight="1">
      <c r="A41" s="6" t="n">
        <v>90</v>
      </c>
      <c r="B41" s="7" t="inlineStr">
        <is>
          <t>보상/사과</t>
        </is>
      </c>
      <c r="C41" s="8" t="inlineStr">
        <is>
          <t>make it up to (사람)</t>
        </is>
      </c>
      <c r="D41" s="12" t="inlineStr">
        <is>
          <t>(신세나 잘못을) 만회하다, 보상하다</t>
        </is>
      </c>
      <c r="E41" s="12" t="inlineStr">
        <is>
          <t>I'll make it up to you.</t>
        </is>
      </c>
      <c r="F41" s="12" t="inlineStr">
        <is>
          <t>내가 다음번에 꼭 만회할게/보답할게.</t>
        </is>
      </c>
      <c r="G41" s="9">
        <f>HYPERLINK("https://www.youtube.com/watch?v=IKMtRxARBZY", "영상 보기 ▶")</f>
        <v/>
      </c>
    </row>
    <row r="42" ht="26" customHeight="1">
      <c r="A42" s="2" t="n">
        <v>91</v>
      </c>
      <c r="B42" s="3" t="inlineStr">
        <is>
          <t>사교 표현</t>
        </is>
      </c>
      <c r="C42" s="4" t="inlineStr">
        <is>
          <t>treat</t>
        </is>
      </c>
      <c r="D42" s="11" t="inlineStr">
        <is>
          <t>대접하다, 한턱내다</t>
        </is>
      </c>
      <c r="E42" s="11" t="inlineStr">
        <is>
          <t>It's my treat.</t>
        </is>
      </c>
      <c r="F42" s="11" t="inlineStr">
        <is>
          <t>내가 쏘는 거야 / 내가 대접할게.</t>
        </is>
      </c>
      <c r="G42" s="5">
        <f>HYPERLINK("https://www.youtube.com/watch?v=IKMtRxARBZY", "영상 보기 ▶")</f>
        <v/>
      </c>
    </row>
    <row r="43" ht="26" customHeight="1">
      <c r="A43" s="6" t="n">
        <v>92</v>
      </c>
      <c r="B43" s="7" t="inlineStr">
        <is>
          <t>사교 표현</t>
        </is>
      </c>
      <c r="C43" s="8" t="inlineStr">
        <is>
          <t>~ is on me</t>
        </is>
      </c>
      <c r="D43" s="12" t="inlineStr">
        <is>
          <t>~는 내가 쏠게 / 내가 낼게</t>
        </is>
      </c>
      <c r="E43" s="12" t="inlineStr">
        <is>
          <t>Lunch is on me today.</t>
        </is>
      </c>
      <c r="F43" s="12" t="inlineStr">
        <is>
          <t>오늘 점심은 내가 쏠게.</t>
        </is>
      </c>
      <c r="G43" s="9">
        <f>HYPERLINK("https://www.youtube.com/watch?v=IKMtRxARBZY", "영상 보기 ▶")</f>
        <v/>
      </c>
    </row>
    <row r="44" ht="26" customHeight="1">
      <c r="A44" s="2" t="n">
        <v>93</v>
      </c>
      <c r="B44" s="3" t="inlineStr">
        <is>
          <t>배려 표현</t>
        </is>
      </c>
      <c r="C44" s="4" t="inlineStr">
        <is>
          <t>I insist</t>
        </is>
      </c>
      <c r="D44" s="11" t="inlineStr">
        <is>
          <t>거절 마, 내 뜻대로 해줘</t>
        </is>
      </c>
      <c r="E44" s="11" t="inlineStr">
        <is>
          <t>Please, I insist.</t>
        </is>
      </c>
      <c r="F44" s="11" t="inlineStr">
        <is>
          <t>제발 거절하지 마세요 (제가 낼게요).</t>
        </is>
      </c>
      <c r="G44" s="5">
        <f>HYPERLINK("https://www.youtube.com/watch?v=IKMtRxARBZY", "영상 보기 ▶")</f>
        <v/>
      </c>
    </row>
    <row r="45" ht="26" customHeight="1">
      <c r="A45" s="6" t="n">
        <v>94</v>
      </c>
      <c r="B45" s="7" t="inlineStr">
        <is>
          <t>겸양 표현</t>
        </is>
      </c>
      <c r="C45" s="8" t="inlineStr">
        <is>
          <t>It's the least I can do</t>
        </is>
      </c>
      <c r="D45" s="12" t="inlineStr">
        <is>
          <t>제가 할 수 있는 최소한의 도리입니다</t>
        </is>
      </c>
      <c r="E45" s="12" t="inlineStr">
        <is>
          <t>It's the least I can do.</t>
        </is>
      </c>
      <c r="F45" s="12" t="inlineStr">
        <is>
          <t>당연히 이 정도는 제가 해드려야죠.</t>
        </is>
      </c>
      <c r="G45" s="9">
        <f>HYPERLINK("https://www.youtube.com/watch?v=IKMtRxARBZY", "영상 보기 ▶")</f>
        <v/>
      </c>
    </row>
    <row r="46" ht="26" customHeight="1">
      <c r="A46" s="2" t="n">
        <v>95</v>
      </c>
      <c r="B46" s="3" t="inlineStr">
        <is>
          <t>실수 해명</t>
        </is>
      </c>
      <c r="C46" s="4" t="inlineStr">
        <is>
          <t>honest mistake</t>
        </is>
      </c>
      <c r="D46" s="11" t="inlineStr">
        <is>
          <t>악의 없는 순수한 실수, 부지불식간의 실수</t>
        </is>
      </c>
      <c r="E46" s="11" t="inlineStr">
        <is>
          <t>It was an honest mistake.</t>
        </is>
      </c>
      <c r="F46" s="11" t="inlineStr">
        <is>
          <t>일부러 그런 게 아니라 어쩌다 보니 한 실수였어요.</t>
        </is>
      </c>
      <c r="G46" s="5">
        <f>HYPERLINK("https://www.youtube.com/watch?v=IKMtRxARBZY", "영상 보기 ▶")</f>
        <v/>
      </c>
    </row>
    <row r="47" ht="26" customHeight="1">
      <c r="A47" s="6" t="n">
        <v>96</v>
      </c>
      <c r="B47" s="7" t="inlineStr">
        <is>
          <t>평가 표현</t>
        </is>
      </c>
      <c r="C47" s="8" t="inlineStr">
        <is>
          <t>solid</t>
        </is>
      </c>
      <c r="D47" s="12" t="inlineStr">
        <is>
          <t>믿음직한, 탄탄한, 괜찮은</t>
        </is>
      </c>
      <c r="E47" s="12" t="inlineStr">
        <is>
          <t>He gave a solid presentation.</t>
        </is>
      </c>
      <c r="F47" s="12" t="inlineStr">
        <is>
          <t>그는 아주 탄탄하고 훌륭한 발표를 했어.</t>
        </is>
      </c>
      <c r="G47" s="9">
        <f>HYPERLINK("https://www.youtube.com/watch?v=IKMtRxARBZY", "영상 보기 ▶")</f>
        <v/>
      </c>
    </row>
    <row r="48" ht="26" customHeight="1">
      <c r="A48" s="2" t="n">
        <v>97</v>
      </c>
      <c r="B48" s="3" t="inlineStr">
        <is>
          <t>정보 공유</t>
        </is>
      </c>
      <c r="C48" s="4" t="inlineStr">
        <is>
          <t>Thanks for the heads-up</t>
        </is>
      </c>
      <c r="D48" s="11" t="inlineStr">
        <is>
          <t>미리 귀띔해줘서 고마워 / 미리 알려줘서 고마워</t>
        </is>
      </c>
      <c r="E48" s="11" t="inlineStr">
        <is>
          <t>Thanks for the heads-up.</t>
        </is>
      </c>
      <c r="F48" s="11" t="inlineStr">
        <is>
          <t>미리 알려줘서 고마워.</t>
        </is>
      </c>
      <c r="G48" s="5">
        <f>HYPERLINK("https://www.youtube.com/watch?v=IKMtRxARBZY", "영상 보기 ▶")</f>
        <v/>
      </c>
    </row>
    <row r="49" ht="26" customHeight="1">
      <c r="A49" s="6" t="n">
        <v>98</v>
      </c>
      <c r="B49" s="7" t="inlineStr">
        <is>
          <t>초대 매너</t>
        </is>
      </c>
      <c r="C49" s="8" t="inlineStr">
        <is>
          <t>RSVP</t>
        </is>
      </c>
      <c r="D49" s="12" t="inlineStr">
        <is>
          <t>참석 여부를 회신해 주시기 바랍니다</t>
        </is>
      </c>
      <c r="E49" s="12" t="inlineStr">
        <is>
          <t>Please RSVP by Friday.</t>
        </is>
      </c>
      <c r="F49" s="12" t="inlineStr">
        <is>
          <t>금요일까지 참석 여부를 회신해 주세요.</t>
        </is>
      </c>
      <c r="G49" s="9">
        <f>HYPERLINK("https://www.youtube.com/watch?v=IKMtRxARBZY", "영상 보기 ▶")</f>
        <v/>
      </c>
    </row>
    <row r="50" ht="26" customHeight="1">
      <c r="A50" s="2" t="n">
        <v>99</v>
      </c>
      <c r="B50" s="3" t="inlineStr">
        <is>
          <t>참석 약속</t>
        </is>
      </c>
      <c r="C50" s="4" t="inlineStr">
        <is>
          <t>I'll be there</t>
        </is>
      </c>
      <c r="D50" s="11" t="inlineStr">
        <is>
          <t>(거기에 꼭) 갈게요</t>
        </is>
      </c>
      <c r="E50" s="11" t="inlineStr">
        <is>
          <t>Don't worry, I'll be there.</t>
        </is>
      </c>
      <c r="F50" s="11" t="inlineStr">
        <is>
          <t>걱정 마, 꼭 참석할게.</t>
        </is>
      </c>
      <c r="G50" s="5">
        <f>HYPERLINK("https://www.youtube.com/watch?v=IKMtRxARBZY", "영상 보기 ▶")</f>
        <v/>
      </c>
    </row>
    <row r="51" ht="26" customHeight="1">
      <c r="A51" s="6" t="n">
        <v>100</v>
      </c>
      <c r="B51" s="7" t="inlineStr">
        <is>
          <t>만능동사 make</t>
        </is>
      </c>
      <c r="C51" s="8" t="inlineStr">
        <is>
          <t>make</t>
        </is>
      </c>
      <c r="D51" s="12" t="inlineStr">
        <is>
          <t>(어떤 장소나 시간에) 힘들게 도착하다 / 참석하다</t>
        </is>
      </c>
      <c r="E51" s="12" t="inlineStr">
        <is>
          <t>I don't think I can make it.</t>
        </is>
      </c>
      <c r="F51" s="12" t="inlineStr">
        <is>
          <t>나 거기 못 갈 것 같아 / 제시간에 못 맞출 것 같아.</t>
        </is>
      </c>
      <c r="G51" s="9">
        <f>HYPERLINK("https://www.youtube.com/watch?v=IKMtRxARBZY", "영상 보기 ▶")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8" customWidth="1" min="3" max="3"/>
    <col width="48" customWidth="1" min="4" max="4"/>
    <col width="51" customWidth="1" min="5" max="5"/>
    <col width="47.4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101</v>
      </c>
      <c r="B2" s="3" t="inlineStr">
        <is>
          <t>정중한 확인</t>
        </is>
      </c>
      <c r="C2" s="4" t="inlineStr">
        <is>
          <t>Did you get a chance to + 동사원형?</t>
        </is>
      </c>
      <c r="D2" s="11" t="inlineStr">
        <is>
          <t>바쁘시겠지만 혹시 ~할 시간/기회 있으셨나요?</t>
        </is>
      </c>
      <c r="E2" s="11" t="inlineStr">
        <is>
          <t>Did you get a chance to read my email?</t>
        </is>
      </c>
      <c r="F2" s="11" t="inlineStr">
        <is>
          <t>혹시 제 이메일 읽어보실 시간 있으셨나요?</t>
        </is>
      </c>
      <c r="G2" s="5">
        <f>HYPERLINK("https://www.youtube.com/watch?v=WEDvuTDF9hY", "영상 보기 ▶")</f>
        <v/>
      </c>
    </row>
    <row r="3" ht="26" customHeight="1">
      <c r="A3" s="6" t="n">
        <v>102</v>
      </c>
      <c r="B3" s="7" t="inlineStr">
        <is>
          <t>조심스런 질문</t>
        </is>
      </c>
      <c r="C3" s="8" t="inlineStr">
        <is>
          <t>If you don't mind me/my asking ~</t>
        </is>
      </c>
      <c r="D3" s="12" t="inlineStr">
        <is>
          <t>결례가 안 된다면 여쭤봐도 될지 모르겠지만 ~</t>
        </is>
      </c>
      <c r="E3" s="12" t="inlineStr">
        <is>
          <t>If you don't mind me asking, are you married?</t>
        </is>
      </c>
      <c r="F3" s="12" t="inlineStr">
        <is>
          <t>실례가 안 된다면 결혼하셨는지 여쭤봐도 될까요?</t>
        </is>
      </c>
      <c r="G3" s="9">
        <f>HYPERLINK("https://www.youtube.com/watch?v=WEDvuTDF9hY", "영상 보기 ▶")</f>
        <v/>
      </c>
    </row>
    <row r="4" ht="26" customHeight="1">
      <c r="A4" s="2" t="n">
        <v>103</v>
      </c>
      <c r="B4" s="3" t="inlineStr">
        <is>
          <t>외람된 의견</t>
        </is>
      </c>
      <c r="C4" s="4" t="inlineStr">
        <is>
          <t>With all due respect,</t>
        </is>
      </c>
      <c r="D4" s="11" t="inlineStr">
        <is>
          <t>외람된 말씀이지만, 죄송하지만 (상사/고객에게)</t>
        </is>
      </c>
      <c r="E4" s="11" t="inlineStr">
        <is>
          <t>With all due respect, I disagree.</t>
        </is>
      </c>
      <c r="F4" s="11" t="inlineStr">
        <is>
          <t>외람된 말씀입니다만, 저는 생각이 다릅니다.</t>
        </is>
      </c>
      <c r="G4" s="5">
        <f>HYPERLINK("https://www.youtube.com/watch?v=WEDvuTDF9hY", "영상 보기 ▶")</f>
        <v/>
      </c>
    </row>
    <row r="5" ht="26" customHeight="1">
      <c r="A5" s="6" t="n">
        <v>104</v>
      </c>
      <c r="B5" s="7" t="inlineStr">
        <is>
          <t>정중한 요청</t>
        </is>
      </c>
      <c r="C5" s="8" t="inlineStr">
        <is>
          <t>If possible</t>
        </is>
      </c>
      <c r="D5" s="12" t="inlineStr">
        <is>
          <t>가능하다면 (부탁 어조 완화)</t>
        </is>
      </c>
      <c r="E5" s="12" t="inlineStr">
        <is>
          <t>Could I get a quiet room, if possible?</t>
        </is>
      </c>
      <c r="F5" s="12" t="inlineStr">
        <is>
          <t>가능하다면 조용한 방으로 배정받을 수 있을까요?</t>
        </is>
      </c>
      <c r="G5" s="9">
        <f>HYPERLINK("https://www.youtube.com/watch?v=WEDvuTDF9hY", "영상 보기 ▶")</f>
        <v/>
      </c>
    </row>
    <row r="6" ht="26" customHeight="1">
      <c r="A6" s="2" t="n">
        <v>105</v>
      </c>
      <c r="B6" s="3" t="inlineStr">
        <is>
          <t>정중한 타진</t>
        </is>
      </c>
      <c r="C6" s="4" t="inlineStr">
        <is>
          <t>I was wondering if ~</t>
        </is>
      </c>
      <c r="D6" s="11" t="inlineStr">
        <is>
          <t>혹시 ~해도 괜찮은지 여쭤보려 했어요</t>
        </is>
      </c>
      <c r="E6" s="11" t="inlineStr">
        <is>
          <t>I was wondering if you're available tonight.</t>
        </is>
      </c>
      <c r="F6" s="11" t="inlineStr">
        <is>
          <t>오늘 저녁에 혹시 시간 괜찮으신가 해서요.</t>
        </is>
      </c>
      <c r="G6" s="5">
        <f>HYPERLINK("https://www.youtube.com/watch?v=WEDvuTDF9hY", "영상 보기 ▶")</f>
        <v/>
      </c>
    </row>
    <row r="7" ht="26" customHeight="1">
      <c r="A7" s="6" t="n">
        <v>106</v>
      </c>
      <c r="B7" s="7" t="inlineStr">
        <is>
          <t>감사 답변</t>
        </is>
      </c>
      <c r="C7" s="8" t="inlineStr">
        <is>
          <t>My pleasure / Don't mention it</t>
        </is>
      </c>
      <c r="D7" s="12" t="inlineStr">
        <is>
          <t>도움이 되어 기쁜걸요 / 별말씀을요</t>
        </is>
      </c>
      <c r="E7" s="12" t="inlineStr">
        <is>
          <t>My pleasure! / It's no trouble at all.</t>
        </is>
      </c>
      <c r="F7" s="12" t="inlineStr">
        <is>
          <t>제가 더 기쁜걸요! / 전혀 번거롭지 않았어요.</t>
        </is>
      </c>
      <c r="G7" s="9">
        <f>HYPERLINK("https://www.youtube.com/watch?v=WEDvuTDF9hY", "영상 보기 ▶")</f>
        <v/>
      </c>
    </row>
    <row r="8" ht="26" customHeight="1">
      <c r="A8" s="2" t="n">
        <v>107</v>
      </c>
      <c r="B8" s="3" t="inlineStr">
        <is>
          <t>이메일 첫인사</t>
        </is>
      </c>
      <c r="C8" s="4" t="inlineStr">
        <is>
          <t>I hope you are well</t>
        </is>
      </c>
      <c r="D8" s="11" t="inlineStr">
        <is>
          <t>(오랜만에 연락할 때) 잘 지내고 계시길 바랍니다</t>
        </is>
      </c>
      <c r="E8" s="11" t="inlineStr">
        <is>
          <t>I hope this email finds you well.</t>
        </is>
      </c>
      <c r="F8" s="11" t="inlineStr">
        <is>
          <t>모쪼록 잘 지내고 계시길 바랍니다.</t>
        </is>
      </c>
      <c r="G8" s="5">
        <f>HYPERLINK("https://www.youtube.com/watch?v=WEDvuTDF9hY", "영상 보기 ▶")</f>
        <v/>
      </c>
    </row>
    <row r="9" ht="26" customHeight="1">
      <c r="A9" s="6" t="n">
        <v>108</v>
      </c>
      <c r="B9" s="7" t="inlineStr">
        <is>
          <t>이메일 첫인사</t>
        </is>
      </c>
      <c r="C9" s="8" t="inlineStr">
        <is>
          <t>I hope you're having a great week</t>
        </is>
      </c>
      <c r="D9" s="12" t="inlineStr">
        <is>
          <t>(자주 연락할 때) 좋은 한 주 보내고 계시길 바라요</t>
        </is>
      </c>
      <c r="E9" s="12" t="inlineStr">
        <is>
          <t>I hope you're having a productive week.</t>
        </is>
      </c>
      <c r="F9" s="12" t="inlineStr">
        <is>
          <t>알찬 한 주 보내고 계시길 바랍니다.</t>
        </is>
      </c>
      <c r="G9" s="9">
        <f>HYPERLINK("https://www.youtube.com/watch?v=WEDvuTDF9hY", "영상 보기 ▶")</f>
        <v/>
      </c>
    </row>
    <row r="10" ht="26" customHeight="1">
      <c r="A10" s="2" t="n">
        <v>109</v>
      </c>
      <c r="B10" s="3" t="inlineStr">
        <is>
          <t>연락 반가움</t>
        </is>
      </c>
      <c r="C10" s="4" t="inlineStr">
        <is>
          <t>It's great to hear from you</t>
        </is>
      </c>
      <c r="D10" s="11" t="inlineStr">
        <is>
          <t>(오랜만에 연락받았을 때) 연락받으니 정말 반갑네요</t>
        </is>
      </c>
      <c r="E10" s="11" t="inlineStr">
        <is>
          <t>It's so great to hear from you!</t>
        </is>
      </c>
      <c r="F10" s="11" t="inlineStr">
        <is>
          <t>연락 주셔서 정말 반가워요!</t>
        </is>
      </c>
      <c r="G10" s="5">
        <f>HYPERLINK("https://www.youtube.com/watch?v=WEDvuTDF9hY", "영상 보기 ▶")</f>
        <v/>
      </c>
    </row>
    <row r="11" ht="26" customHeight="1">
      <c r="A11" s="6" t="n">
        <v>110</v>
      </c>
      <c r="B11" s="7" t="inlineStr">
        <is>
          <t>연락 반가움</t>
        </is>
      </c>
      <c r="C11" s="8" t="inlineStr">
        <is>
          <t>What a nice surprise!</t>
        </is>
      </c>
      <c r="D11" s="12" t="inlineStr">
        <is>
          <t>(친한 지인의 뜻밖의 연락에) 정말 기분 좋은 서프라이즈네!</t>
        </is>
      </c>
      <c r="E11" s="12" t="inlineStr">
        <is>
          <t>What a nice surprise! How have you been?</t>
        </is>
      </c>
      <c r="F11" s="12" t="inlineStr">
        <is>
          <t>웬일이야! 정말 반갑다, 그동안 어떻게 지냈어?</t>
        </is>
      </c>
      <c r="G11" s="9">
        <f>HYPERLINK("https://www.youtube.com/watch?v=WEDvuTDF9hY", "영상 보기 ▶")</f>
        <v/>
      </c>
    </row>
    <row r="12" ht="26" customHeight="1">
      <c r="A12" s="2" t="n">
        <v>111</v>
      </c>
      <c r="B12" s="3" t="inlineStr">
        <is>
          <t>이메일 실무</t>
        </is>
      </c>
      <c r="C12" s="4" t="inlineStr">
        <is>
          <t>attach</t>
        </is>
      </c>
      <c r="D12" s="11" t="inlineStr">
        <is>
          <t>(이메일에 파일을) 첨부하다</t>
        </is>
      </c>
      <c r="E12" s="11" t="inlineStr">
        <is>
          <t>Please find the attached file.</t>
        </is>
      </c>
      <c r="F12" s="11" t="inlineStr">
        <is>
          <t>첨부된 파일을 확인해 주시기 바랍니다.</t>
        </is>
      </c>
      <c r="G12" s="5">
        <f>HYPERLINK("https://www.youtube.com/watch?v=WEDvuTDF9hY", "영상 보기 ▶")</f>
        <v/>
      </c>
    </row>
    <row r="13" ht="26" customHeight="1">
      <c r="A13" s="6" t="n">
        <v>112</v>
      </c>
      <c r="B13" s="7" t="inlineStr">
        <is>
          <t>이메일 실무</t>
        </is>
      </c>
      <c r="C13" s="8" t="inlineStr">
        <is>
          <t>CC (= Carbon Copy)</t>
        </is>
      </c>
      <c r="D13" s="12" t="inlineStr">
        <is>
          <t>참조에 넣다</t>
        </is>
      </c>
      <c r="E13" s="12" t="inlineStr">
        <is>
          <t>I CC'd Alex on this email.</t>
        </is>
      </c>
      <c r="F13" s="12" t="inlineStr">
        <is>
          <t>이 이메일에 알렉스를 참조로 넣었습니다.</t>
        </is>
      </c>
      <c r="G13" s="9">
        <f>HYPERLINK("https://www.youtube.com/watch?v=WEDvuTDF9hY", "영상 보기 ▶")</f>
        <v/>
      </c>
    </row>
    <row r="14" ht="26" customHeight="1">
      <c r="A14" s="2" t="n">
        <v>113</v>
      </c>
      <c r="B14" s="3" t="inlineStr">
        <is>
          <t>이메일 실무</t>
        </is>
      </c>
      <c r="C14" s="4" t="inlineStr">
        <is>
          <t>forward</t>
        </is>
      </c>
      <c r="D14" s="11" t="inlineStr">
        <is>
          <t>(이메일을 타인에게) 전달하다</t>
        </is>
      </c>
      <c r="E14" s="11" t="inlineStr">
        <is>
          <t>I'll forward the email to you.</t>
        </is>
      </c>
      <c r="F14" s="11" t="inlineStr">
        <is>
          <t>그 이메일 당신에게 전달해 드릴게요.</t>
        </is>
      </c>
      <c r="G14" s="5">
        <f>HYPERLINK("https://www.youtube.com/watch?v=WEDvuTDF9hY", "영상 보기 ▶")</f>
        <v/>
      </c>
    </row>
    <row r="15" ht="26" customHeight="1">
      <c r="A15" s="6" t="n">
        <v>114</v>
      </c>
      <c r="B15" s="7" t="inlineStr">
        <is>
          <t>업무 후속조치</t>
        </is>
      </c>
      <c r="C15" s="8" t="inlineStr">
        <is>
          <t>follow up (동사)</t>
        </is>
      </c>
      <c r="D15" s="12" t="inlineStr">
        <is>
          <t>후속 조치하다, 추가 확인하다</t>
        </is>
      </c>
      <c r="E15" s="12" t="inlineStr">
        <is>
          <t>I'm writing to follow up on our meeting.</t>
        </is>
      </c>
      <c r="F15" s="12" t="inlineStr">
        <is>
          <t>지난 회의 관련 후속 조치 건으로 메일 드립니다.</t>
        </is>
      </c>
      <c r="G15" s="9">
        <f>HYPERLINK("https://www.youtube.com/watch?v=WEDvuTDF9hY", "영상 보기 ▶")</f>
        <v/>
      </c>
    </row>
    <row r="16" ht="26" customHeight="1">
      <c r="A16" s="2" t="n">
        <v>115</v>
      </c>
      <c r="B16" s="3" t="inlineStr">
        <is>
          <t>업무 후속조치</t>
        </is>
      </c>
      <c r="C16" s="4" t="inlineStr">
        <is>
          <t>follow-up (형용사)</t>
        </is>
      </c>
      <c r="D16" s="11" t="inlineStr">
        <is>
          <t>후속의, 추가의 (follow-up question / meeting)</t>
        </is>
      </c>
      <c r="E16" s="11" t="inlineStr">
        <is>
          <t>I have a quick follow-up question.</t>
        </is>
      </c>
      <c r="F16" s="11" t="inlineStr">
        <is>
          <t>간단한 추가 질문이 하나 있습니다.</t>
        </is>
      </c>
      <c r="G16" s="5">
        <f>HYPERLINK("https://www.youtube.com/watch?v=WEDvuTDF9hY", "영상 보기 ▶")</f>
        <v/>
      </c>
    </row>
    <row r="17" ht="26" customHeight="1">
      <c r="A17" s="6" t="n">
        <v>116</v>
      </c>
      <c r="B17" s="7" t="inlineStr">
        <is>
          <t>동의 요청</t>
        </is>
      </c>
      <c r="C17" s="8" t="inlineStr">
        <is>
          <t>Is it okay if I ~?</t>
        </is>
      </c>
      <c r="D17" s="12" t="inlineStr">
        <is>
          <t>제가 ~해도 괜찮을까요?</t>
        </is>
      </c>
      <c r="E17" s="12" t="inlineStr">
        <is>
          <t>Is it okay if I leave a bit early today?</t>
        </is>
      </c>
      <c r="F17" s="12" t="inlineStr">
        <is>
          <t>오늘 제가 조금 일찍 퇴근해도 괜찮을까요?</t>
        </is>
      </c>
      <c r="G17" s="9">
        <f>HYPERLINK("https://www.youtube.com/watch?v=WEDvuTDF9hY", "영상 보기 ▶")</f>
        <v/>
      </c>
    </row>
    <row r="18" ht="26" customHeight="1">
      <c r="A18" s="2" t="n">
        <v>117</v>
      </c>
      <c r="B18" s="3" t="inlineStr">
        <is>
          <t>공지/안내</t>
        </is>
      </c>
      <c r="C18" s="4" t="inlineStr">
        <is>
          <t>Please note that ~</t>
        </is>
      </c>
      <c r="D18" s="11" t="inlineStr">
        <is>
          <t>~라는 점을 유념/참고해 주시기 바랍니다</t>
        </is>
      </c>
      <c r="E18" s="11" t="inlineStr">
        <is>
          <t>Please note that the deadline is Friday.</t>
        </is>
      </c>
      <c r="F18" s="11" t="inlineStr">
        <is>
          <t>마감일이 금요일이라는 점 유념해 주시기 바랍니다.</t>
        </is>
      </c>
      <c r="G18" s="5">
        <f>HYPERLINK("https://www.youtube.com/watch?v=WEDvuTDF9hY", "영상 보기 ▶")</f>
        <v/>
      </c>
    </row>
    <row r="19" ht="26" customHeight="1">
      <c r="A19" s="6" t="n">
        <v>118</v>
      </c>
      <c r="B19" s="7" t="inlineStr">
        <is>
          <t>메모/기억</t>
        </is>
      </c>
      <c r="C19" s="8" t="inlineStr">
        <is>
          <t>make a note of</t>
        </is>
      </c>
      <c r="D19" s="12" t="inlineStr">
        <is>
          <t>~를 메모해 두다, 기억해 두다</t>
        </is>
      </c>
      <c r="E19" s="12" t="inlineStr">
        <is>
          <t>I'll make a note of it.</t>
        </is>
      </c>
      <c r="F19" s="12" t="inlineStr">
        <is>
          <t>메모해 두고 기억하겠습니다.</t>
        </is>
      </c>
      <c r="G19" s="9">
        <f>HYPERLINK("https://www.youtube.com/watch?v=WEDvuTDF9hY", "영상 보기 ▶")</f>
        <v/>
      </c>
    </row>
    <row r="20" ht="26" customHeight="1">
      <c r="A20" s="2" t="n">
        <v>119</v>
      </c>
      <c r="B20" s="3" t="inlineStr">
        <is>
          <t>기한 전치사</t>
        </is>
      </c>
      <c r="C20" s="4" t="inlineStr">
        <is>
          <t>by</t>
        </is>
      </c>
      <c r="D20" s="11" t="inlineStr">
        <is>
          <t>~까지는 (완료/마감의 기한)</t>
        </is>
      </c>
      <c r="E20" s="11" t="inlineStr">
        <is>
          <t>Submit it by 5 PM.</t>
        </is>
      </c>
      <c r="F20" s="11" t="inlineStr">
        <is>
          <t>오후 5시까지는 제출하세요.</t>
        </is>
      </c>
      <c r="G20" s="5">
        <f>HYPERLINK("https://www.youtube.com/watch?v=WEDvuTDF9hY", "영상 보기 ▶")</f>
        <v/>
      </c>
    </row>
    <row r="21" ht="26" customHeight="1">
      <c r="A21" s="6" t="n">
        <v>120</v>
      </c>
      <c r="B21" s="7" t="inlineStr">
        <is>
          <t>지속 전치사</t>
        </is>
      </c>
      <c r="C21" s="8" t="inlineStr">
        <is>
          <t>until</t>
        </is>
      </c>
      <c r="D21" s="12" t="inlineStr">
        <is>
          <t>~까지 쭉 (동작/상태의 지속)</t>
        </is>
      </c>
      <c r="E21" s="12" t="inlineStr">
        <is>
          <t>I'll wait here until you arrive.</t>
        </is>
      </c>
      <c r="F21" s="12" t="inlineStr">
        <is>
          <t>도착하실 때까지 여기서 쭉 기다릴게요.</t>
        </is>
      </c>
      <c r="G21" s="9">
        <f>HYPERLINK("https://www.youtube.com/watch?v=WEDvuTDF9hY", "영상 보기 ▶")</f>
        <v/>
      </c>
    </row>
    <row r="22" ht="26" customHeight="1">
      <c r="A22" s="2" t="n">
        <v>121</v>
      </c>
      <c r="B22" s="3" t="inlineStr">
        <is>
          <t>비즈니스 부사</t>
        </is>
      </c>
      <c r="C22" s="4" t="inlineStr">
        <is>
          <t>further</t>
        </is>
      </c>
      <c r="D22" s="11" t="inlineStr">
        <is>
          <t>추가의, 더 나아간 (further questions / assistance)</t>
        </is>
      </c>
      <c r="E22" s="11" t="inlineStr">
        <is>
          <t>If you have any further questions, let me know.</t>
        </is>
      </c>
      <c r="F22" s="11" t="inlineStr">
        <is>
          <t>추가 질문이 있으시면 언제든 말씀해 주세요.</t>
        </is>
      </c>
      <c r="G22" s="5">
        <f>HYPERLINK("https://www.youtube.com/watch?v=WEDvuTDF9hY", "영상 보기 ▶")</f>
        <v/>
      </c>
    </row>
    <row r="23" ht="26" customHeight="1">
      <c r="A23" s="6" t="n">
        <v>122</v>
      </c>
      <c r="B23" s="7" t="inlineStr">
        <is>
          <t>이메일 맺음말</t>
        </is>
      </c>
      <c r="C23" s="8" t="inlineStr">
        <is>
          <t>I look forward to hearing from you</t>
        </is>
      </c>
      <c r="D23" s="12" t="inlineStr">
        <is>
          <t>답변/소식 기다리겠습니다</t>
        </is>
      </c>
      <c r="E23" s="12" t="inlineStr">
        <is>
          <t>I look forward to hearing from you soon.</t>
        </is>
      </c>
      <c r="F23" s="12" t="inlineStr">
        <is>
          <t>곧 좋은 답변 듣기를 기대하겠습니다.</t>
        </is>
      </c>
      <c r="G23" s="9">
        <f>HYPERLINK("https://www.youtube.com/watch?v=WEDvuTDF9hY", "영상 보기 ▶")</f>
        <v/>
      </c>
    </row>
    <row r="24" ht="26" customHeight="1">
      <c r="A24" s="2" t="n">
        <v>123</v>
      </c>
      <c r="B24" s="3" t="inlineStr">
        <is>
          <t>정보 공유</t>
        </is>
      </c>
      <c r="C24" s="4" t="inlineStr">
        <is>
          <t>keep me in the loop</t>
        </is>
      </c>
      <c r="D24" s="11" t="inlineStr">
        <is>
          <t>진행 상황 공유 대상에 계속 포함해 줘</t>
        </is>
      </c>
      <c r="E24" s="11" t="inlineStr">
        <is>
          <t>Please keep me in the loop.</t>
        </is>
      </c>
      <c r="F24" s="11" t="inlineStr">
        <is>
          <t>어떻게 진행되는지 계속 공유해 줘.</t>
        </is>
      </c>
      <c r="G24" s="5">
        <f>HYPERLINK("https://www.youtube.com/watch?v=WEDvuTDF9hY", "영상 보기 ▶")</f>
        <v/>
      </c>
    </row>
    <row r="25" ht="26" customHeight="1">
      <c r="A25" s="6" t="n">
        <v>124</v>
      </c>
      <c r="B25" s="7" t="inlineStr">
        <is>
          <t>이메일 맺음말</t>
        </is>
      </c>
      <c r="C25" s="8" t="inlineStr">
        <is>
          <t>I hope this helps</t>
        </is>
      </c>
      <c r="D25" s="12" t="inlineStr">
        <is>
          <t>도움이 되었기를 바랍니다</t>
        </is>
      </c>
      <c r="E25" s="12" t="inlineStr">
        <is>
          <t>I hope this helps. Let me know if you need more.</t>
        </is>
      </c>
      <c r="F25" s="12" t="inlineStr">
        <is>
          <t>도움이 되었기를 바라며, 더 필요하시면 말씀하세요.</t>
        </is>
      </c>
      <c r="G25" s="9">
        <f>HYPERLINK("https://www.youtube.com/watch?v=WEDvuTDF9hY", "영상 보기 ▶")</f>
        <v/>
      </c>
    </row>
    <row r="26" ht="26" customHeight="1">
      <c r="A26" s="2" t="n">
        <v>125</v>
      </c>
      <c r="B26" s="3" t="inlineStr">
        <is>
          <t>회신 약속</t>
        </is>
      </c>
      <c r="C26" s="4" t="inlineStr">
        <is>
          <t>I'll get back to you as soon as I can</t>
        </is>
      </c>
      <c r="D26" s="11" t="inlineStr">
        <is>
          <t>가능한 한 빨리 다시 연락/답변드리겠습니다</t>
        </is>
      </c>
      <c r="E26" s="11" t="inlineStr">
        <is>
          <t>I'll get back to you as soon as I can.</t>
        </is>
      </c>
      <c r="F26" s="11" t="inlineStr">
        <is>
          <t>가능한 한 신속하게 답변드리겠습니다.</t>
        </is>
      </c>
      <c r="G26" s="5">
        <f>HYPERLINK("https://www.youtube.com/watch?v=WEDvuTDF9hY", "영상 보기 ▶")</f>
        <v/>
      </c>
    </row>
    <row r="27" ht="26" customHeight="1">
      <c r="A27" s="6" t="n">
        <v>126</v>
      </c>
      <c r="B27" s="7" t="inlineStr">
        <is>
          <t>나이 변화</t>
        </is>
      </c>
      <c r="C27" s="8" t="inlineStr">
        <is>
          <t>turn (~살이 되다)</t>
        </is>
      </c>
      <c r="D27" s="12" t="inlineStr">
        <is>
          <t>나이가 바뀌다, ~살이 되다</t>
        </is>
      </c>
      <c r="E27" s="12" t="inlineStr">
        <is>
          <t>I'm turning 30 next month.</t>
        </is>
      </c>
      <c r="F27" s="12" t="inlineStr">
        <is>
          <t>저 다음 달에 서른 살이 돼요.</t>
        </is>
      </c>
      <c r="G27" s="9">
        <f>HYPERLINK("https://www.youtube.com/watch?v=WEDvuTDF9hY", "영상 보기 ▶")</f>
        <v/>
      </c>
    </row>
    <row r="28" ht="26" customHeight="1">
      <c r="A28" s="2" t="n">
        <v>127</v>
      </c>
      <c r="B28" s="3" t="inlineStr">
        <is>
          <t>순서 명사</t>
        </is>
      </c>
      <c r="C28" s="4" t="inlineStr">
        <is>
          <t>turn (명사)</t>
        </is>
      </c>
      <c r="D28" s="11" t="inlineStr">
        <is>
          <t>차례, 순서 (It's your turn)</t>
        </is>
      </c>
      <c r="E28" s="11" t="inlineStr">
        <is>
          <t>It's your turn now.</t>
        </is>
      </c>
      <c r="F28" s="11" t="inlineStr">
        <is>
          <t>이제 네 차례야.</t>
        </is>
      </c>
      <c r="G28" s="5">
        <f>HYPERLINK("https://www.youtube.com/watch?v=WEDvuTDF9hY", "영상 보기 ▶")</f>
        <v/>
      </c>
    </row>
    <row r="29" ht="26" customHeight="1">
      <c r="A29" s="6" t="n">
        <v>128</v>
      </c>
      <c r="B29" s="7" t="inlineStr">
        <is>
          <t>반전/호전</t>
        </is>
      </c>
      <c r="C29" s="8" t="inlineStr">
        <is>
          <t>turn around</t>
        </is>
      </c>
      <c r="D29" s="12" t="inlineStr">
        <is>
          <t>(상황/실적을) 호전시키다, 뒤바꾸다</t>
        </is>
      </c>
      <c r="E29" s="12" t="inlineStr">
        <is>
          <t>We managed to turn things around.</t>
        </is>
      </c>
      <c r="F29" s="12" t="inlineStr">
        <is>
          <t>우리는 상황을 긍정적으로 호전시켰습니다.</t>
        </is>
      </c>
      <c r="G29" s="9">
        <f>HYPERLINK("https://www.youtube.com/watch?v=WEDvuTDF9hY", "영상 보기 ▶")</f>
        <v/>
      </c>
    </row>
    <row r="30" ht="26" customHeight="1">
      <c r="A30" s="2" t="n">
        <v>129</v>
      </c>
      <c r="B30" s="3" t="inlineStr">
        <is>
          <t>일의 풀림</t>
        </is>
      </c>
      <c r="C30" s="4" t="inlineStr">
        <is>
          <t>work out</t>
        </is>
      </c>
      <c r="D30" s="11" t="inlineStr">
        <is>
          <t>① 운동하다 ② (일이) 잘 풀리다/해결되다</t>
        </is>
      </c>
      <c r="E30" s="11" t="inlineStr">
        <is>
          <t>Everything will work out.</t>
        </is>
      </c>
      <c r="F30" s="11" t="inlineStr">
        <is>
          <t>모든 게 잘 풀릴 거야.</t>
        </is>
      </c>
      <c r="G30" s="5">
        <f>HYPERLINK("https://www.youtube.com/watch?v=WEDvuTDF9hY", "영상 보기 ▶")</f>
        <v/>
      </c>
    </row>
    <row r="31" ht="26" customHeight="1">
      <c r="A31" s="6" t="n">
        <v>130</v>
      </c>
      <c r="B31" s="7" t="inlineStr">
        <is>
          <t>결과 확인</t>
        </is>
      </c>
      <c r="C31" s="8" t="inlineStr">
        <is>
          <t>turn out</t>
        </is>
      </c>
      <c r="D31" s="12" t="inlineStr">
        <is>
          <t>(알고 보니) ~로 밝혀지다, 드러나다</t>
        </is>
      </c>
      <c r="E31" s="12" t="inlineStr">
        <is>
          <t>It turned out to be a great success.</t>
        </is>
      </c>
      <c r="F31" s="12" t="inlineStr">
        <is>
          <t>알고 보니 대성공으로 끝났어.</t>
        </is>
      </c>
      <c r="G31" s="9">
        <f>HYPERLINK("https://www.youtube.com/watch?v=WEDvuTDF9hY", "영상 보기 ▶")</f>
        <v/>
      </c>
    </row>
    <row r="32" ht="26" customHeight="1">
      <c r="A32" s="2" t="n">
        <v>131</v>
      </c>
      <c r="B32" s="3" t="inlineStr">
        <is>
          <t>변화 동사</t>
        </is>
      </c>
      <c r="C32" s="4" t="inlineStr">
        <is>
          <t>turn into</t>
        </is>
      </c>
      <c r="D32" s="11" t="inlineStr">
        <is>
          <t>~로 변하다, 바뀌다</t>
        </is>
      </c>
      <c r="E32" s="11" t="inlineStr">
        <is>
          <t>A small argument turned into a big fight.</t>
        </is>
      </c>
      <c r="F32" s="11" t="inlineStr">
        <is>
          <t>작은 말다툼이 큰 싸움으로 번졌어.</t>
        </is>
      </c>
      <c r="G32" s="5">
        <f>HYPERLINK("https://www.youtube.com/watch?v=WEDvuTDF9hY", "영상 보기 ▶")</f>
        <v/>
      </c>
    </row>
    <row r="33" ht="26" customHeight="1">
      <c r="A33" s="6" t="n">
        <v>132</v>
      </c>
      <c r="B33" s="7" t="inlineStr">
        <is>
          <t>기기 조작</t>
        </is>
      </c>
      <c r="C33" s="8" t="inlineStr">
        <is>
          <t>turn on / off</t>
        </is>
      </c>
      <c r="D33" s="12" t="inlineStr">
        <is>
          <t>(전자기기, 불을) 켜다 / 끄다</t>
        </is>
      </c>
      <c r="E33" s="12" t="inlineStr">
        <is>
          <t>Could you turn off the light?</t>
        </is>
      </c>
      <c r="F33" s="12" t="inlineStr">
        <is>
          <t>불 좀 꺼줄 수 있어?</t>
        </is>
      </c>
      <c r="G33" s="9">
        <f>HYPERLINK("https://www.youtube.com/watch?v=WEDvuTDF9hY", "영상 보기 ▶")</f>
        <v/>
      </c>
    </row>
    <row r="34" ht="26" customHeight="1">
      <c r="A34" s="2" t="n">
        <v>133</v>
      </c>
      <c r="B34" s="3" t="inlineStr">
        <is>
          <t>소리/등장</t>
        </is>
      </c>
      <c r="C34" s="4" t="inlineStr">
        <is>
          <t>turn up</t>
        </is>
      </c>
      <c r="D34" s="11" t="inlineStr">
        <is>
          <t>① 소리를 키우다 ② (뜻밖에) 나타나다</t>
        </is>
      </c>
      <c r="E34" s="11" t="inlineStr">
        <is>
          <t>Turn up the volume. / He finally turned up.</t>
        </is>
      </c>
      <c r="F34" s="11" t="inlineStr">
        <is>
          <t>볼륨 좀 올려봐. / 그가 마침내 나타났어.</t>
        </is>
      </c>
      <c r="G34" s="5">
        <f>HYPERLINK("https://www.youtube.com/watch?v=WEDvuTDF9hY", "영상 보기 ▶")</f>
        <v/>
      </c>
    </row>
    <row r="35" ht="26" customHeight="1">
      <c r="A35" s="6" t="n">
        <v>134</v>
      </c>
      <c r="B35" s="7" t="inlineStr">
        <is>
          <t>거절 표현</t>
        </is>
      </c>
      <c r="C35" s="8" t="inlineStr">
        <is>
          <t>turn down</t>
        </is>
      </c>
      <c r="D35" s="12" t="inlineStr">
        <is>
          <t>① 소리를 줄이다 ② 제안을 거절하다</t>
        </is>
      </c>
      <c r="E35" s="12" t="inlineStr">
        <is>
          <t>I had to turn down the offer.</t>
        </is>
      </c>
      <c r="F35" s="12" t="inlineStr">
        <is>
          <t>그 제안을 거절해야만 했어.</t>
        </is>
      </c>
      <c r="G35" s="9">
        <f>HYPERLINK("https://www.youtube.com/watch?v=WEDvuTDF9hY", "영상 보기 ▶")</f>
        <v/>
      </c>
    </row>
    <row r="36" ht="26" customHeight="1">
      <c r="A36" s="2" t="n">
        <v>135</v>
      </c>
      <c r="B36" s="3" t="inlineStr">
        <is>
          <t>정중한 거절</t>
        </is>
      </c>
      <c r="C36" s="4" t="inlineStr">
        <is>
          <t>I'm gonna have to + 동사원형</t>
        </is>
      </c>
      <c r="D36" s="11" t="inlineStr">
        <is>
          <t>(유감스럽지만) ~해야 할 것 같아요</t>
        </is>
      </c>
      <c r="E36" s="11" t="inlineStr">
        <is>
          <t>I'm gonna have to pass on this.</t>
        </is>
      </c>
      <c r="F36" s="11" t="inlineStr">
        <is>
          <t>이번엔 사양해야 할 것 같아요.</t>
        </is>
      </c>
      <c r="G36" s="5">
        <f>HYPERLINK("https://www.youtube.com/watch?v=WEDvuTDF9hY", "영상 보기 ▶")</f>
        <v/>
      </c>
    </row>
    <row r="37" ht="26" customHeight="1">
      <c r="A37" s="6" t="n">
        <v>136</v>
      </c>
      <c r="B37" s="7" t="inlineStr">
        <is>
          <t>기쁨 표현</t>
        </is>
      </c>
      <c r="C37" s="8" t="inlineStr">
        <is>
          <t>You made my day</t>
        </is>
      </c>
      <c r="D37" s="12" t="inlineStr">
        <is>
          <t>너 덕분에 오늘 하루가 정말 행복해졌어!</t>
        </is>
      </c>
      <c r="E37" s="12" t="inlineStr">
        <is>
          <t>Thank you so much, you made my day!</t>
        </is>
      </c>
      <c r="F37" s="12" t="inlineStr">
        <is>
          <t>정말 고마워, 너 덕분에 오늘 하루가 최고야!</t>
        </is>
      </c>
      <c r="G37" s="9">
        <f>HYPERLINK("https://www.youtube.com/watch?v=WEDvuTDF9hY", "영상 보기 ▶")</f>
        <v/>
      </c>
    </row>
    <row r="38" ht="26" customHeight="1">
      <c r="A38" s="2" t="n">
        <v>137</v>
      </c>
      <c r="B38" s="3" t="inlineStr">
        <is>
          <t>시작 표현</t>
        </is>
      </c>
      <c r="C38" s="4" t="inlineStr">
        <is>
          <t>from scratch</t>
        </is>
      </c>
      <c r="D38" s="11" t="inlineStr">
        <is>
          <t>맨 처음부터, 아무것도 없는 바닥부터</t>
        </is>
      </c>
      <c r="E38" s="11" t="inlineStr">
        <is>
          <t>We had to start from scratch.</t>
        </is>
      </c>
      <c r="F38" s="11" t="inlineStr">
        <is>
          <t>우린 맨 처음부터 다시 시작해야 했어.</t>
        </is>
      </c>
      <c r="G38" s="5">
        <f>HYPERLINK("https://www.youtube.com/watch?v=WEDvuTDF9hY", "영상 보기 ▶")</f>
        <v/>
      </c>
    </row>
    <row r="39" ht="26" customHeight="1">
      <c r="A39" s="6" t="n">
        <v>138</v>
      </c>
      <c r="B39" s="7" t="inlineStr">
        <is>
          <t>만능동사 make</t>
        </is>
      </c>
      <c r="C39" s="8" t="inlineStr">
        <is>
          <t>make</t>
        </is>
      </c>
      <c r="D39" s="12" t="inlineStr">
        <is>
          <t>(약속 시간/장소에) 맞춰 가다</t>
        </is>
      </c>
      <c r="E39" s="12" t="inlineStr">
        <is>
          <t>Can you make it by 6?</t>
        </is>
      </c>
      <c r="F39" s="12" t="inlineStr">
        <is>
          <t>6시까지 올 수 있어?</t>
        </is>
      </c>
      <c r="G39" s="9">
        <f>HYPERLINK("https://www.youtube.com/watch?v=WEDvuTDF9hY", "영상 보기 ▶")</f>
        <v/>
      </c>
    </row>
    <row r="40" ht="26" customHeight="1">
      <c r="A40" s="2" t="n">
        <v>139</v>
      </c>
      <c r="B40" s="3" t="inlineStr">
        <is>
          <t>결정 표현</t>
        </is>
      </c>
      <c r="C40" s="4" t="inlineStr">
        <is>
          <t>make a decision</t>
        </is>
      </c>
      <c r="D40" s="11" t="inlineStr">
        <is>
          <t>결정을 내리다</t>
        </is>
      </c>
      <c r="E40" s="11" t="inlineStr">
        <is>
          <t>Take your time to make a decision.</t>
        </is>
      </c>
      <c r="F40" s="11" t="inlineStr">
        <is>
          <t>천천히 결정하세요.</t>
        </is>
      </c>
      <c r="G40" s="5">
        <f>HYPERLINK("https://www.youtube.com/watch?v=WEDvuTDF9hY", "영상 보기 ▶")</f>
        <v/>
      </c>
    </row>
    <row r="41" ht="26" customHeight="1">
      <c r="A41" s="6" t="n">
        <v>140</v>
      </c>
      <c r="B41" s="7" t="inlineStr">
        <is>
          <t>불편 표현</t>
        </is>
      </c>
      <c r="C41" s="8" t="inlineStr">
        <is>
          <t>I don't feel comfortable -ing</t>
        </is>
      </c>
      <c r="D41" s="12" t="inlineStr">
        <is>
          <t>~하기가 좀 껄끄럽네요/불편해요</t>
        </is>
      </c>
      <c r="E41" s="12" t="inlineStr">
        <is>
          <t>I don't feel comfortable sharing that.</t>
        </is>
      </c>
      <c r="F41" s="12" t="inlineStr">
        <is>
          <t>그걸 공유하기는 좀 껄끄럽네요.</t>
        </is>
      </c>
      <c r="G41" s="9">
        <f>HYPERLINK("https://www.youtube.com/watch?v=WEDvuTDF9hY", "영상 보기 ▶")</f>
        <v/>
      </c>
    </row>
    <row r="42" ht="26" customHeight="1">
      <c r="A42" s="2" t="n">
        <v>141</v>
      </c>
      <c r="B42" s="3" t="inlineStr">
        <is>
          <t>의무/선택</t>
        </is>
      </c>
      <c r="C42" s="4" t="inlineStr">
        <is>
          <t>mandatory vs optional</t>
        </is>
      </c>
      <c r="D42" s="11" t="inlineStr">
        <is>
          <t>필수의 vs 선택적인</t>
        </is>
      </c>
      <c r="E42" s="11" t="inlineStr">
        <is>
          <t>Attendance is mandatory.</t>
        </is>
      </c>
      <c r="F42" s="11" t="inlineStr">
        <is>
          <t>참석은 필수입니다.</t>
        </is>
      </c>
      <c r="G42" s="5">
        <f>HYPERLINK("https://www.youtube.com/watch?v=WEDvuTDF9hY", "영상 보기 ▶")</f>
        <v/>
      </c>
    </row>
    <row r="43" ht="26" customHeight="1">
      <c r="A43" s="6" t="n">
        <v>142</v>
      </c>
      <c r="B43" s="7" t="inlineStr">
        <is>
          <t>노력 표현</t>
        </is>
      </c>
      <c r="C43" s="8" t="inlineStr">
        <is>
          <t>make every effort to</t>
        </is>
      </c>
      <c r="D43" s="12" t="inlineStr">
        <is>
          <t>~하기 위해 온갖 노력을 다하다</t>
        </is>
      </c>
      <c r="E43" s="12" t="inlineStr">
        <is>
          <t>We will make every effort to assist you.</t>
        </is>
      </c>
      <c r="F43" s="12" t="inlineStr">
        <is>
          <t>도와드리기 위해 모든 노력을 다하겠습니다.</t>
        </is>
      </c>
      <c r="G43" s="9">
        <f>HYPERLINK("https://www.youtube.com/watch?v=WEDvuTDF9hY", "영상 보기 ▶")</f>
        <v/>
      </c>
    </row>
    <row r="44" ht="26" customHeight="1">
      <c r="A44" s="2" t="n">
        <v>143</v>
      </c>
      <c r="B44" s="3" t="inlineStr">
        <is>
          <t>기회 활용</t>
        </is>
      </c>
      <c r="C44" s="4" t="inlineStr">
        <is>
          <t>make the most of</t>
        </is>
      </c>
      <c r="D44" s="11" t="inlineStr">
        <is>
          <t>~를 최대한으로 활용하다/즐기다</t>
        </is>
      </c>
      <c r="E44" s="11" t="inlineStr">
        <is>
          <t>Make the most of your weekend!</t>
        </is>
      </c>
      <c r="F44" s="11" t="inlineStr">
        <is>
          <t>주말 알차게 최대한 즐겨!</t>
        </is>
      </c>
      <c r="G44" s="5">
        <f>HYPERLINK("https://www.youtube.com/watch?v=WEDvuTDF9hY", "영상 보기 ▶")</f>
        <v/>
      </c>
    </row>
    <row r="45" ht="26" customHeight="1">
      <c r="A45" s="6" t="n">
        <v>144</v>
      </c>
      <c r="B45" s="7" t="inlineStr">
        <is>
          <t>확인 표현</t>
        </is>
      </c>
      <c r="C45" s="8" t="inlineStr">
        <is>
          <t>make sure</t>
        </is>
      </c>
      <c r="D45" s="12" t="inlineStr">
        <is>
          <t>반드시 ~하도록 확인하다/명심하다</t>
        </is>
      </c>
      <c r="E45" s="12" t="inlineStr">
        <is>
          <t>Make sure to lock the door.</t>
        </is>
      </c>
      <c r="F45" s="12" t="inlineStr">
        <is>
          <t>반드시 문 잠그는 거 잊지 마.</t>
        </is>
      </c>
      <c r="G45" s="9">
        <f>HYPERLINK("https://www.youtube.com/watch?v=WEDvuTDF9hY", "영상 보기 ▶")</f>
        <v/>
      </c>
    </row>
    <row r="46" ht="26" customHeight="1">
      <c r="A46" s="2" t="n">
        <v>145</v>
      </c>
      <c r="B46" s="3" t="inlineStr">
        <is>
          <t>비즈니스 의견</t>
        </is>
      </c>
      <c r="C46" s="4" t="inlineStr">
        <is>
          <t>input</t>
        </is>
      </c>
      <c r="D46" s="11" t="inlineStr">
        <is>
          <t>(의견, 조언, 피드백 등) 기여, 투입</t>
        </is>
      </c>
      <c r="E46" s="11" t="inlineStr">
        <is>
          <t>Thank you for your valuable input.</t>
        </is>
      </c>
      <c r="F46" s="11" t="inlineStr">
        <is>
          <t>소중한 의견 감사드립니다.</t>
        </is>
      </c>
      <c r="G46" s="5">
        <f>HYPERLINK("https://www.youtube.com/watch?v=WEDvuTDF9hY", "영상 보기 ▶")</f>
        <v/>
      </c>
    </row>
    <row r="47" ht="26" customHeight="1">
      <c r="A47" s="6" t="n">
        <v>146</v>
      </c>
      <c r="B47" s="7" t="inlineStr">
        <is>
          <t>업무 신속화</t>
        </is>
      </c>
      <c r="C47" s="8" t="inlineStr">
        <is>
          <t>expedite</t>
        </is>
      </c>
      <c r="D47" s="12" t="inlineStr">
        <is>
          <t>신속히 처리하다, 진척시키다</t>
        </is>
      </c>
      <c r="E47" s="12" t="inlineStr">
        <is>
          <t>We'll do our best to expedite the process.</t>
        </is>
      </c>
      <c r="F47" s="12" t="inlineStr">
        <is>
          <t>절차를 신속히 처리할 수 있도록 최선을 다하겠습니다.</t>
        </is>
      </c>
      <c r="G47" s="9">
        <f>HYPERLINK("https://www.youtube.com/watch?v=WEDvuTDF9hY", "영상 보기 ▶")</f>
        <v/>
      </c>
    </row>
    <row r="48" ht="26" customHeight="1">
      <c r="A48" s="2" t="n">
        <v>147</v>
      </c>
      <c r="B48" s="3" t="inlineStr">
        <is>
          <t>바쁜 상태</t>
        </is>
      </c>
      <c r="C48" s="4" t="inlineStr">
        <is>
          <t>swamped</t>
        </is>
      </c>
      <c r="D48" s="11" t="inlineStr">
        <is>
          <t>일이 파도처럼 밀려들어 눈코 뜰 새 없이 바쁜</t>
        </is>
      </c>
      <c r="E48" s="11" t="inlineStr">
        <is>
          <t>I'm completely swamped this week.</t>
        </is>
      </c>
      <c r="F48" s="11" t="inlineStr">
        <is>
          <t>나 이번 주에 일이 너무 밀려 정신없어.</t>
        </is>
      </c>
      <c r="G48" s="5">
        <f>HYPERLINK("https://www.youtube.com/watch?v=WEDvuTDF9hY", "영상 보기 ▶")</f>
        <v/>
      </c>
    </row>
    <row r="49" ht="26" customHeight="1">
      <c r="A49" s="6" t="n">
        <v>148</v>
      </c>
      <c r="B49" s="7" t="inlineStr">
        <is>
          <t>바쁜 상태</t>
        </is>
      </c>
      <c r="C49" s="8" t="inlineStr">
        <is>
          <t>slammed</t>
        </is>
      </c>
      <c r="D49" s="12" t="inlineStr">
        <is>
          <t>일이나 업무에 치여 옴짝달싹 못하는</t>
        </is>
      </c>
      <c r="E49" s="12" t="inlineStr">
        <is>
          <t>We got slammed with orders.</t>
        </is>
      </c>
      <c r="F49" s="12" t="inlineStr">
        <is>
          <t>주문이 폭주해서 정신없이 바빴어.</t>
        </is>
      </c>
      <c r="G49" s="9">
        <f>HYPERLINK("https://www.youtube.com/watch?v=WEDvuTDF9hY", "영상 보기 ▶")</f>
        <v/>
      </c>
    </row>
    <row r="50" ht="26" customHeight="1">
      <c r="A50" s="2" t="n">
        <v>149</v>
      </c>
      <c r="B50" s="3" t="inlineStr">
        <is>
          <t>칭찬/격려</t>
        </is>
      </c>
      <c r="C50" s="4" t="inlineStr">
        <is>
          <t>Give yourself a pat on the back</t>
        </is>
      </c>
      <c r="D50" s="11" t="inlineStr">
        <is>
          <t>스스로 쓰다듬어줘, 정말 수고했어!</t>
        </is>
      </c>
      <c r="E50" s="11" t="inlineStr">
        <is>
          <t>You did great. Give yourself a pat on the back.</t>
        </is>
      </c>
      <c r="F50" s="11" t="inlineStr">
        <is>
          <t>진짜 잘했어. 셀프 칭찬해 줘도 돼!</t>
        </is>
      </c>
      <c r="G50" s="5">
        <f>HYPERLINK("https://www.youtube.com/watch?v=WEDvuTDF9hY", "영상 보기 ▶")</f>
        <v/>
      </c>
    </row>
    <row r="51" ht="26" customHeight="1">
      <c r="A51" s="6" t="n">
        <v>150</v>
      </c>
      <c r="B51" s="7" t="inlineStr">
        <is>
          <t>깊은 감사</t>
        </is>
      </c>
      <c r="C51" s="8" t="inlineStr">
        <is>
          <t>I couldn't have done this without you</t>
        </is>
      </c>
      <c r="D51" s="12" t="inlineStr">
        <is>
          <t>너 없었으면 나 이거 절대 못 해냈을 거야</t>
        </is>
      </c>
      <c r="E51" s="12" t="inlineStr">
        <is>
          <t>I couldn't have done this without you.</t>
        </is>
      </c>
      <c r="F51" s="12" t="inlineStr">
        <is>
          <t>너 없었으면 나 진짜 못 해냈을 거야.</t>
        </is>
      </c>
      <c r="G51" s="9">
        <f>HYPERLINK("https://www.youtube.com/watch?v=WEDvuTDF9hY", "영상 보기 ▶")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6" customWidth="1" min="3" max="3"/>
    <col width="48" customWidth="1" min="4" max="4"/>
    <col width="46" customWidth="1" min="5" max="5"/>
    <col width="45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151</v>
      </c>
      <c r="B2" s="3" t="inlineStr">
        <is>
          <t>거리/위치</t>
        </is>
      </c>
      <c r="C2" s="4" t="inlineStr">
        <is>
          <t>down the street</t>
        </is>
      </c>
      <c r="D2" s="11" t="inlineStr">
        <is>
          <t>근처에 (사람이 걸어 다닐 수 있는 가까운 거리)</t>
        </is>
      </c>
      <c r="E2" s="11" t="inlineStr">
        <is>
          <t>There's a great cafe just down the street.</t>
        </is>
      </c>
      <c r="F2" s="11" t="inlineStr">
        <is>
          <t>근처에 멋진 카페가 하나 있어요.</t>
        </is>
      </c>
      <c r="G2" s="5">
        <f>HYPERLINK("https://www.youtube.com/watch?v=2eL9r9rlcOc", "영상 보기 ▶")</f>
        <v/>
      </c>
    </row>
    <row r="3" ht="26" customHeight="1">
      <c r="A3" s="6" t="n">
        <v>152</v>
      </c>
      <c r="B3" s="7" t="inlineStr">
        <is>
          <t>거리/시간</t>
        </is>
      </c>
      <c r="C3" s="8" t="inlineStr">
        <is>
          <t>down the road</t>
        </is>
      </c>
      <c r="D3" s="12" t="inlineStr">
        <is>
          <t>① 근처에 (차도 중심) ② 앞으로 살면서, 나중에</t>
        </is>
      </c>
      <c r="E3" s="12" t="inlineStr">
        <is>
          <t>It'll help you down the road.</t>
        </is>
      </c>
      <c r="F3" s="12" t="inlineStr">
        <is>
          <t>앞으로 살아가면서 다 도움이 될 거야.</t>
        </is>
      </c>
      <c r="G3" s="9">
        <f>HYPERLINK("https://www.youtube.com/watch?v=2eL9r9rlcOc", "영상 보기 ▶")</f>
        <v/>
      </c>
    </row>
    <row r="4" ht="26" customHeight="1">
      <c r="A4" s="2" t="n">
        <v>153</v>
      </c>
      <c r="B4" s="3" t="inlineStr">
        <is>
          <t>시간/전망</t>
        </is>
      </c>
      <c r="C4" s="4" t="inlineStr">
        <is>
          <t>in the long run</t>
        </is>
      </c>
      <c r="D4" s="11" t="inlineStr">
        <is>
          <t>장기적으로 보면</t>
        </is>
      </c>
      <c r="E4" s="11" t="inlineStr">
        <is>
          <t>This will save us time in the long run.</t>
        </is>
      </c>
      <c r="F4" s="11" t="inlineStr">
        <is>
          <t>장기적으로 보면 이게 우리 시간을 절약해 줄 거야.</t>
        </is>
      </c>
      <c r="G4" s="5">
        <f>HYPERLINK("https://www.youtube.com/watch?v=2eL9r9rlcOc", "영상 보기 ▶")</f>
        <v/>
      </c>
    </row>
    <row r="5" ht="26" customHeight="1">
      <c r="A5" s="6" t="n">
        <v>154</v>
      </c>
      <c r="B5" s="7" t="inlineStr">
        <is>
          <t>감정 표현</t>
        </is>
      </c>
      <c r="C5" s="8" t="inlineStr">
        <is>
          <t>frustrated</t>
        </is>
      </c>
      <c r="D5" s="12" t="inlineStr">
        <is>
          <t>(내 뜻대로 되지 않아) 짜증나고 답답한</t>
        </is>
      </c>
      <c r="E5" s="12" t="inlineStr">
        <is>
          <t>I'm so frustrated right now.</t>
        </is>
      </c>
      <c r="F5" s="12" t="inlineStr">
        <is>
          <t>나 지금 너무 짜증나고 답답해.</t>
        </is>
      </c>
      <c r="G5" s="9">
        <f>HYPERLINK("https://www.youtube.com/watch?v=2eL9r9rlcOc", "영상 보기 ▶")</f>
        <v/>
      </c>
    </row>
    <row r="6" ht="26" customHeight="1">
      <c r="A6" s="2" t="n">
        <v>155</v>
      </c>
      <c r="B6" s="3" t="inlineStr">
        <is>
          <t>감정 표현</t>
        </is>
      </c>
      <c r="C6" s="4" t="inlineStr">
        <is>
          <t>embarrassed</t>
        </is>
      </c>
      <c r="D6" s="11" t="inlineStr">
        <is>
          <t>당황스러운, 민망한, 쪽팔리는</t>
        </is>
      </c>
      <c r="E6" s="11" t="inlineStr">
        <is>
          <t>I was so embarrassed.</t>
        </is>
      </c>
      <c r="F6" s="11" t="inlineStr">
        <is>
          <t>나 너무 민망하고 쪽팔렸어.</t>
        </is>
      </c>
      <c r="G6" s="5">
        <f>HYPERLINK("https://www.youtube.com/watch?v=2eL9r9rlcOc", "영상 보기 ▶")</f>
        <v/>
      </c>
    </row>
    <row r="7" ht="26" customHeight="1">
      <c r="A7" s="6" t="n">
        <v>156</v>
      </c>
      <c r="B7" s="7" t="inlineStr">
        <is>
          <t>감정 표현</t>
        </is>
      </c>
      <c r="C7" s="8" t="inlineStr">
        <is>
          <t>devastated</t>
        </is>
      </c>
      <c r="D7" s="12" t="inlineStr">
        <is>
          <t>(온몸이 무너질 정도로) 엄청난 충격을 받은, 망연자실한</t>
        </is>
      </c>
      <c r="E7" s="12" t="inlineStr">
        <is>
          <t>She was devastated by the news.</t>
        </is>
      </c>
      <c r="F7" s="12" t="inlineStr">
        <is>
          <t>그녀는 그 소식을 듣고 큰 충격을 받았어.</t>
        </is>
      </c>
      <c r="G7" s="9">
        <f>HYPERLINK("https://www.youtube.com/watch?v=2eL9r9rlcOc", "영상 보기 ▶")</f>
        <v/>
      </c>
    </row>
    <row r="8" ht="26" customHeight="1">
      <c r="A8" s="2" t="n">
        <v>157</v>
      </c>
      <c r="B8" s="3" t="inlineStr">
        <is>
          <t>감정 표현</t>
        </is>
      </c>
      <c r="C8" s="4" t="inlineStr">
        <is>
          <t>upset</t>
        </is>
      </c>
      <c r="D8" s="11" t="inlineStr">
        <is>
          <t>속상한, 마음이 상한 (화난 게 아니라 마음이 상한 것)</t>
        </is>
      </c>
      <c r="E8" s="11" t="inlineStr">
        <is>
          <t>Don't be upset. It's not your fault.</t>
        </is>
      </c>
      <c r="F8" s="11" t="inlineStr">
        <is>
          <t>너무 속상해하지 마. 네 잘못이 아니야.</t>
        </is>
      </c>
      <c r="G8" s="5">
        <f>HYPERLINK("https://www.youtube.com/watch?v=2eL9r9rlcOc", "영상 보기 ▶")</f>
        <v/>
      </c>
    </row>
    <row r="9" ht="26" customHeight="1">
      <c r="A9" s="6" t="n">
        <v>158</v>
      </c>
      <c r="B9" s="7" t="inlineStr">
        <is>
          <t>감정 표현</t>
        </is>
      </c>
      <c r="C9" s="8" t="inlineStr">
        <is>
          <t>humiliated</t>
        </is>
      </c>
      <c r="D9" s="12" t="inlineStr">
        <is>
          <t>굴욕적인, 심한 수치심을 느끼는</t>
        </is>
      </c>
      <c r="E9" s="12" t="inlineStr">
        <is>
          <t>I felt so humiliated.</t>
        </is>
      </c>
      <c r="F9" s="12" t="inlineStr">
        <is>
          <t>나 정말 굴욕적이었어.</t>
        </is>
      </c>
      <c r="G9" s="9">
        <f>HYPERLINK("https://www.youtube.com/watch?v=2eL9r9rlcOc", "영상 보기 ▶")</f>
        <v/>
      </c>
    </row>
    <row r="10" ht="26" customHeight="1">
      <c r="A10" s="2" t="n">
        <v>159</v>
      </c>
      <c r="B10" s="3" t="inlineStr">
        <is>
          <t>일상 회화</t>
        </is>
      </c>
      <c r="C10" s="4" t="inlineStr">
        <is>
          <t>I gotta run</t>
        </is>
      </c>
      <c r="D10" s="11" t="inlineStr">
        <is>
          <t>나 빨리 가봐야 해 (서둘러 자리를 뜰 때)</t>
        </is>
      </c>
      <c r="E10" s="11" t="inlineStr">
        <is>
          <t>Sorry, but I gotta run.</t>
        </is>
      </c>
      <c r="F10" s="11" t="inlineStr">
        <is>
          <t>미안한데 나 지금 빨리 가봐야 해.</t>
        </is>
      </c>
      <c r="G10" s="5">
        <f>HYPERLINK("https://www.youtube.com/watch?v=2eL9r9rlcOc", "영상 보기 ▶")</f>
        <v/>
      </c>
    </row>
    <row r="11" ht="26" customHeight="1">
      <c r="A11" s="6" t="n">
        <v>160</v>
      </c>
      <c r="B11" s="7" t="inlineStr">
        <is>
          <t>일상 회화</t>
        </is>
      </c>
      <c r="C11" s="8" t="inlineStr">
        <is>
          <t>run an errand</t>
        </is>
      </c>
      <c r="D11" s="12" t="inlineStr">
        <is>
          <t>볼일을 보다, 심부름 가다</t>
        </is>
      </c>
      <c r="E11" s="12" t="inlineStr">
        <is>
          <t>I need to run an errand during lunch.</t>
        </is>
      </c>
      <c r="F11" s="12" t="inlineStr">
        <is>
          <t>점심시간에 잠깐 볼일 좀 보고 와야 해.</t>
        </is>
      </c>
      <c r="G11" s="9">
        <f>HYPERLINK("https://www.youtube.com/watch?v=2eL9r9rlcOc", "영상 보기 ▶")</f>
        <v/>
      </c>
    </row>
    <row r="12" ht="26" customHeight="1">
      <c r="A12" s="2" t="n">
        <v>161</v>
      </c>
      <c r="B12" s="3" t="inlineStr">
        <is>
          <t>상황 표현</t>
        </is>
      </c>
      <c r="C12" s="4" t="inlineStr">
        <is>
          <t>run around</t>
        </is>
      </c>
      <c r="D12" s="11" t="inlineStr">
        <is>
          <t>이곳저곳 정신없이 다니다</t>
        </is>
      </c>
      <c r="E12" s="11" t="inlineStr">
        <is>
          <t>I've been running around all morning.</t>
        </is>
      </c>
      <c r="F12" s="11" t="inlineStr">
        <is>
          <t>아침 내내 정신없이 이리저리 뛰어다녔어.</t>
        </is>
      </c>
      <c r="G12" s="5">
        <f>HYPERLINK("https://www.youtube.com/watch?v=2eL9r9rlcOc", "영상 보기 ▶")</f>
        <v/>
      </c>
    </row>
    <row r="13" ht="26" customHeight="1">
      <c r="A13" s="6" t="n">
        <v>162</v>
      </c>
      <c r="B13" s="7" t="inlineStr">
        <is>
          <t>업무 역할</t>
        </is>
      </c>
      <c r="C13" s="8" t="inlineStr">
        <is>
          <t>be in charge</t>
        </is>
      </c>
      <c r="D13" s="12" t="inlineStr">
        <is>
          <t>~를 담당하다, 책임지다</t>
        </is>
      </c>
      <c r="E13" s="12" t="inlineStr">
        <is>
          <t>Who is in charge of this project?</t>
        </is>
      </c>
      <c r="F13" s="12" t="inlineStr">
        <is>
          <t>이 프로젝트 담당자가 누구인가요?</t>
        </is>
      </c>
      <c r="G13" s="9">
        <f>HYPERLINK("https://www.youtube.com/watch?v=2eL9r9rlcOc", "영상 보기 ▶")</f>
        <v/>
      </c>
    </row>
    <row r="14" ht="26" customHeight="1">
      <c r="A14" s="2" t="n">
        <v>163</v>
      </c>
      <c r="B14" s="3" t="inlineStr">
        <is>
          <t>일정 지연</t>
        </is>
      </c>
      <c r="C14" s="4" t="inlineStr">
        <is>
          <t>ran late</t>
        </is>
      </c>
      <c r="D14" s="11" t="inlineStr">
        <is>
          <t>(회의/일정이) 늦게 끝나다, 지체되다</t>
        </is>
      </c>
      <c r="E14" s="11" t="inlineStr">
        <is>
          <t>My previous meeting ran late.</t>
        </is>
      </c>
      <c r="F14" s="11" t="inlineStr">
        <is>
          <t>이전 회의가 늦게 끝났어요.</t>
        </is>
      </c>
      <c r="G14" s="5">
        <f>HYPERLINK("https://www.youtube.com/watch?v=2eL9r9rlcOc", "영상 보기 ▶")</f>
        <v/>
      </c>
    </row>
    <row r="15" ht="26" customHeight="1">
      <c r="A15" s="6" t="n">
        <v>164</v>
      </c>
      <c r="B15" s="7" t="inlineStr">
        <is>
          <t>약속 지각</t>
        </is>
      </c>
      <c r="C15" s="8" t="inlineStr">
        <is>
          <t>run late</t>
        </is>
      </c>
      <c r="D15" s="12" t="inlineStr">
        <is>
          <t>(약속 시간에) 늦다, 지각하다</t>
        </is>
      </c>
      <c r="E15" s="12" t="inlineStr">
        <is>
          <t>I'm running a few minutes late.</t>
        </is>
      </c>
      <c r="F15" s="12" t="inlineStr">
        <is>
          <t>저 몇 분 정도 늦을 것 같아요.</t>
        </is>
      </c>
      <c r="G15" s="9">
        <f>HYPERLINK("https://www.youtube.com/watch?v=2eL9r9rlcOc", "영상 보기 ▶")</f>
        <v/>
      </c>
    </row>
    <row r="16" ht="26" customHeight="1">
      <c r="A16" s="2" t="n">
        <v>165</v>
      </c>
      <c r="B16" s="3" t="inlineStr">
        <is>
          <t>일상 마주침</t>
        </is>
      </c>
      <c r="C16" s="4" t="inlineStr">
        <is>
          <t>run into</t>
        </is>
      </c>
      <c r="D16" s="11" t="inlineStr">
        <is>
          <t>우연히 마주치다 (= bump into)</t>
        </is>
      </c>
      <c r="E16" s="11" t="inlineStr">
        <is>
          <t>I ran into an old friend today.</t>
        </is>
      </c>
      <c r="F16" s="11" t="inlineStr">
        <is>
          <t>오늘 우연히 옛날 친구를 마주쳤어.</t>
        </is>
      </c>
      <c r="G16" s="5">
        <f>HYPERLINK("https://www.youtube.com/watch?v=2eL9r9rlcOc", "영상 보기 ▶")</f>
        <v/>
      </c>
    </row>
    <row r="17" ht="26" customHeight="1">
      <c r="A17" s="6" t="n">
        <v>166</v>
      </c>
      <c r="B17" s="7" t="inlineStr">
        <is>
          <t>자원 부족</t>
        </is>
      </c>
      <c r="C17" s="8" t="inlineStr">
        <is>
          <t>run out of</t>
        </is>
      </c>
      <c r="D17" s="12" t="inlineStr">
        <is>
          <t>바닥나다, 다 떨어지다</t>
        </is>
      </c>
      <c r="E17" s="12" t="inlineStr">
        <is>
          <t>We're running out of time.</t>
        </is>
      </c>
      <c r="F17" s="12" t="inlineStr">
        <is>
          <t>우리 시간이 다 떨어져 가.</t>
        </is>
      </c>
      <c r="G17" s="9">
        <f>HYPERLINK("https://www.youtube.com/watch?v=2eL9r9rlcOc", "영상 보기 ▶")</f>
        <v/>
      </c>
    </row>
    <row r="18" ht="26" customHeight="1">
      <c r="A18" s="2" t="n">
        <v>167</v>
      </c>
      <c r="B18" s="3" t="inlineStr">
        <is>
          <t>자원 부족</t>
        </is>
      </c>
      <c r="C18" s="4" t="inlineStr">
        <is>
          <t>run short on</t>
        </is>
      </c>
      <c r="D18" s="11" t="inlineStr">
        <is>
          <t>부족하다, 딸리다</t>
        </is>
      </c>
      <c r="E18" s="11" t="inlineStr">
        <is>
          <t>We're running short on cash.</t>
        </is>
      </c>
      <c r="F18" s="11" t="inlineStr">
        <is>
          <t>우리 현금이 좀 부족해.</t>
        </is>
      </c>
      <c r="G18" s="5">
        <f>HYPERLINK("https://www.youtube.com/watch?v=2eL9r9rlcOc", "영상 보기 ▶")</f>
        <v/>
      </c>
    </row>
    <row r="19" ht="26" customHeight="1">
      <c r="A19" s="6" t="n">
        <v>168</v>
      </c>
      <c r="B19" s="7" t="inlineStr">
        <is>
          <t>작동 방식</t>
        </is>
      </c>
      <c r="C19" s="8" t="inlineStr">
        <is>
          <t>run on</t>
        </is>
      </c>
      <c r="D19" s="12" t="inlineStr">
        <is>
          <t>~로 작동하다, 굴러가다</t>
        </is>
      </c>
      <c r="E19" s="12" t="inlineStr">
        <is>
          <t>This car runs on electricity.</t>
        </is>
      </c>
      <c r="F19" s="12" t="inlineStr">
        <is>
          <t>이 차는 전기로 작동해요.</t>
        </is>
      </c>
      <c r="G19" s="9">
        <f>HYPERLINK("https://www.youtube.com/watch?v=2eL9r9rlcOc", "영상 보기 ▶")</f>
        <v/>
      </c>
    </row>
    <row r="20" ht="26" customHeight="1">
      <c r="A20" s="2" t="n">
        <v>169</v>
      </c>
      <c r="B20" s="3" t="inlineStr">
        <is>
          <t>의견 타진</t>
        </is>
      </c>
      <c r="C20" s="4" t="inlineStr">
        <is>
          <t>run (sth) by/past (sb)</t>
        </is>
      </c>
      <c r="D20" s="11" t="inlineStr">
        <is>
          <t>(피드백을 듣기 위해) ~에게 의견을 구하다</t>
        </is>
      </c>
      <c r="E20" s="11" t="inlineStr">
        <is>
          <t>Can I run an idea by you?</t>
        </is>
      </c>
      <c r="F20" s="11" t="inlineStr">
        <is>
          <t>내 아이디어에 대해 의견 좀 물어봐도 될까?</t>
        </is>
      </c>
      <c r="G20" s="5">
        <f>HYPERLINK("https://www.youtube.com/watch?v=2eL9r9rlcOc", "영상 보기 ▶")</f>
        <v/>
      </c>
    </row>
    <row r="21" ht="26" customHeight="1">
      <c r="A21" s="6" t="n">
        <v>170</v>
      </c>
      <c r="B21" s="7" t="inlineStr">
        <is>
          <t>조건 표현</t>
        </is>
      </c>
      <c r="C21" s="8" t="inlineStr">
        <is>
          <t>in that case</t>
        </is>
      </c>
      <c r="D21" s="12" t="inlineStr">
        <is>
          <t>그런 경우라면, 그렇다면</t>
        </is>
      </c>
      <c r="E21" s="12" t="inlineStr">
        <is>
          <t>In that case, let's meet tomorrow.</t>
        </is>
      </c>
      <c r="F21" s="12" t="inlineStr">
        <is>
          <t>그렇다면 우리 내일 만나요.</t>
        </is>
      </c>
      <c r="G21" s="9">
        <f>HYPERLINK("https://www.youtube.com/watch?v=2eL9r9rlcOc", "영상 보기 ▶")</f>
        <v/>
      </c>
    </row>
    <row r="22" ht="26" customHeight="1">
      <c r="A22" s="2" t="n">
        <v>171</v>
      </c>
      <c r="B22" s="3" t="inlineStr">
        <is>
          <t>대비 표현</t>
        </is>
      </c>
      <c r="C22" s="4" t="inlineStr">
        <is>
          <t>just in case</t>
        </is>
      </c>
      <c r="D22" s="11" t="inlineStr">
        <is>
          <t>혹시 모르니까, 만약의 경우를 대비해</t>
        </is>
      </c>
      <c r="E22" s="11" t="inlineStr">
        <is>
          <t>Take an umbrella just in case.</t>
        </is>
      </c>
      <c r="F22" s="11" t="inlineStr">
        <is>
          <t>혹시 모르니까 우산 챙겨가.</t>
        </is>
      </c>
      <c r="G22" s="5">
        <f>HYPERLINK("https://www.youtube.com/watch?v=2eL9r9rlcOc", "영상 보기 ▶")</f>
        <v/>
      </c>
    </row>
    <row r="23" ht="26" customHeight="1">
      <c r="A23" s="6" t="n">
        <v>172</v>
      </c>
      <c r="B23" s="7" t="inlineStr">
        <is>
          <t>상황 판단</t>
        </is>
      </c>
      <c r="C23" s="8" t="inlineStr">
        <is>
          <t>case-by-case</t>
        </is>
      </c>
      <c r="D23" s="12" t="inlineStr">
        <is>
          <t>상황에 따라 다른, 그때그때 다른</t>
        </is>
      </c>
      <c r="E23" s="12" t="inlineStr">
        <is>
          <t>It depends, it's case-by-case.</t>
        </is>
      </c>
      <c r="F23" s="12" t="inlineStr">
        <is>
          <t>상황에 따라 그때그때 달라요.</t>
        </is>
      </c>
      <c r="G23" s="9">
        <f>HYPERLINK("https://www.youtube.com/watch?v=2eL9r9rlcOc", "영상 보기 ▶")</f>
        <v/>
      </c>
    </row>
    <row r="24" ht="26" customHeight="1">
      <c r="A24" s="2" t="n">
        <v>173</v>
      </c>
      <c r="B24" s="3" t="inlineStr">
        <is>
          <t>걱정/가정</t>
        </is>
      </c>
      <c r="C24" s="4" t="inlineStr">
        <is>
          <t>What if ~?</t>
        </is>
      </c>
      <c r="D24" s="11" t="inlineStr">
        <is>
          <t>(아직 안 일어난 일을 걱정하며) ~하면 어쩌지?</t>
        </is>
      </c>
      <c r="E24" s="11" t="inlineStr">
        <is>
          <t>What if it doesn't work?</t>
        </is>
      </c>
      <c r="F24" s="11" t="inlineStr">
        <is>
          <t>효과가 없으면 어쩌지?</t>
        </is>
      </c>
      <c r="G24" s="5">
        <f>HYPERLINK("https://www.youtube.com/watch?v=2eL9r9rlcOc", "영상 보기 ▶")</f>
        <v/>
      </c>
    </row>
    <row r="25" ht="26" customHeight="1">
      <c r="A25" s="6" t="n">
        <v>174</v>
      </c>
      <c r="B25" s="7" t="inlineStr">
        <is>
          <t>고의 여부</t>
        </is>
      </c>
      <c r="C25" s="8" t="inlineStr">
        <is>
          <t>on purpose</t>
        </is>
      </c>
      <c r="D25" s="12" t="inlineStr">
        <is>
          <t>일부러, 고의로</t>
        </is>
      </c>
      <c r="E25" s="12" t="inlineStr">
        <is>
          <t>I didn't do it on purpose.</t>
        </is>
      </c>
      <c r="F25" s="12" t="inlineStr">
        <is>
          <t>저 그거 일부러 그런 거 아니에요.</t>
        </is>
      </c>
      <c r="G25" s="9">
        <f>HYPERLINK("https://www.youtube.com/watch?v=2eL9r9rlcOc", "영상 보기 ▶")</f>
        <v/>
      </c>
    </row>
    <row r="26" ht="26" customHeight="1">
      <c r="A26" s="2" t="n">
        <v>175</v>
      </c>
      <c r="B26" s="3" t="inlineStr">
        <is>
          <t>의도 표현</t>
        </is>
      </c>
      <c r="C26" s="4" t="inlineStr">
        <is>
          <t>meant to</t>
        </is>
      </c>
      <c r="D26" s="11" t="inlineStr">
        <is>
          <t>의도한 (I didn't mean to ~)</t>
        </is>
      </c>
      <c r="E26" s="11" t="inlineStr">
        <is>
          <t>I didn't mean to hurt your feelings.</t>
        </is>
      </c>
      <c r="F26" s="11" t="inlineStr">
        <is>
          <t>너 마음 상하게 하려던 의도는 아니었어.</t>
        </is>
      </c>
      <c r="G26" s="5">
        <f>HYPERLINK("https://www.youtube.com/watch?v=2eL9r9rlcOc", "영상 보기 ▶")</f>
        <v/>
      </c>
    </row>
    <row r="27" ht="26" customHeight="1">
      <c r="A27" s="6" t="n">
        <v>176</v>
      </c>
      <c r="B27" s="7" t="inlineStr">
        <is>
          <t>고의 여부</t>
        </is>
      </c>
      <c r="C27" s="8" t="inlineStr">
        <is>
          <t>intentional</t>
        </is>
      </c>
      <c r="D27" s="12" t="inlineStr">
        <is>
          <t>고의적인, 의도적인</t>
        </is>
      </c>
      <c r="E27" s="12" t="inlineStr">
        <is>
          <t>It was completely unintentional.</t>
        </is>
      </c>
      <c r="F27" s="12" t="inlineStr">
        <is>
          <t>전혀 의도한 게 아니었어요.</t>
        </is>
      </c>
      <c r="G27" s="9">
        <f>HYPERLINK("https://www.youtube.com/watch?v=2eL9r9rlcOc", "영상 보기 ▶")</f>
        <v/>
      </c>
    </row>
    <row r="28" ht="26" customHeight="1">
      <c r="A28" s="2" t="n">
        <v>177</v>
      </c>
      <c r="B28" s="3" t="inlineStr">
        <is>
          <t>행동 부사</t>
        </is>
      </c>
      <c r="C28" s="4" t="inlineStr">
        <is>
          <t>deliberately</t>
        </is>
      </c>
      <c r="D28" s="11" t="inlineStr">
        <is>
          <t>의도적으로, 신중하게</t>
        </is>
      </c>
      <c r="E28" s="11" t="inlineStr">
        <is>
          <t>He deliberately ignored my question.</t>
        </is>
      </c>
      <c r="F28" s="11" t="inlineStr">
        <is>
          <t>그는 내 질문을 의도적으로 무시했어.</t>
        </is>
      </c>
      <c r="G28" s="5">
        <f>HYPERLINK("https://www.youtube.com/watch?v=2eL9r9rlcOc", "영상 보기 ▶")</f>
        <v/>
      </c>
    </row>
    <row r="29" ht="26" customHeight="1">
      <c r="A29" s="6" t="n">
        <v>178</v>
      </c>
      <c r="B29" s="7" t="inlineStr">
        <is>
          <t>태도 형용사</t>
        </is>
      </c>
      <c r="C29" s="8" t="inlineStr">
        <is>
          <t>deliberate</t>
        </is>
      </c>
      <c r="D29" s="12" t="inlineStr">
        <is>
          <t>신중한, 심사숙고하다</t>
        </is>
      </c>
      <c r="E29" s="12" t="inlineStr">
        <is>
          <t>After deliberate consideration, we agreed.</t>
        </is>
      </c>
      <c r="F29" s="12" t="inlineStr">
        <is>
          <t>신중한 고려 끝에 우리는 합의했습니다.</t>
        </is>
      </c>
      <c r="G29" s="9">
        <f>HYPERLINK("https://www.youtube.com/watch?v=2eL9r9rlcOc", "영상 보기 ▶")</f>
        <v/>
      </c>
    </row>
    <row r="30" ht="26" customHeight="1">
      <c r="A30" s="2" t="n">
        <v>179</v>
      </c>
      <c r="B30" s="3" t="inlineStr">
        <is>
          <t>설득 표현</t>
        </is>
      </c>
      <c r="C30" s="4" t="inlineStr">
        <is>
          <t>talk (sb) into</t>
        </is>
      </c>
      <c r="D30" s="11" t="inlineStr">
        <is>
          <t>설득해서 ~하게 만들다</t>
        </is>
      </c>
      <c r="E30" s="11" t="inlineStr">
        <is>
          <t>She talked me into buying this.</t>
        </is>
      </c>
      <c r="F30" s="11" t="inlineStr">
        <is>
          <t>그녀가 날 설득해서 이걸 사게 만들었어.</t>
        </is>
      </c>
      <c r="G30" s="5">
        <f>HYPERLINK("https://www.youtube.com/watch?v=2eL9r9rlcOc", "영상 보기 ▶")</f>
        <v/>
      </c>
    </row>
    <row r="31" ht="26" customHeight="1">
      <c r="A31" s="6" t="n">
        <v>180</v>
      </c>
      <c r="B31" s="7" t="inlineStr">
        <is>
          <t>설득 표현</t>
        </is>
      </c>
      <c r="C31" s="8" t="inlineStr">
        <is>
          <t>talk (sb) out of</t>
        </is>
      </c>
      <c r="D31" s="12" t="inlineStr">
        <is>
          <t>설득해서 ~하지 않게 말리다</t>
        </is>
      </c>
      <c r="E31" s="12" t="inlineStr">
        <is>
          <t>I talked him out of quitting his job.</t>
        </is>
      </c>
      <c r="F31" s="12" t="inlineStr">
        <is>
          <t>내가 그 사람 퇴사하지 말라고 설득해서 말렸어.</t>
        </is>
      </c>
      <c r="G31" s="9">
        <f>HYPERLINK("https://www.youtube.com/watch?v=2eL9r9rlcOc", "영상 보기 ▶")</f>
        <v/>
      </c>
    </row>
    <row r="32" ht="26" customHeight="1">
      <c r="A32" s="2" t="n">
        <v>181</v>
      </c>
      <c r="B32" s="3" t="inlineStr">
        <is>
          <t>기대 표현</t>
        </is>
      </c>
      <c r="C32" s="4" t="inlineStr">
        <is>
          <t>look forward to</t>
        </is>
      </c>
      <c r="D32" s="11" t="inlineStr">
        <is>
          <t>기대하다, 고대하다</t>
        </is>
      </c>
      <c r="E32" s="11" t="inlineStr">
        <is>
          <t>I look forward to working with you.</t>
        </is>
      </c>
      <c r="F32" s="11" t="inlineStr">
        <is>
          <t>함께 일하게 되기를 기대합니다.</t>
        </is>
      </c>
      <c r="G32" s="5">
        <f>HYPERLINK("https://www.youtube.com/watch?v=2eL9r9rlcOc", "영상 보기 ▶")</f>
        <v/>
      </c>
    </row>
    <row r="33" ht="26" customHeight="1">
      <c r="A33" s="6" t="n">
        <v>182</v>
      </c>
      <c r="B33" s="7" t="inlineStr">
        <is>
          <t>기대 표현</t>
        </is>
      </c>
      <c r="C33" s="8" t="inlineStr">
        <is>
          <t>can't wait to</t>
        </is>
      </c>
      <c r="D33" s="12" t="inlineStr">
        <is>
          <t>너무 기대되어 기다리기 힘들다</t>
        </is>
      </c>
      <c r="E33" s="12" t="inlineStr">
        <is>
          <t>I can't wait to see you.</t>
        </is>
      </c>
      <c r="F33" s="12" t="inlineStr">
        <is>
          <t>빨리 보고 싶어서 기다리기 힘들 정도야.</t>
        </is>
      </c>
      <c r="G33" s="9">
        <f>HYPERLINK("https://www.youtube.com/watch?v=2eL9r9rlcOc", "영상 보기 ▶")</f>
        <v/>
      </c>
    </row>
    <row r="34" ht="26" customHeight="1">
      <c r="A34" s="2" t="n">
        <v>183</v>
      </c>
      <c r="B34" s="3" t="inlineStr">
        <is>
          <t>기대 표현</t>
        </is>
      </c>
      <c r="C34" s="4" t="inlineStr">
        <is>
          <t>count down the days</t>
        </is>
      </c>
      <c r="D34" s="11" t="inlineStr">
        <is>
          <t>손꼽아 기다리다</t>
        </is>
      </c>
      <c r="E34" s="11" t="inlineStr">
        <is>
          <t>I'm counting down the days until vacation.</t>
        </is>
      </c>
      <c r="F34" s="11" t="inlineStr">
        <is>
          <t>휴가 날짜를 손꼽아 기다리고 있어.</t>
        </is>
      </c>
      <c r="G34" s="5">
        <f>HYPERLINK("https://www.youtube.com/watch?v=2eL9r9rlcOc", "영상 보기 ▶")</f>
        <v/>
      </c>
    </row>
    <row r="35" ht="26" customHeight="1">
      <c r="A35" s="6" t="n">
        <v>184</v>
      </c>
      <c r="B35" s="7" t="inlineStr">
        <is>
          <t>행운 기원</t>
        </is>
      </c>
      <c r="C35" s="8" t="inlineStr">
        <is>
          <t>keep fingers crossed</t>
        </is>
      </c>
      <c r="D35" s="12" t="inlineStr">
        <is>
          <t>행운을 빌다</t>
        </is>
      </c>
      <c r="E35" s="12" t="inlineStr">
        <is>
          <t>Keep your fingers crossed for me!</t>
        </is>
      </c>
      <c r="F35" s="12" t="inlineStr">
        <is>
          <t>날 위해 행운을 빌어줘!</t>
        </is>
      </c>
      <c r="G35" s="9">
        <f>HYPERLINK("https://www.youtube.com/watch?v=2eL9r9rlcOc", "영상 보기 ▶")</f>
        <v/>
      </c>
    </row>
    <row r="36" ht="26" customHeight="1">
      <c r="A36" s="2" t="n">
        <v>185</v>
      </c>
      <c r="B36" s="3" t="inlineStr">
        <is>
          <t>미신/예방</t>
        </is>
      </c>
      <c r="C36" s="4" t="inlineStr">
        <is>
          <t>knock on wood</t>
        </is>
      </c>
      <c r="D36" s="11" t="inlineStr">
        <is>
          <t>부정 타지 않게 나무를 두드리다</t>
        </is>
      </c>
      <c r="E36" s="11" t="inlineStr">
        <is>
          <t>No issues so far, knock on wood.</t>
        </is>
      </c>
      <c r="F36" s="11" t="inlineStr">
        <is>
          <t>지금까지는 문제없어, 부정 안 타게 빌어야지.</t>
        </is>
      </c>
      <c r="G36" s="5">
        <f>HYPERLINK("https://www.youtube.com/watch?v=2eL9r9rlcOc", "영상 보기 ▶")</f>
        <v/>
      </c>
    </row>
    <row r="37" ht="26" customHeight="1">
      <c r="A37" s="6" t="n">
        <v>186</v>
      </c>
      <c r="B37" s="7" t="inlineStr">
        <is>
          <t>미신/징크스</t>
        </is>
      </c>
      <c r="C37" s="8" t="inlineStr">
        <is>
          <t>jinx</t>
        </is>
      </c>
      <c r="D37" s="12" t="inlineStr">
        <is>
          <t>징크스, 불운을 가져오다</t>
        </is>
      </c>
      <c r="E37" s="12" t="inlineStr">
        <is>
          <t>Don't say that, you'll jinx it!</t>
        </is>
      </c>
      <c r="F37" s="12" t="inlineStr">
        <is>
          <t>그런 말 하지 마, 부정 타!</t>
        </is>
      </c>
      <c r="G37" s="9">
        <f>HYPERLINK("https://www.youtube.com/watch?v=2eL9r9rlcOc", "영상 보기 ▶")</f>
        <v/>
      </c>
    </row>
    <row r="38" ht="26" customHeight="1">
      <c r="A38" s="2" t="n">
        <v>187</v>
      </c>
      <c r="B38" s="3" t="inlineStr">
        <is>
          <t>불신 표현</t>
        </is>
      </c>
      <c r="C38" s="4" t="inlineStr">
        <is>
          <t>I don't buy it</t>
        </is>
      </c>
      <c r="D38" s="11" t="inlineStr">
        <is>
          <t>난 안 믿어, 안 넘어가</t>
        </is>
      </c>
      <c r="E38" s="11" t="inlineStr">
        <is>
          <t>That sounds like an excuse. I don't buy it.</t>
        </is>
      </c>
      <c r="F38" s="11" t="inlineStr">
        <is>
          <t>변명 같은데. 난 안 믿어.</t>
        </is>
      </c>
      <c r="G38" s="5">
        <f>HYPERLINK("https://www.youtube.com/watch?v=2eL9r9rlcOc", "영상 보기 ▶")</f>
        <v/>
      </c>
    </row>
    <row r="39" ht="26" customHeight="1">
      <c r="A39" s="6" t="n">
        <v>188</v>
      </c>
      <c r="B39" s="7" t="inlineStr">
        <is>
          <t>인정/신뢰</t>
        </is>
      </c>
      <c r="C39" s="8" t="inlineStr">
        <is>
          <t>buy</t>
        </is>
      </c>
      <c r="D39" s="12" t="inlineStr">
        <is>
          <t>(의견/변명을) 믿다, 인정하다</t>
        </is>
      </c>
      <c r="E39" s="12" t="inlineStr">
        <is>
          <t>Nobody is going to buy that story.</t>
        </is>
      </c>
      <c r="F39" s="12" t="inlineStr">
        <is>
          <t>그 이야기를 믿을 사람은 아무도 없어.</t>
        </is>
      </c>
      <c r="G39" s="9">
        <f>HYPERLINK("https://www.youtube.com/watch?v=2eL9r9rlcOc", "영상 보기 ▶")</f>
        <v/>
      </c>
    </row>
    <row r="40" ht="26" customHeight="1">
      <c r="A40" s="2" t="n">
        <v>189</v>
      </c>
      <c r="B40" s="3" t="inlineStr">
        <is>
          <t>설득/납득</t>
        </is>
      </c>
      <c r="C40" s="4" t="inlineStr">
        <is>
          <t>sell</t>
        </is>
      </c>
      <c r="D40" s="11" t="inlineStr">
        <is>
          <t>납득시키다, 설득하다</t>
        </is>
      </c>
      <c r="E40" s="11" t="inlineStr">
        <is>
          <t>I'm not completely sold on this idea.</t>
        </is>
      </c>
      <c r="F40" s="11" t="inlineStr">
        <is>
          <t>난 이 아이디어에 완전히 납득되지는 않아.</t>
        </is>
      </c>
      <c r="G40" s="5">
        <f>HYPERLINK("https://www.youtube.com/watch?v=2eL9r9rlcOc", "영상 보기 ▶")</f>
        <v/>
      </c>
    </row>
    <row r="41" ht="26" customHeight="1">
      <c r="A41" s="6" t="n">
        <v>190</v>
      </c>
      <c r="B41" s="7" t="inlineStr">
        <is>
          <t>제안/발표</t>
        </is>
      </c>
      <c r="C41" s="8" t="inlineStr">
        <is>
          <t>pitch</t>
        </is>
      </c>
      <c r="D41" s="12" t="inlineStr">
        <is>
          <t>(아이디어/상품을) 제안하다, 프레젠테이션하다</t>
        </is>
      </c>
      <c r="E41" s="12" t="inlineStr">
        <is>
          <t>We're pitching our idea to investors today.</t>
        </is>
      </c>
      <c r="F41" s="12" t="inlineStr">
        <is>
          <t>우리 오늘 투자자들에게 아이디어를 제안해.</t>
        </is>
      </c>
      <c r="G41" s="9">
        <f>HYPERLINK("https://www.youtube.com/watch?v=2eL9r9rlcOc", "영상 보기 ▶")</f>
        <v/>
      </c>
    </row>
    <row r="42" ht="26" customHeight="1">
      <c r="A42" s="2" t="n">
        <v>191</v>
      </c>
      <c r="B42" s="3" t="inlineStr">
        <is>
          <t>비즈니스</t>
        </is>
      </c>
      <c r="C42" s="4" t="inlineStr">
        <is>
          <t>elevator pitch</t>
        </is>
      </c>
      <c r="D42" s="11" t="inlineStr">
        <is>
          <t>짧고 강렬한 핵심 브리핑 (엘리베이터 브리핑)</t>
        </is>
      </c>
      <c r="E42" s="11" t="inlineStr">
        <is>
          <t>Give me your 30-second elevator pitch.</t>
        </is>
      </c>
      <c r="F42" s="11" t="inlineStr">
        <is>
          <t>30초짜리 핵심 브리핑 한번 해봐.</t>
        </is>
      </c>
      <c r="G42" s="5">
        <f>HYPERLINK("https://www.youtube.com/watch?v=2eL9r9rlcOc", "영상 보기 ▶")</f>
        <v/>
      </c>
    </row>
    <row r="43" ht="26" customHeight="1">
      <c r="A43" s="6" t="n">
        <v>192</v>
      </c>
      <c r="B43" s="7" t="inlineStr">
        <is>
          <t>난이도/상황</t>
        </is>
      </c>
      <c r="C43" s="8" t="inlineStr">
        <is>
          <t>tough</t>
        </is>
      </c>
      <c r="D43" s="12" t="inlineStr">
        <is>
          <t>힘든, 만만찮은</t>
        </is>
      </c>
      <c r="E43" s="12" t="inlineStr">
        <is>
          <t>It was a tough decision to make.</t>
        </is>
      </c>
      <c r="F43" s="12" t="inlineStr">
        <is>
          <t>내리기 정말 힘든 결정이었어.</t>
        </is>
      </c>
      <c r="G43" s="9">
        <f>HYPERLINK("https://www.youtube.com/watch?v=2eL9r9rlcOc", "영상 보기 ▶")</f>
        <v/>
      </c>
    </row>
    <row r="44" ht="26" customHeight="1">
      <c r="A44" s="2" t="n">
        <v>193</v>
      </c>
      <c r="B44" s="3" t="inlineStr">
        <is>
          <t>고된 상황</t>
        </is>
      </c>
      <c r="C44" s="4" t="inlineStr">
        <is>
          <t>rough</t>
        </is>
      </c>
      <c r="D44" s="11" t="inlineStr">
        <is>
          <t>거친, 고된</t>
        </is>
      </c>
      <c r="E44" s="11" t="inlineStr">
        <is>
          <t>I had a rough day at work.</t>
        </is>
      </c>
      <c r="F44" s="11" t="inlineStr">
        <is>
          <t>오늘 회사에서 정말 힘든 하루를 보냈어.</t>
        </is>
      </c>
      <c r="G44" s="5">
        <f>HYPERLINK("https://www.youtube.com/watch?v=2eL9r9rlcOc", "영상 보기 ▶")</f>
        <v/>
      </c>
    </row>
    <row r="45" ht="26" customHeight="1">
      <c r="A45" s="6" t="n">
        <v>194</v>
      </c>
      <c r="B45" s="7" t="inlineStr">
        <is>
          <t>바쁜 상태</t>
        </is>
      </c>
      <c r="C45" s="8" t="inlineStr">
        <is>
          <t>hectic</t>
        </is>
      </c>
      <c r="D45" s="12" t="inlineStr">
        <is>
          <t>눈코 뜰 새 없이 빡빡하고 바쁜</t>
        </is>
      </c>
      <c r="E45" s="12" t="inlineStr">
        <is>
          <t>My schedule is crazy hectic this week.</t>
        </is>
      </c>
      <c r="F45" s="12" t="inlineStr">
        <is>
          <t>이번 주 내 일정이 눈코 뜰 새 없이 빡빡해.</t>
        </is>
      </c>
      <c r="G45" s="9">
        <f>HYPERLINK("https://www.youtube.com/watch?v=2eL9r9rlcOc", "영상 보기 ▶")</f>
        <v/>
      </c>
    </row>
    <row r="46" ht="26" customHeight="1">
      <c r="A46" s="2" t="n">
        <v>195</v>
      </c>
      <c r="B46" s="3" t="inlineStr">
        <is>
          <t>바쁜 상태</t>
        </is>
      </c>
      <c r="C46" s="4" t="inlineStr">
        <is>
          <t>crazy</t>
        </is>
      </c>
      <c r="D46" s="11" t="inlineStr">
        <is>
          <t>미친 듯이 바쁜</t>
        </is>
      </c>
      <c r="E46" s="11" t="inlineStr">
        <is>
          <t>Things have been crazy at the office.</t>
        </is>
      </c>
      <c r="F46" s="11" t="inlineStr">
        <is>
          <t>사무실 일이 요즘 미친 듯이 바빠.</t>
        </is>
      </c>
      <c r="G46" s="5">
        <f>HYPERLINK("https://www.youtube.com/watch?v=2eL9r9rlcOc", "영상 보기 ▶")</f>
        <v/>
      </c>
    </row>
    <row r="47" ht="26" customHeight="1">
      <c r="A47" s="6" t="n">
        <v>196</v>
      </c>
      <c r="B47" s="7" t="inlineStr">
        <is>
          <t>바쁜 상태</t>
        </is>
      </c>
      <c r="C47" s="8" t="inlineStr">
        <is>
          <t>insane</t>
        </is>
      </c>
      <c r="D47" s="12" t="inlineStr">
        <is>
          <t>정신없이 바쁜, 엄청난</t>
        </is>
      </c>
      <c r="E47" s="12" t="inlineStr">
        <is>
          <t>The workload has been insane lately.</t>
        </is>
      </c>
      <c r="F47" s="12" t="inlineStr">
        <is>
          <t>최근 업무량이 정신나갈 정도로 많았어.</t>
        </is>
      </c>
      <c r="G47" s="9">
        <f>HYPERLINK("https://www.youtube.com/watch?v=2eL9r9rlcOc", "영상 보기 ▶")</f>
        <v/>
      </c>
    </row>
    <row r="48" ht="26" customHeight="1">
      <c r="A48" s="2" t="n">
        <v>197</v>
      </c>
      <c r="B48" s="3" t="inlineStr">
        <is>
          <t>혼란 상태</t>
        </is>
      </c>
      <c r="C48" s="4" t="inlineStr">
        <is>
          <t>chaotic</t>
        </is>
      </c>
      <c r="D48" s="11" t="inlineStr">
        <is>
          <t>혼란스러운, 난장판인</t>
        </is>
      </c>
      <c r="E48" s="11" t="inlineStr">
        <is>
          <t>The morning was totally chaotic.</t>
        </is>
      </c>
      <c r="F48" s="11" t="inlineStr">
        <is>
          <t>오늘 아침은 완전히 정신없고 아수라장이었어.</t>
        </is>
      </c>
      <c r="G48" s="5">
        <f>HYPERLINK("https://www.youtube.com/watch?v=2eL9r9rlcOc", "영상 보기 ▶")</f>
        <v/>
      </c>
    </row>
    <row r="49" ht="26" customHeight="1">
      <c r="A49" s="6" t="n">
        <v>198</v>
      </c>
      <c r="B49" s="7" t="inlineStr">
        <is>
          <t>감당 가능</t>
        </is>
      </c>
      <c r="C49" s="8" t="inlineStr">
        <is>
          <t>manageable</t>
        </is>
      </c>
      <c r="D49" s="12" t="inlineStr">
        <is>
          <t>감당할 수 있는, 처리 가능한</t>
        </is>
      </c>
      <c r="E49" s="12" t="inlineStr">
        <is>
          <t>The workload is quite manageable.</t>
        </is>
      </c>
      <c r="F49" s="12" t="inlineStr">
        <is>
          <t>업무량이 꽤 감당할 만한 수준이야.</t>
        </is>
      </c>
      <c r="G49" s="9">
        <f>HYPERLINK("https://www.youtube.com/watch?v=2eL9r9rlcOc", "영상 보기 ▶")</f>
        <v/>
      </c>
    </row>
    <row r="50" ht="26" customHeight="1">
      <c r="A50" s="2" t="n">
        <v>199</v>
      </c>
      <c r="B50" s="3" t="inlineStr">
        <is>
          <t>통제 불능</t>
        </is>
      </c>
      <c r="C50" s="4" t="inlineStr">
        <is>
          <t>out of hand</t>
        </is>
      </c>
      <c r="D50" s="11" t="inlineStr">
        <is>
          <t>통제 불능인, 걷잡을 수 없는</t>
        </is>
      </c>
      <c r="E50" s="11" t="inlineStr">
        <is>
          <t>Things are getting out of hand.</t>
        </is>
      </c>
      <c r="F50" s="11" t="inlineStr">
        <is>
          <t>상황이 걷잡을 수 없이 커지고 있어.</t>
        </is>
      </c>
      <c r="G50" s="5">
        <f>HYPERLINK("https://www.youtube.com/watch?v=2eL9r9rlcOc", "영상 보기 ▶")</f>
        <v/>
      </c>
    </row>
    <row r="51" ht="26" customHeight="1">
      <c r="A51" s="6" t="n">
        <v>200</v>
      </c>
      <c r="B51" s="7" t="inlineStr">
        <is>
          <t>통제 가능</t>
        </is>
      </c>
      <c r="C51" s="8" t="inlineStr">
        <is>
          <t>under control</t>
        </is>
      </c>
      <c r="D51" s="12" t="inlineStr">
        <is>
          <t>통제 하에 있는, 잘 관리되는</t>
        </is>
      </c>
      <c r="E51" s="12" t="inlineStr">
        <is>
          <t>Don't worry, everything is under control.</t>
        </is>
      </c>
      <c r="F51" s="12" t="inlineStr">
        <is>
          <t>걱정 마세요, 모든 상황이 잘 통제되고 있어요.</t>
        </is>
      </c>
      <c r="G51" s="9">
        <f>HYPERLINK("https://www.youtube.com/watch?v=2eL9r9rlcOc", "영상 보기 ▶")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8" customWidth="1" min="3" max="3"/>
    <col width="46.7" customWidth="1" min="4" max="4"/>
    <col width="51" customWidth="1" min="5" max="5"/>
    <col width="52.8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201</v>
      </c>
      <c r="B2" s="3" t="inlineStr">
        <is>
          <t>회의/업무</t>
        </is>
      </c>
      <c r="C2" s="4" t="inlineStr">
        <is>
          <t>where we left off</t>
        </is>
      </c>
      <c r="D2" s="11" t="inlineStr">
        <is>
          <t>(중단했던) 그만둔 지점</t>
        </is>
      </c>
      <c r="E2" s="11" t="inlineStr">
        <is>
          <t>Let's pick up where we left off.</t>
        </is>
      </c>
      <c r="F2" s="11" t="inlineStr">
        <is>
          <t>지난번에 멈췄던 부분부터 이어서 합시다.</t>
        </is>
      </c>
      <c r="G2" s="5">
        <f>HYPERLINK("https://www.youtube.com/watch?v=gW8zB52Q3Uo", "영상 보기 ▶")</f>
        <v/>
      </c>
    </row>
    <row r="3" ht="26" customHeight="1">
      <c r="A3" s="6" t="n">
        <v>202</v>
      </c>
      <c r="B3" s="7" t="inlineStr">
        <is>
          <t>상세 설명</t>
        </is>
      </c>
      <c r="C3" s="8" t="inlineStr">
        <is>
          <t>elaborate</t>
        </is>
      </c>
      <c r="D3" s="12" t="inlineStr">
        <is>
          <t>덧붙여/자세히 설명하다</t>
        </is>
      </c>
      <c r="E3" s="12" t="inlineStr">
        <is>
          <t>Could you elaborate on that point?</t>
        </is>
      </c>
      <c r="F3" s="12" t="inlineStr">
        <is>
          <t>그 부분에 대해 좀 더 자세히 설명해 주실 수 있나요?</t>
        </is>
      </c>
      <c r="G3" s="9">
        <f>HYPERLINK("https://www.youtube.com/watch?v=gW8zB52Q3Uo", "영상 보기 ▶")</f>
        <v/>
      </c>
    </row>
    <row r="4" ht="26" customHeight="1">
      <c r="A4" s="2" t="n">
        <v>203</v>
      </c>
      <c r="B4" s="3" t="inlineStr">
        <is>
          <t>절차 안내</t>
        </is>
      </c>
      <c r="C4" s="4" t="inlineStr">
        <is>
          <t>walk (sb) through</t>
        </is>
      </c>
      <c r="D4" s="11" t="inlineStr">
        <is>
          <t>차근차근 단계별로 설명해 주다/보여주다</t>
        </is>
      </c>
      <c r="E4" s="11" t="inlineStr">
        <is>
          <t>Let me walk you through the process.</t>
        </is>
      </c>
      <c r="F4" s="11" t="inlineStr">
        <is>
          <t>제가 그 절차를 차근차근 안내해 드릴게요.</t>
        </is>
      </c>
      <c r="G4" s="5">
        <f>HYPERLINK("https://www.youtube.com/watch?v=gW8zB52Q3Uo", "영상 보기 ▶")</f>
        <v/>
      </c>
    </row>
    <row r="5" ht="26" customHeight="1">
      <c r="A5" s="6" t="n">
        <v>204</v>
      </c>
      <c r="B5" s="7" t="inlineStr">
        <is>
          <t>정보 공유</t>
        </is>
      </c>
      <c r="C5" s="8" t="inlineStr">
        <is>
          <t>fill (sb) in on</t>
        </is>
      </c>
      <c r="D5" s="12" t="inlineStr">
        <is>
          <t>(놓친 내용을) 상세히 알려주다, 채워주다</t>
        </is>
      </c>
      <c r="E5" s="12" t="inlineStr">
        <is>
          <t>Can you fill me in on what happened?</t>
        </is>
      </c>
      <c r="F5" s="12" t="inlineStr">
        <is>
          <t>무슨 일이 있었는지 나한테 좀 알려줄 수 있어?</t>
        </is>
      </c>
      <c r="G5" s="9">
        <f>HYPERLINK("https://www.youtube.com/watch?v=gW8zB52Q3Uo", "영상 보기 ▶")</f>
        <v/>
      </c>
    </row>
    <row r="6" ht="26" customHeight="1">
      <c r="A6" s="2" t="n">
        <v>205</v>
      </c>
      <c r="B6" s="3" t="inlineStr">
        <is>
          <t>사교/비즈니스</t>
        </is>
      </c>
      <c r="C6" s="4" t="inlineStr">
        <is>
          <t>feel free to + 동사원형</t>
        </is>
      </c>
      <c r="D6" s="11" t="inlineStr">
        <is>
          <t>부담 없이 편하게 ~하세요</t>
        </is>
      </c>
      <c r="E6" s="11" t="inlineStr">
        <is>
          <t>Please feel free to reach out anytime.</t>
        </is>
      </c>
      <c r="F6" s="11" t="inlineStr">
        <is>
          <t>언제든 편하게 연락 주세요.</t>
        </is>
      </c>
      <c r="G6" s="5">
        <f>HYPERLINK("https://www.youtube.com/watch?v=gW8zB52Q3Uo", "영상 보기 ▶")</f>
        <v/>
      </c>
    </row>
    <row r="7" ht="26" customHeight="1">
      <c r="A7" s="6" t="n">
        <v>206</v>
      </c>
      <c r="B7" s="7" t="inlineStr">
        <is>
          <t>수정/보완</t>
        </is>
      </c>
      <c r="C7" s="8" t="inlineStr">
        <is>
          <t>tweak</t>
        </is>
      </c>
      <c r="D7" s="12" t="inlineStr">
        <is>
          <t>약간 수정하다 / 약간의 수정</t>
        </is>
      </c>
      <c r="E7" s="12" t="inlineStr">
        <is>
          <t>We just need to tweak a few details.</t>
        </is>
      </c>
      <c r="F7" s="12" t="inlineStr">
        <is>
          <t>세부 사항 몇 개만 살짝 손보면 돼요.</t>
        </is>
      </c>
      <c r="G7" s="9">
        <f>HYPERLINK("https://www.youtube.com/watch?v=gW8zB52Q3Uo", "영상 보기 ▶")</f>
        <v/>
      </c>
    </row>
    <row r="8" ht="26" customHeight="1">
      <c r="A8" s="2" t="n">
        <v>207</v>
      </c>
      <c r="B8" s="3" t="inlineStr">
        <is>
          <t>의사 결정</t>
        </is>
      </c>
      <c r="C8" s="4" t="inlineStr">
        <is>
          <t>pros and cons</t>
        </is>
      </c>
      <c r="D8" s="11" t="inlineStr">
        <is>
          <t>장단점, 찬반양론</t>
        </is>
      </c>
      <c r="E8" s="11" t="inlineStr">
        <is>
          <t>Let's weigh the pros and cons.</t>
        </is>
      </c>
      <c r="F8" s="11" t="inlineStr">
        <is>
          <t>장단점을 꼼꼼히 따져봅시다.</t>
        </is>
      </c>
      <c r="G8" s="5">
        <f>HYPERLINK("https://www.youtube.com/watch?v=gW8zB52Q3Uo", "영상 보기 ▶")</f>
        <v/>
      </c>
    </row>
    <row r="9" ht="26" customHeight="1">
      <c r="A9" s="6" t="n">
        <v>208</v>
      </c>
      <c r="B9" s="7" t="inlineStr">
        <is>
          <t>의사 결정</t>
        </is>
      </c>
      <c r="C9" s="8" t="inlineStr">
        <is>
          <t>weigh</t>
        </is>
      </c>
      <c r="D9" s="12" t="inlineStr">
        <is>
          <t>(결정 전 선택지를) 저울질하다, 따져보다</t>
        </is>
      </c>
      <c r="E9" s="12" t="inlineStr">
        <is>
          <t>We need to weigh all our options.</t>
        </is>
      </c>
      <c r="F9" s="12" t="inlineStr">
        <is>
          <t>우리는 모든 선택지를 신중히 따져봐야 해.</t>
        </is>
      </c>
      <c r="G9" s="9">
        <f>HYPERLINK("https://www.youtube.com/watch?v=gW8zB52Q3Uo", "영상 보기 ▶")</f>
        <v/>
      </c>
    </row>
    <row r="10" ht="26" customHeight="1">
      <c r="A10" s="2" t="n">
        <v>209</v>
      </c>
      <c r="B10" s="3" t="inlineStr">
        <is>
          <t>업무 우선순위</t>
        </is>
      </c>
      <c r="C10" s="4" t="inlineStr">
        <is>
          <t>priority</t>
        </is>
      </c>
      <c r="D10" s="11" t="inlineStr">
        <is>
          <t>우선순위, 최우선 사항</t>
        </is>
      </c>
      <c r="E10" s="11" t="inlineStr">
        <is>
          <t>Customer satisfaction is our top priority.</t>
        </is>
      </c>
      <c r="F10" s="11" t="inlineStr">
        <is>
          <t>고객 만족이 우리의 최우선 과제입니다.</t>
        </is>
      </c>
      <c r="G10" s="5">
        <f>HYPERLINK("https://www.youtube.com/watch?v=gW8zB52Q3Uo", "영상 보기 ▶")</f>
        <v/>
      </c>
    </row>
    <row r="11" ht="26" customHeight="1">
      <c r="A11" s="6" t="n">
        <v>210</v>
      </c>
      <c r="B11" s="7" t="inlineStr">
        <is>
          <t>업무 우선순위</t>
        </is>
      </c>
      <c r="C11" s="8" t="inlineStr">
        <is>
          <t>prioritize</t>
        </is>
      </c>
      <c r="D11" s="12" t="inlineStr">
        <is>
          <t>우선순위를 매기다, 우선적으로 처리하다</t>
        </is>
      </c>
      <c r="E11" s="12" t="inlineStr">
        <is>
          <t>We need to prioritize these urgent tasks.</t>
        </is>
      </c>
      <c r="F11" s="12" t="inlineStr">
        <is>
          <t>이 긴급한 업무들의 우선순위를 정해야 합니다.</t>
        </is>
      </c>
      <c r="G11" s="9">
        <f>HYPERLINK("https://www.youtube.com/watch?v=gW8zB52Q3Uo", "영상 보기 ▶")</f>
        <v/>
      </c>
    </row>
    <row r="12" ht="26" customHeight="1">
      <c r="A12" s="2" t="n">
        <v>211</v>
      </c>
      <c r="B12" s="3" t="inlineStr">
        <is>
          <t>호의/친절</t>
        </is>
      </c>
      <c r="C12" s="4" t="inlineStr">
        <is>
          <t>I'd be happy to ~</t>
        </is>
      </c>
      <c r="D12" s="11" t="inlineStr">
        <is>
          <t>기꺼이 ~해 드릴게요</t>
        </is>
      </c>
      <c r="E12" s="11" t="inlineStr">
        <is>
          <t>I'd be happy to help you with that.</t>
        </is>
      </c>
      <c r="F12" s="11" t="inlineStr">
        <is>
          <t>제가 기꺼이 그거 도와드릴게요.</t>
        </is>
      </c>
      <c r="G12" s="5">
        <f>HYPERLINK("https://www.youtube.com/watch?v=gW8zB52Q3Uo", "영상 보기 ▶")</f>
        <v/>
      </c>
    </row>
    <row r="13" ht="26" customHeight="1">
      <c r="A13" s="6" t="n">
        <v>212</v>
      </c>
      <c r="B13" s="7" t="inlineStr">
        <is>
          <t>식사 인사</t>
        </is>
      </c>
      <c r="C13" s="8" t="inlineStr">
        <is>
          <t>Enjoy your lunch</t>
        </is>
      </c>
      <c r="D13" s="12" t="inlineStr">
        <is>
          <t>점심 맛있게 드세요</t>
        </is>
      </c>
      <c r="E13" s="12" t="inlineStr">
        <is>
          <t>Enjoy your lunch, see you this afternoon.</t>
        </is>
      </c>
      <c r="F13" s="12" t="inlineStr">
        <is>
          <t>점심 맛있게 드시고 오후에 봬요.</t>
        </is>
      </c>
      <c r="G13" s="9">
        <f>HYPERLINK("https://www.youtube.com/watch?v=gW8zB52Q3Uo", "영상 보기 ▶")</f>
        <v/>
      </c>
    </row>
    <row r="14" ht="26" customHeight="1">
      <c r="A14" s="2" t="n">
        <v>213</v>
      </c>
      <c r="B14" s="3" t="inlineStr">
        <is>
          <t>하루 인사</t>
        </is>
      </c>
      <c r="C14" s="4" t="inlineStr">
        <is>
          <t>the rest of ~</t>
        </is>
      </c>
      <c r="D14" s="11" t="inlineStr">
        <is>
          <t>남은 ~ (남은 하루/시간)</t>
        </is>
      </c>
      <c r="E14" s="11" t="inlineStr">
        <is>
          <t>Enjoy the rest of your day!</t>
        </is>
      </c>
      <c r="F14" s="11" t="inlineStr">
        <is>
          <t>남은 하루도 즐겁게 보내세요!</t>
        </is>
      </c>
      <c r="G14" s="5">
        <f>HYPERLINK("https://www.youtube.com/watch?v=gW8zB52Q3Uo", "영상 보기 ▶")</f>
        <v/>
      </c>
    </row>
    <row r="15" ht="26" customHeight="1">
      <c r="A15" s="6" t="n">
        <v>214</v>
      </c>
      <c r="B15" s="7" t="inlineStr">
        <is>
          <t>감상 표현</t>
        </is>
      </c>
      <c r="C15" s="8" t="inlineStr">
        <is>
          <t>enjoy (like보다 강조)</t>
        </is>
      </c>
      <c r="D15" s="12" t="inlineStr">
        <is>
          <t>아주 좋아하다, 즐기다, 뜻깊게 경험하다</t>
        </is>
      </c>
      <c r="E15" s="12" t="inlineStr">
        <is>
          <t>I really enjoyed the presentation.</t>
        </is>
      </c>
      <c r="F15" s="12" t="inlineStr">
        <is>
          <t>오늘 발표 정말 유익하고 좋았어요.</t>
        </is>
      </c>
      <c r="G15" s="9">
        <f>HYPERLINK("https://www.youtube.com/watch?v=gW8zB52Q3Uo", "영상 보기 ▶")</f>
        <v/>
      </c>
    </row>
    <row r="16" ht="26" customHeight="1">
      <c r="A16" s="2" t="n">
        <v>215</v>
      </c>
      <c r="B16" s="3" t="inlineStr">
        <is>
          <t>사과 매너</t>
        </is>
      </c>
      <c r="C16" s="4" t="inlineStr">
        <is>
          <t>Sorry to keep you waiting</t>
        </is>
      </c>
      <c r="D16" s="11" t="inlineStr">
        <is>
          <t>기다리게 해서 죄송합니다</t>
        </is>
      </c>
      <c r="E16" s="11" t="inlineStr">
        <is>
          <t>Sorry to keep you waiting, I got caught up.</t>
        </is>
      </c>
      <c r="F16" s="11" t="inlineStr">
        <is>
          <t>일 때문에 늦어 기다리게 해드려 죄송합니다.</t>
        </is>
      </c>
      <c r="G16" s="5">
        <f>HYPERLINK("https://www.youtube.com/watch?v=gW8zB52Q3Uo", "영상 보기 ▶")</f>
        <v/>
      </c>
    </row>
    <row r="17" ht="26" customHeight="1">
      <c r="A17" s="6" t="n">
        <v>216</v>
      </c>
      <c r="B17" s="7" t="inlineStr">
        <is>
          <t>양해 매너</t>
        </is>
      </c>
      <c r="C17" s="8" t="inlineStr">
        <is>
          <t>excuse</t>
        </is>
      </c>
      <c r="D17" s="12" t="inlineStr">
        <is>
          <t>자리를 뜨며 양해를 구하다</t>
        </is>
      </c>
      <c r="E17" s="12" t="inlineStr">
        <is>
          <t>If you'll excuse me, I have a call.</t>
        </is>
      </c>
      <c r="F17" s="12" t="inlineStr">
        <is>
          <t>양해해 주신다면 전화 한 통만 받고 오겠습니다.</t>
        </is>
      </c>
      <c r="G17" s="9">
        <f>HYPERLINK("https://www.youtube.com/watch?v=gW8zB52Q3Uo", "영상 보기 ▶")</f>
        <v/>
      </c>
    </row>
    <row r="18" ht="26" customHeight="1">
      <c r="A18" s="2" t="n">
        <v>217</v>
      </c>
      <c r="B18" s="3" t="inlineStr">
        <is>
          <t>양보 매너</t>
        </is>
      </c>
      <c r="C18" s="4" t="inlineStr">
        <is>
          <t>Go ahead</t>
        </is>
      </c>
      <c r="D18" s="11" t="inlineStr">
        <is>
          <t>먼저 하세요/타세요/말씀하세요</t>
        </is>
      </c>
      <c r="E18" s="11" t="inlineStr">
        <is>
          <t>No, please, go ahead.</t>
        </is>
      </c>
      <c r="F18" s="11" t="inlineStr">
        <is>
          <t>아니에요, 먼저 타세요/말씀하세요.</t>
        </is>
      </c>
      <c r="G18" s="5">
        <f>HYPERLINK("https://www.youtube.com/watch?v=gW8zB52Q3Uo", "영상 보기 ▶")</f>
        <v/>
      </c>
    </row>
    <row r="19" ht="26" customHeight="1">
      <c r="A19" s="6" t="n">
        <v>218</v>
      </c>
      <c r="B19" s="7" t="inlineStr">
        <is>
          <t>대화 매너</t>
        </is>
      </c>
      <c r="C19" s="8" t="inlineStr">
        <is>
          <t>Sorry to interrupt</t>
        </is>
      </c>
      <c r="D19" s="12" t="inlineStr">
        <is>
          <t>(말하는 도중/일하는 도중) 방해해서 미안해</t>
        </is>
      </c>
      <c r="E19" s="12" t="inlineStr">
        <is>
          <t>Sorry to interrupt, but do you have a minute?</t>
        </is>
      </c>
      <c r="F19" s="12" t="inlineStr">
        <is>
          <t>방해해서 죄송한데 잠깐 시간 있으세요?</t>
        </is>
      </c>
      <c r="G19" s="9">
        <f>HYPERLINK("https://www.youtube.com/watch?v=gW8zB52Q3Uo", "영상 보기 ▶")</f>
        <v/>
      </c>
    </row>
    <row r="20" ht="26" customHeight="1">
      <c r="A20" s="2" t="n">
        <v>219</v>
      </c>
      <c r="B20" s="3" t="inlineStr">
        <is>
          <t>아쉬움 표현</t>
        </is>
      </c>
      <c r="C20" s="4" t="inlineStr">
        <is>
          <t>I wish I could ~</t>
        </is>
      </c>
      <c r="D20" s="11" t="inlineStr">
        <is>
          <t>~할 수 있으면 좋을 텐데 (못해서 아쉬움)</t>
        </is>
      </c>
      <c r="E20" s="11" t="inlineStr">
        <is>
          <t>I wish I could join, but I have other plans.</t>
        </is>
      </c>
      <c r="F20" s="11" t="inlineStr">
        <is>
          <t>같이 갈 수 있으면 좋을 텐데 선약이 있어서 아쉽네요.</t>
        </is>
      </c>
      <c r="G20" s="5">
        <f>HYPERLINK("https://www.youtube.com/watch?v=gW8zB52Q3Uo", "영상 보기 ▶")</f>
        <v/>
      </c>
    </row>
    <row r="21" ht="26" customHeight="1">
      <c r="A21" s="6" t="n">
        <v>220</v>
      </c>
      <c r="B21" s="7" t="inlineStr">
        <is>
          <t>협조/도움</t>
        </is>
      </c>
      <c r="C21" s="8" t="inlineStr">
        <is>
          <t>help (sb) out with</t>
        </is>
      </c>
      <c r="D21" s="12" t="inlineStr">
        <is>
          <t>~에 대해 도움을 주다</t>
        </is>
      </c>
      <c r="E21" s="12" t="inlineStr">
        <is>
          <t>Can you help me out with this report?</t>
        </is>
      </c>
      <c r="F21" s="12" t="inlineStr">
        <is>
          <t>이 보고서 작성하는 것 좀 도와줄 수 있어?</t>
        </is>
      </c>
      <c r="G21" s="9">
        <f>HYPERLINK("https://www.youtube.com/watch?v=gW8zB52Q3Uo", "영상 보기 ▶")</f>
        <v/>
      </c>
    </row>
    <row r="22" ht="26" customHeight="1">
      <c r="A22" s="2" t="n">
        <v>221</v>
      </c>
      <c r="B22" s="3" t="inlineStr">
        <is>
          <t>행운 기원</t>
        </is>
      </c>
      <c r="C22" s="4" t="inlineStr">
        <is>
          <t>wish + 사람 + 명사</t>
        </is>
      </c>
      <c r="D22" s="11" t="inlineStr">
        <is>
          <t>~에게 행운/행복을 빌어주다</t>
        </is>
      </c>
      <c r="E22" s="11" t="inlineStr">
        <is>
          <t>I wish you the best of luck.</t>
        </is>
      </c>
      <c r="F22" s="11" t="inlineStr">
        <is>
          <t>최고의 행운이 함께하길 빌게요.</t>
        </is>
      </c>
      <c r="G22" s="5">
        <f>HYPERLINK("https://www.youtube.com/watch?v=gW8zB52Q3Uo", "영상 보기 ▶")</f>
        <v/>
      </c>
    </row>
    <row r="23" ht="26" customHeight="1">
      <c r="A23" s="6" t="n">
        <v>222</v>
      </c>
      <c r="B23" s="7" t="inlineStr">
        <is>
          <t>칭찬 뉘앙스</t>
        </is>
      </c>
      <c r="C23" s="8" t="inlineStr">
        <is>
          <t>not that you need it</t>
        </is>
      </c>
      <c r="D23" s="12" t="inlineStr">
        <is>
          <t>네가 그게 꼭 필요한 건 아니겠지만(충분히 잘하지만)</t>
        </is>
      </c>
      <c r="E23" s="12" t="inlineStr">
        <is>
          <t>Good luck, not that you need it!</t>
        </is>
      </c>
      <c r="F23" s="12" t="inlineStr">
        <is>
          <t>행운을 빌어, 너야 워낙 잘해서 필요 없겠지만!</t>
        </is>
      </c>
      <c r="G23" s="9">
        <f>HYPERLINK("https://www.youtube.com/watch?v=gW8zB52Q3Uo", "영상 보기 ▶")</f>
        <v/>
      </c>
    </row>
    <row r="24" ht="26" customHeight="1">
      <c r="A24" s="2" t="n">
        <v>223</v>
      </c>
      <c r="B24" s="3" t="inlineStr">
        <is>
          <t>격식 희망</t>
        </is>
      </c>
      <c r="C24" s="4" t="inlineStr">
        <is>
          <t>wish to + 동사원형</t>
        </is>
      </c>
      <c r="D24" s="11" t="inlineStr">
        <is>
          <t>~하고 싶습니다 (want의 격식체)</t>
        </is>
      </c>
      <c r="E24" s="11" t="inlineStr">
        <is>
          <t>I wish to discuss our partnership.</t>
        </is>
      </c>
      <c r="F24" s="11" t="inlineStr">
        <is>
          <t>저희 협력 관계에 대해 논의하고 싶습니다.</t>
        </is>
      </c>
      <c r="G24" s="5">
        <f>HYPERLINK("https://www.youtube.com/watch?v=gW8zB52Q3Uo", "영상 보기 ▶")</f>
        <v/>
      </c>
    </row>
    <row r="25" ht="26" customHeight="1">
      <c r="A25" s="6" t="n">
        <v>224</v>
      </c>
      <c r="B25" s="7" t="inlineStr">
        <is>
          <t>희망 표현</t>
        </is>
      </c>
      <c r="C25" s="8" t="inlineStr">
        <is>
          <t>hope</t>
        </is>
      </c>
      <c r="D25" s="12" t="inlineStr">
        <is>
          <t>~하길 바라다 (실현 가능성이 높을 때)</t>
        </is>
      </c>
      <c r="E25" s="12" t="inlineStr">
        <is>
          <t>I hope everything goes smoothly.</t>
        </is>
      </c>
      <c r="F25" s="12" t="inlineStr">
        <is>
          <t>모든 일이 순조롭게 진행되길 바랍니다.</t>
        </is>
      </c>
      <c r="G25" s="9">
        <f>HYPERLINK("https://www.youtube.com/watch?v=gW8zB52Q3Uo", "영상 보기 ▶")</f>
        <v/>
      </c>
    </row>
    <row r="26" ht="26" customHeight="1">
      <c r="A26" s="2" t="n">
        <v>225</v>
      </c>
      <c r="B26" s="3" t="inlineStr">
        <is>
          <t>핵심 배움</t>
        </is>
      </c>
      <c r="C26" s="4" t="inlineStr">
        <is>
          <t>takeaway</t>
        </is>
      </c>
      <c r="D26" s="11" t="inlineStr">
        <is>
          <t>핵심 요점, 배워가는 점 (미국식)</t>
        </is>
      </c>
      <c r="E26" s="11" t="inlineStr">
        <is>
          <t>What was your biggest takeaway from the seminar?</t>
        </is>
      </c>
      <c r="F26" s="11" t="inlineStr">
        <is>
          <t>이번 세미나에서 얻은 가장 큰 배움은 뭐였어?</t>
        </is>
      </c>
      <c r="G26" s="5">
        <f>HYPERLINK("https://www.youtube.com/watch?v=gW8zB52Q3Uo", "영상 보기 ▶")</f>
        <v/>
      </c>
    </row>
    <row r="27" ht="26" customHeight="1">
      <c r="A27" s="6" t="n">
        <v>226</v>
      </c>
      <c r="B27" s="7" t="inlineStr">
        <is>
          <t>핵심 배움</t>
        </is>
      </c>
      <c r="C27" s="8" t="inlineStr">
        <is>
          <t>takeaways</t>
        </is>
      </c>
      <c r="D27" s="12" t="inlineStr">
        <is>
          <t>핵심 요약 포인트들</t>
        </is>
      </c>
      <c r="E27" s="12" t="inlineStr">
        <is>
          <t>Here are the key takeaways from today's meeting.</t>
        </is>
      </c>
      <c r="F27" s="12" t="inlineStr">
        <is>
          <t>오늘 회의의 핵심 요약 포인트들입니다.</t>
        </is>
      </c>
      <c r="G27" s="9">
        <f>HYPERLINK("https://www.youtube.com/watch?v=gW8zB52Q3Uo", "영상 보기 ▶")</f>
        <v/>
      </c>
    </row>
    <row r="28" ht="26" customHeight="1">
      <c r="A28" s="2" t="n">
        <v>227</v>
      </c>
      <c r="B28" s="3" t="inlineStr">
        <is>
          <t>요약/복습</t>
        </is>
      </c>
      <c r="C28" s="4" t="inlineStr">
        <is>
          <t>recap</t>
        </is>
      </c>
      <c r="D28" s="11" t="inlineStr">
        <is>
          <t>요약하다, 복습하다</t>
        </is>
      </c>
      <c r="E28" s="11" t="inlineStr">
        <is>
          <t>Let's quickly recap what we discussed.</t>
        </is>
      </c>
      <c r="F28" s="11" t="inlineStr">
        <is>
          <t>우리가 논의한 내용을 빠르게 요약해 봅시다.</t>
        </is>
      </c>
      <c r="G28" s="5">
        <f>HYPERLINK("https://www.youtube.com/watch?v=gW8zB52Q3Uo", "영상 보기 ▶")</f>
        <v/>
      </c>
    </row>
    <row r="29" ht="26" customHeight="1">
      <c r="A29" s="6" t="n">
        <v>228</v>
      </c>
      <c r="B29" s="7" t="inlineStr">
        <is>
          <t>의견 일치</t>
        </is>
      </c>
      <c r="C29" s="8" t="inlineStr">
        <is>
          <t>on the same page</t>
        </is>
      </c>
      <c r="D29" s="12" t="inlineStr">
        <is>
          <t>같은 생각을 가진, 의견이 일치하는</t>
        </is>
      </c>
      <c r="E29" s="12" t="inlineStr">
        <is>
          <t>I want to make sure we're on the same page.</t>
        </is>
      </c>
      <c r="F29" s="12" t="inlineStr">
        <is>
          <t>우리가 같은 뜻을 공유하고 있는지 확인하고 싶어요.</t>
        </is>
      </c>
      <c r="G29" s="9">
        <f>HYPERLINK("https://www.youtube.com/watch?v=gW8zB52Q3Uo", "영상 보기 ▶")</f>
        <v/>
      </c>
    </row>
    <row r="30" ht="26" customHeight="1">
      <c r="A30" s="2" t="n">
        <v>229</v>
      </c>
      <c r="B30" s="3" t="inlineStr">
        <is>
          <t>연락 소통</t>
        </is>
      </c>
      <c r="C30" s="4" t="inlineStr">
        <is>
          <t>touch base</t>
        </is>
      </c>
      <c r="D30" s="11" t="inlineStr">
        <is>
          <t>(상황 파악차) 짧게 연락하다</t>
        </is>
      </c>
      <c r="E30" s="11" t="inlineStr">
        <is>
          <t>Let's touch base next week.</t>
        </is>
      </c>
      <c r="F30" s="11" t="inlineStr">
        <is>
          <t>다음 주에 간단히 상황 공유 연락하자.</t>
        </is>
      </c>
      <c r="G30" s="5">
        <f>HYPERLINK("https://www.youtube.com/watch?v=gW8zB52Q3Uo", "영상 보기 ▶")</f>
        <v/>
      </c>
    </row>
    <row r="31" ht="26" customHeight="1">
      <c r="A31" s="6" t="n">
        <v>230</v>
      </c>
      <c r="B31" s="7" t="inlineStr">
        <is>
          <t>연락 소통</t>
        </is>
      </c>
      <c r="C31" s="8" t="inlineStr">
        <is>
          <t>reach out</t>
        </is>
      </c>
      <c r="D31" s="12" t="inlineStr">
        <is>
          <t>연락하다, 손을 뻗다</t>
        </is>
      </c>
      <c r="E31" s="12" t="inlineStr">
        <is>
          <t>Thanks for reaching out to us.</t>
        </is>
      </c>
      <c r="F31" s="12" t="inlineStr">
        <is>
          <t>저희에게 먼저 연락 주셔서 감사합니다.</t>
        </is>
      </c>
      <c r="G31" s="9">
        <f>HYPERLINK("https://www.youtube.com/watch?v=gW8zB52Q3Uo", "영상 보기 ▶")</f>
        <v/>
      </c>
    </row>
    <row r="32" ht="26" customHeight="1">
      <c r="A32" s="2" t="n">
        <v>231</v>
      </c>
      <c r="B32" s="3" t="inlineStr">
        <is>
          <t>후속 논의</t>
        </is>
      </c>
      <c r="C32" s="4" t="inlineStr">
        <is>
          <t>circle back</t>
        </is>
      </c>
      <c r="D32" s="11" t="inlineStr">
        <is>
          <t>나중에 다시 논의하다, 다시 돌아오다</t>
        </is>
      </c>
      <c r="E32" s="11" t="inlineStr">
        <is>
          <t>Let's circle back to this issue later.</t>
        </is>
      </c>
      <c r="F32" s="11" t="inlineStr">
        <is>
          <t>이 사안은 나중에 다시 돌아와서 얘기합시다.</t>
        </is>
      </c>
      <c r="G32" s="5">
        <f>HYPERLINK("https://www.youtube.com/watch?v=gW8zB52Q3Uo", "영상 보기 ▶")</f>
        <v/>
      </c>
    </row>
    <row r="33" ht="26" customHeight="1">
      <c r="A33" s="6" t="n">
        <v>232</v>
      </c>
      <c r="B33" s="7" t="inlineStr">
        <is>
          <t>사전 알림</t>
        </is>
      </c>
      <c r="C33" s="8" t="inlineStr">
        <is>
          <t>heads up</t>
        </is>
      </c>
      <c r="D33" s="12" t="inlineStr">
        <is>
          <t>사전 경고, 귀띔</t>
        </is>
      </c>
      <c r="E33" s="12" t="inlineStr">
        <is>
          <t>Just a quick heads-up about the meeting.</t>
        </is>
      </c>
      <c r="F33" s="12" t="inlineStr">
        <is>
          <t>회의 관련해서 미리 귀띔해 드립니다.</t>
        </is>
      </c>
      <c r="G33" s="9">
        <f>HYPERLINK("https://www.youtube.com/watch?v=gW8zB52Q3Uo", "영상 보기 ▶")</f>
        <v/>
      </c>
    </row>
    <row r="34" ht="26" customHeight="1">
      <c r="A34" s="2" t="n">
        <v>233</v>
      </c>
      <c r="B34" s="3" t="inlineStr">
        <is>
          <t>즉각 생각</t>
        </is>
      </c>
      <c r="C34" s="4" t="inlineStr">
        <is>
          <t>off the top of my head</t>
        </is>
      </c>
      <c r="D34" s="11" t="inlineStr">
        <is>
          <t>지금 당장 떠오르는 생각으로는</t>
        </is>
      </c>
      <c r="E34" s="11" t="inlineStr">
        <is>
          <t>Off the top of my head, I'd say around ten.</t>
        </is>
      </c>
      <c r="F34" s="11" t="inlineStr">
        <is>
          <t>당장 생각나는 바로는 한 10개 정도 될 것 같아.</t>
        </is>
      </c>
      <c r="G34" s="5">
        <f>HYPERLINK("https://www.youtube.com/watch?v=gW8zB52Q3Uo", "영상 보기 ▶")</f>
        <v/>
      </c>
    </row>
    <row r="35" ht="26" customHeight="1">
      <c r="A35" s="6" t="n">
        <v>234</v>
      </c>
      <c r="B35" s="7" t="inlineStr">
        <is>
          <t>미정 상태</t>
        </is>
      </c>
      <c r="C35" s="8" t="inlineStr">
        <is>
          <t>up in the air</t>
        </is>
      </c>
      <c r="D35" s="12" t="inlineStr">
        <is>
          <t>아직 미정인, 확정되지 않은</t>
        </is>
      </c>
      <c r="E35" s="12" t="inlineStr">
        <is>
          <t>Our vacation plans are still up in the air.</t>
        </is>
      </c>
      <c r="F35" s="12" t="inlineStr">
        <is>
          <t>우리 휴가 계획은 아직 확정된 게 없어.</t>
        </is>
      </c>
      <c r="G35" s="9">
        <f>HYPERLINK("https://www.youtube.com/watch?v=gW8zB52Q3Uo", "영상 보기 ▶")</f>
        <v/>
      </c>
    </row>
    <row r="36" ht="26" customHeight="1">
      <c r="A36" s="2" t="n">
        <v>235</v>
      </c>
      <c r="B36" s="3" t="inlineStr">
        <is>
          <t>진행 상태</t>
        </is>
      </c>
      <c r="C36" s="4" t="inlineStr">
        <is>
          <t>on track</t>
        </is>
      </c>
      <c r="D36" s="11" t="inlineStr">
        <is>
          <t>차질 없이 순조롭게 진행 중인</t>
        </is>
      </c>
      <c r="E36" s="11" t="inlineStr">
        <is>
          <t>The project is completely on track.</t>
        </is>
      </c>
      <c r="F36" s="11" t="inlineStr">
        <is>
          <t>프로젝트는 계획대로 차질 없이 진행 중입니다.</t>
        </is>
      </c>
      <c r="G36" s="5">
        <f>HYPERLINK("https://www.youtube.com/watch?v=gW8zB52Q3Uo", "영상 보기 ▶")</f>
        <v/>
      </c>
    </row>
    <row r="37" ht="26" customHeight="1">
      <c r="A37" s="6" t="n">
        <v>236</v>
      </c>
      <c r="B37" s="7" t="inlineStr">
        <is>
          <t>진행 상태</t>
        </is>
      </c>
      <c r="C37" s="8" t="inlineStr">
        <is>
          <t>back on track</t>
        </is>
      </c>
      <c r="D37" s="12" t="inlineStr">
        <is>
          <t>정상 궤도로 되돌아온</t>
        </is>
      </c>
      <c r="E37" s="12" t="inlineStr">
        <is>
          <t>We're finally back on track.</t>
        </is>
      </c>
      <c r="F37" s="12" t="inlineStr">
        <is>
          <t>우린 드디어 다시 정상 궤도를 찾았어.</t>
        </is>
      </c>
      <c r="G37" s="9">
        <f>HYPERLINK("https://www.youtube.com/watch?v=gW8zB52Q3Uo", "영상 보기 ▶")</f>
        <v/>
      </c>
    </row>
    <row r="38" ht="26" customHeight="1">
      <c r="A38" s="2" t="n">
        <v>237</v>
      </c>
      <c r="B38" s="3" t="inlineStr">
        <is>
          <t>일정 진척</t>
        </is>
      </c>
      <c r="C38" s="4" t="inlineStr">
        <is>
          <t>ahead of schedule</t>
        </is>
      </c>
      <c r="D38" s="11" t="inlineStr">
        <is>
          <t>일정보다 앞서서</t>
        </is>
      </c>
      <c r="E38" s="11" t="inlineStr">
        <is>
          <t>We finished the work ahead of schedule.</t>
        </is>
      </c>
      <c r="F38" s="11" t="inlineStr">
        <is>
          <t>우리는 예정된 일정보다 앞서 작업을 끝냈습니다.</t>
        </is>
      </c>
      <c r="G38" s="5">
        <f>HYPERLINK("https://www.youtube.com/watch?v=gW8zB52Q3Uo", "영상 보기 ▶")</f>
        <v/>
      </c>
    </row>
    <row r="39" ht="26" customHeight="1">
      <c r="A39" s="6" t="n">
        <v>238</v>
      </c>
      <c r="B39" s="7" t="inlineStr">
        <is>
          <t>일정 지연</t>
        </is>
      </c>
      <c r="C39" s="8" t="inlineStr">
        <is>
          <t>behind schedule</t>
        </is>
      </c>
      <c r="D39" s="12" t="inlineStr">
        <is>
          <t>일정보다 늦어져서</t>
        </is>
      </c>
      <c r="E39" s="12" t="inlineStr">
        <is>
          <t>We are currently running behind schedule.</t>
        </is>
      </c>
      <c r="F39" s="12" t="inlineStr">
        <is>
          <t>저희가 지금 일정보다 다소 지연되고 있습니다.</t>
        </is>
      </c>
      <c r="G39" s="9">
        <f>HYPERLINK("https://www.youtube.com/watch?v=gW8zB52Q3Uo", "영상 보기 ▶")</f>
        <v/>
      </c>
    </row>
    <row r="40" ht="26" customHeight="1">
      <c r="A40" s="2" t="n">
        <v>239</v>
      </c>
      <c r="B40" s="3" t="inlineStr">
        <is>
          <t>마감 기한</t>
        </is>
      </c>
      <c r="C40" s="4" t="inlineStr">
        <is>
          <t>tight deadline</t>
        </is>
      </c>
      <c r="D40" s="11" t="inlineStr">
        <is>
          <t>촉박한 마감일</t>
        </is>
      </c>
      <c r="E40" s="11" t="inlineStr">
        <is>
          <t>We are working under a very tight deadline.</t>
        </is>
      </c>
      <c r="F40" s="11" t="inlineStr">
        <is>
          <t>우리는 매우 촉박한 마감에 쫓겨 일하고 있어요.</t>
        </is>
      </c>
      <c r="G40" s="5">
        <f>HYPERLINK("https://www.youtube.com/watch?v=gW8zB52Q3Uo", "영상 보기 ▶")</f>
        <v/>
      </c>
    </row>
    <row r="41" ht="26" customHeight="1">
      <c r="A41" s="6" t="n">
        <v>240</v>
      </c>
      <c r="B41" s="7" t="inlineStr">
        <is>
          <t>마감 기한</t>
        </is>
      </c>
      <c r="C41" s="8" t="inlineStr">
        <is>
          <t>meet the deadline</t>
        </is>
      </c>
      <c r="D41" s="12" t="inlineStr">
        <is>
          <t>마감 기한을 맞추다</t>
        </is>
      </c>
      <c r="E41" s="12" t="inlineStr">
        <is>
          <t>Will we be able to meet the deadline?</t>
        </is>
      </c>
      <c r="F41" s="12" t="inlineStr">
        <is>
          <t>마감일을 맞출 수 있을까요?</t>
        </is>
      </c>
      <c r="G41" s="9">
        <f>HYPERLINK("https://www.youtube.com/watch?v=gW8zB52Q3Uo", "영상 보기 ▶")</f>
        <v/>
      </c>
    </row>
    <row r="42" ht="26" customHeight="1">
      <c r="A42" s="2" t="n">
        <v>241</v>
      </c>
      <c r="B42" s="3" t="inlineStr">
        <is>
          <t>마감 기한</t>
        </is>
      </c>
      <c r="C42" s="4" t="inlineStr">
        <is>
          <t>miss the deadline</t>
        </is>
      </c>
      <c r="D42" s="11" t="inlineStr">
        <is>
          <t>마감 기한을 놓치다</t>
        </is>
      </c>
      <c r="E42" s="11" t="inlineStr">
        <is>
          <t>We cannot afford to miss the deadline.</t>
        </is>
      </c>
      <c r="F42" s="11" t="inlineStr">
        <is>
          <t>마감을 놓쳐서는 절대 안 됩니다.</t>
        </is>
      </c>
      <c r="G42" s="5">
        <f>HYPERLINK("https://www.youtube.com/watch?v=gW8zB52Q3Uo", "영상 보기 ▶")</f>
        <v/>
      </c>
    </row>
    <row r="43" ht="26" customHeight="1">
      <c r="A43" s="6" t="n">
        <v>242</v>
      </c>
      <c r="B43" s="7" t="inlineStr">
        <is>
          <t>일정 변경</t>
        </is>
      </c>
      <c r="C43" s="8" t="inlineStr">
        <is>
          <t>push back</t>
        </is>
      </c>
      <c r="D43" s="12" t="inlineStr">
        <is>
          <t>(일정을) 연기하다, 뒤로 미루다</t>
        </is>
      </c>
      <c r="E43" s="12" t="inlineStr">
        <is>
          <t>Can we push back the meeting by an hour?</t>
        </is>
      </c>
      <c r="F43" s="12" t="inlineStr">
        <is>
          <t>회의를 한 시간 뒤로 미룰 수 있을까요?</t>
        </is>
      </c>
      <c r="G43" s="9">
        <f>HYPERLINK("https://www.youtube.com/watch?v=gW8zB52Q3Uo", "영상 보기 ▶")</f>
        <v/>
      </c>
    </row>
    <row r="44" ht="26" customHeight="1">
      <c r="A44" s="2" t="n">
        <v>243</v>
      </c>
      <c r="B44" s="3" t="inlineStr">
        <is>
          <t>일정 변경</t>
        </is>
      </c>
      <c r="C44" s="4" t="inlineStr">
        <is>
          <t>bring forward / move up</t>
        </is>
      </c>
      <c r="D44" s="11" t="inlineStr">
        <is>
          <t>(일정을) 앞당기다</t>
        </is>
      </c>
      <c r="E44" s="11" t="inlineStr">
        <is>
          <t>They moved up the release date.</t>
        </is>
      </c>
      <c r="F44" s="11" t="inlineStr">
        <is>
          <t>그들이 출시일을 앞당겼어.</t>
        </is>
      </c>
      <c r="G44" s="5">
        <f>HYPERLINK("https://www.youtube.com/watch?v=gW8zB52Q3Uo", "영상 보기 ▶")</f>
        <v/>
      </c>
    </row>
    <row r="45" ht="26" customHeight="1">
      <c r="A45" s="6" t="n">
        <v>244</v>
      </c>
      <c r="B45" s="7" t="inlineStr">
        <is>
          <t>일정 변경</t>
        </is>
      </c>
      <c r="C45" s="8" t="inlineStr">
        <is>
          <t>call off</t>
        </is>
      </c>
      <c r="D45" s="12" t="inlineStr">
        <is>
          <t>취소하다 (= cancel)</t>
        </is>
      </c>
      <c r="E45" s="12" t="inlineStr">
        <is>
          <t>The outdoor event was called off due to rain.</t>
        </is>
      </c>
      <c r="F45" s="12" t="inlineStr">
        <is>
          <t>비 때문에 야외 행사가 취소되었어.</t>
        </is>
      </c>
      <c r="G45" s="9">
        <f>HYPERLINK("https://www.youtube.com/watch?v=gW8zB52Q3Uo", "영상 보기 ▶")</f>
        <v/>
      </c>
    </row>
    <row r="46" ht="26" customHeight="1">
      <c r="A46" s="2" t="n">
        <v>245</v>
      </c>
      <c r="B46" s="3" t="inlineStr">
        <is>
          <t>일정 변경</t>
        </is>
      </c>
      <c r="C46" s="4" t="inlineStr">
        <is>
          <t>put off</t>
        </is>
      </c>
      <c r="D46" s="11" t="inlineStr">
        <is>
          <t>미루다, 연기하다 (= postpone)</t>
        </is>
      </c>
      <c r="E46" s="11" t="inlineStr">
        <is>
          <t>Don't put off what you can do today.</t>
        </is>
      </c>
      <c r="F46" s="11" t="inlineStr">
        <is>
          <t>오늘 할 수 있는 일을 뒤로 미루지 마라.</t>
        </is>
      </c>
      <c r="G46" s="5">
        <f>HYPERLINK("https://www.youtube.com/watch?v=gW8zB52Q3Uo", "영상 보기 ▶")</f>
        <v/>
      </c>
    </row>
    <row r="47" ht="26" customHeight="1">
      <c r="A47" s="6" t="n">
        <v>246</v>
      </c>
      <c r="B47" s="7" t="inlineStr">
        <is>
          <t>상황 요구</t>
        </is>
      </c>
      <c r="C47" s="8" t="inlineStr">
        <is>
          <t>call for</t>
        </is>
      </c>
      <c r="D47" s="12" t="inlineStr">
        <is>
          <t>요구하다, 필요로 하다, 걸맞다</t>
        </is>
      </c>
      <c r="E47" s="12" t="inlineStr">
        <is>
          <t>This special occasion calls for a celebration!</t>
        </is>
      </c>
      <c r="F47" s="12" t="inlineStr">
        <is>
          <t>이런 특별한 날에는 축하가 빠질 수 없지!</t>
        </is>
      </c>
      <c r="G47" s="9">
        <f>HYPERLINK("https://www.youtube.com/watch?v=gW8zB52Q3Uo", "영상 보기 ▶")</f>
        <v/>
      </c>
    </row>
    <row r="48" ht="26" customHeight="1">
      <c r="A48" s="2" t="n">
        <v>247</v>
      </c>
      <c r="B48" s="3" t="inlineStr">
        <is>
          <t>판정 단정</t>
        </is>
      </c>
      <c r="C48" s="4" t="inlineStr">
        <is>
          <t>call it</t>
        </is>
      </c>
      <c r="D48" s="11" t="inlineStr">
        <is>
          <t>승패/결과를 단정 짓다</t>
        </is>
      </c>
      <c r="E48" s="11" t="inlineStr">
        <is>
          <t>It's too close to call.</t>
        </is>
      </c>
      <c r="F48" s="11" t="inlineStr">
        <is>
          <t>너무 박빙이라 결과를 단정 짓기 어렵네.</t>
        </is>
      </c>
      <c r="G48" s="5">
        <f>HYPERLINK("https://www.youtube.com/watch?v=gW8zB52Q3Uo", "영상 보기 ▶")</f>
        <v/>
      </c>
    </row>
    <row r="49" ht="26" customHeight="1">
      <c r="A49" s="6" t="n">
        <v>248</v>
      </c>
      <c r="B49" s="7" t="inlineStr">
        <is>
          <t>우유부단</t>
        </is>
      </c>
      <c r="C49" s="8" t="inlineStr">
        <is>
          <t>on the fence</t>
        </is>
      </c>
      <c r="D49" s="12" t="inlineStr">
        <is>
          <t>결정을 못 내리고 망설이는</t>
        </is>
      </c>
      <c r="E49" s="12" t="inlineStr">
        <is>
          <t>I'm still on the fence about the job offer.</t>
        </is>
      </c>
      <c r="F49" s="12" t="inlineStr">
        <is>
          <t>이직 제안을 두고 아직 고민 중이야.</t>
        </is>
      </c>
      <c r="G49" s="9">
        <f>HYPERLINK("https://www.youtube.com/watch?v=gW8zB52Q3Uo", "영상 보기 ▶")</f>
        <v/>
      </c>
    </row>
    <row r="50" ht="26" customHeight="1">
      <c r="A50" s="2" t="n">
        <v>249</v>
      </c>
      <c r="B50" s="3" t="inlineStr">
        <is>
          <t>선택 배제</t>
        </is>
      </c>
      <c r="C50" s="4" t="inlineStr">
        <is>
          <t>rule out</t>
        </is>
      </c>
      <c r="D50" s="11" t="inlineStr">
        <is>
          <t>배제하다, 제외하다</t>
        </is>
      </c>
      <c r="E50" s="11" t="inlineStr">
        <is>
          <t>We shouldn't rule out that possibility.</t>
        </is>
      </c>
      <c r="F50" s="11" t="inlineStr">
        <is>
          <t>그 가능성을 완전히 배제해서는 안 됩니다.</t>
        </is>
      </c>
      <c r="G50" s="5">
        <f>HYPERLINK("https://www.youtube.com/watch?v=gW8zB52Q3Uo", "영상 보기 ▶")</f>
        <v/>
      </c>
    </row>
    <row r="51" ht="26" customHeight="1">
      <c r="A51" s="6" t="n">
        <v>250</v>
      </c>
      <c r="B51" s="7" t="inlineStr">
        <is>
          <t>자명한 결정</t>
        </is>
      </c>
      <c r="C51" s="8" t="inlineStr">
        <is>
          <t>no-brainer</t>
        </is>
      </c>
      <c r="D51" s="12" t="inlineStr">
        <is>
          <t>고민할 필요도 없이 명백한 결정/선택</t>
        </is>
      </c>
      <c r="E51" s="12" t="inlineStr">
        <is>
          <t>Accepting the offer was a complete no-brainer.</t>
        </is>
      </c>
      <c r="F51" s="12" t="inlineStr">
        <is>
          <t>그 제안을 수락하는 건 고민할 필요도 없는 당연한 일이었어.</t>
        </is>
      </c>
      <c r="G51" s="9">
        <f>HYPERLINK("https://www.youtube.com/watch?v=gW8zB52Q3Uo", "영상 보기 ▶")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3" customWidth="1" min="3" max="3"/>
    <col width="47.7" customWidth="1" min="4" max="4"/>
    <col width="61" customWidth="1" min="5" max="5"/>
    <col width="47.7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251</v>
      </c>
      <c r="B2" s="3" t="inlineStr">
        <is>
          <t>퇴근/업무</t>
        </is>
      </c>
      <c r="C2" s="4" t="inlineStr">
        <is>
          <t>get off</t>
        </is>
      </c>
      <c r="D2" s="11" t="inlineStr">
        <is>
          <t>퇴근하다 (get off work)</t>
        </is>
      </c>
      <c r="E2" s="11" t="inlineStr">
        <is>
          <t>What time do you get off work?</t>
        </is>
      </c>
      <c r="F2" s="11" t="inlineStr">
        <is>
          <t>너 몇 시에 퇴근해?</t>
        </is>
      </c>
      <c r="G2" s="5">
        <f>HYPERLINK("https://www.youtube.com/watch?v=uTCnwpjR9X4", "영상 보기 ▶")</f>
        <v/>
      </c>
    </row>
    <row r="3" ht="26" customHeight="1">
      <c r="A3" s="6" t="n">
        <v>252</v>
      </c>
      <c r="B3" s="7" t="inlineStr">
        <is>
          <t>노력/수고</t>
        </is>
      </c>
      <c r="C3" s="8" t="inlineStr">
        <is>
          <t>hard work</t>
        </is>
      </c>
      <c r="D3" s="12" t="inlineStr">
        <is>
          <t>열심히 쏟은 노력, 공 (단순 육체노동이 아님)</t>
        </is>
      </c>
      <c r="E3" s="12" t="inlineStr">
        <is>
          <t>Your hard work really paid off.</t>
        </is>
      </c>
      <c r="F3" s="12" t="inlineStr">
        <is>
          <t>네가 쏟은 노력이 정말 값진 결실을 맺었어.</t>
        </is>
      </c>
      <c r="G3" s="9">
        <f>HYPERLINK("https://www.youtube.com/watch?v=uTCnwpjR9X4", "영상 보기 ▶")</f>
        <v/>
      </c>
    </row>
    <row r="4" ht="26" customHeight="1">
      <c r="A4" s="2" t="n">
        <v>253</v>
      </c>
      <c r="B4" s="3" t="inlineStr">
        <is>
          <t>업무 착수</t>
        </is>
      </c>
      <c r="C4" s="4" t="inlineStr">
        <is>
          <t>work on</t>
        </is>
      </c>
      <c r="D4" s="11" t="inlineStr">
        <is>
          <t>~에 공을 들이다, 열심히 작업하다/착수하다</t>
        </is>
      </c>
      <c r="E4" s="11" t="inlineStr">
        <is>
          <t>I'm currently working on a new proposal.</t>
        </is>
      </c>
      <c r="F4" s="11" t="inlineStr">
        <is>
          <t>지금 새 제안서 작업에 공을 들이고 있어요.</t>
        </is>
      </c>
      <c r="G4" s="5">
        <f>HYPERLINK("https://www.youtube.com/watch?v=uTCnwpjR9X4", "영상 보기 ▶")</f>
        <v/>
      </c>
    </row>
    <row r="5" ht="26" customHeight="1">
      <c r="A5" s="6" t="n">
        <v>254</v>
      </c>
      <c r="B5" s="7" t="inlineStr">
        <is>
          <t>일정 조율</t>
        </is>
      </c>
      <c r="C5" s="8" t="inlineStr">
        <is>
          <t>work around (sb's) schedule</t>
        </is>
      </c>
      <c r="D5" s="12" t="inlineStr">
        <is>
          <t>어떻게든 상대방 일정에 맞추다</t>
        </is>
      </c>
      <c r="E5" s="12" t="inlineStr">
        <is>
          <t>Don't worry, I'll work around your schedule.</t>
        </is>
      </c>
      <c r="F5" s="12" t="inlineStr">
        <is>
          <t>걱정 마세요, 어떻게든 당신 일정에 맞출게요.</t>
        </is>
      </c>
      <c r="G5" s="9">
        <f>HYPERLINK("https://www.youtube.com/watch?v=uTCnwpjR9X4", "영상 보기 ▶")</f>
        <v/>
      </c>
    </row>
    <row r="6" ht="26" customHeight="1">
      <c r="A6" s="2" t="n">
        <v>255</v>
      </c>
      <c r="B6" s="3" t="inlineStr">
        <is>
          <t>문제 해결</t>
        </is>
      </c>
      <c r="C6" s="4" t="inlineStr">
        <is>
          <t>work through</t>
        </is>
      </c>
      <c r="D6" s="11" t="inlineStr">
        <is>
          <t>(문제나 감정적인 갈등을) 차근차근 해결해 나가다</t>
        </is>
      </c>
      <c r="E6" s="11" t="inlineStr">
        <is>
          <t>We can work through this problem together.</t>
        </is>
      </c>
      <c r="F6" s="11" t="inlineStr">
        <is>
          <t>우리 함께 이 문제를 차근차근 풀어나갈 수 있어.</t>
        </is>
      </c>
      <c r="G6" s="5">
        <f>HYPERLINK("https://www.youtube.com/watch?v=uTCnwpjR9X4", "영상 보기 ▶")</f>
        <v/>
      </c>
    </row>
    <row r="7" ht="26" customHeight="1">
      <c r="A7" s="6" t="n">
        <v>256</v>
      </c>
      <c r="B7" s="7" t="inlineStr">
        <is>
          <t>기분 전환</t>
        </is>
      </c>
      <c r="C7" s="8" t="inlineStr">
        <is>
          <t>pick-me-up</t>
        </is>
      </c>
      <c r="D7" s="12" t="inlineStr">
        <is>
          <t>기운을 차리게 해주는 간단한 간식이나 음료</t>
        </is>
      </c>
      <c r="E7" s="12" t="inlineStr">
        <is>
          <t>I need an afternoon pick-me-up like an iced coffee.</t>
        </is>
      </c>
      <c r="F7" s="12" t="inlineStr">
        <is>
          <t>오후에 기운 좀 차리게 아이스 커피 같은 게 필요해.</t>
        </is>
      </c>
      <c r="G7" s="9">
        <f>HYPERLINK("https://www.youtube.com/watch?v=uTCnwpjR9X4", "영상 보기 ▶")</f>
        <v/>
      </c>
    </row>
    <row r="8" ht="26" customHeight="1">
      <c r="A8" s="2" t="n">
        <v>257</v>
      </c>
      <c r="B8" s="3" t="inlineStr">
        <is>
          <t>선택/의견</t>
        </is>
      </c>
      <c r="C8" s="4" t="inlineStr">
        <is>
          <t>It doesn't matter to me</t>
        </is>
      </c>
      <c r="D8" s="11" t="inlineStr">
        <is>
          <t>난 아무거나 상관없어 (다 괜찮아)</t>
        </is>
      </c>
      <c r="E8" s="11" t="inlineStr">
        <is>
          <t>It doesn't matter to me, you pick the restaurant.</t>
        </is>
      </c>
      <c r="F8" s="11" t="inlineStr">
        <is>
          <t>난 아무래도 상관없어, 네가 식당 골라.</t>
        </is>
      </c>
      <c r="G8" s="5">
        <f>HYPERLINK("https://www.youtube.com/watch?v=uTCnwpjR9X4", "영상 보기 ▶")</f>
        <v/>
      </c>
    </row>
    <row r="9" ht="26" customHeight="1">
      <c r="A9" s="6" t="n">
        <v>258</v>
      </c>
      <c r="B9" s="7" t="inlineStr">
        <is>
          <t>선택/의견</t>
        </is>
      </c>
      <c r="C9" s="8" t="inlineStr">
        <is>
          <t>I'm fine with whatever</t>
        </is>
      </c>
      <c r="D9" s="12" t="inlineStr">
        <is>
          <t>난 뭐든 다 좋아</t>
        </is>
      </c>
      <c r="E9" s="12" t="inlineStr">
        <is>
          <t>I'm fine with whatever you decide.</t>
        </is>
      </c>
      <c r="F9" s="12" t="inlineStr">
        <is>
          <t>네가 결정하는 거면 난 뭐든 다 좋아.</t>
        </is>
      </c>
      <c r="G9" s="9">
        <f>HYPERLINK("https://www.youtube.com/watch?v=uTCnwpjR9X4", "영상 보기 ▶")</f>
        <v/>
      </c>
    </row>
    <row r="10" ht="26" customHeight="1">
      <c r="A10" s="2" t="n">
        <v>259</v>
      </c>
      <c r="B10" s="3" t="inlineStr">
        <is>
          <t>제안/권유</t>
        </is>
      </c>
      <c r="C10" s="4" t="inlineStr">
        <is>
          <t>Are you up for ~?</t>
        </is>
      </c>
      <c r="D10" s="11" t="inlineStr">
        <is>
          <t>~할 마음/의향 있어? (가벼운 제안)</t>
        </is>
      </c>
      <c r="E10" s="11" t="inlineStr">
        <is>
          <t>Are you up for a quick walk?</t>
        </is>
      </c>
      <c r="F10" s="11" t="inlineStr">
        <is>
          <t>가볍게 산책 좀 하러 갈래?</t>
        </is>
      </c>
      <c r="G10" s="5">
        <f>HYPERLINK("https://www.youtube.com/watch?v=uTCnwpjR9X4", "영상 보기 ▶")</f>
        <v/>
      </c>
    </row>
    <row r="11" ht="26" customHeight="1">
      <c r="A11" s="6" t="n">
        <v>260</v>
      </c>
      <c r="B11" s="7" t="inlineStr">
        <is>
          <t>상태 지속</t>
        </is>
      </c>
      <c r="C11" s="8" t="inlineStr">
        <is>
          <t>still</t>
        </is>
      </c>
      <c r="D11" s="12" t="inlineStr">
        <is>
          <t>여전히, 아직도 (기대나 의심 뉘앙스)</t>
        </is>
      </c>
      <c r="E11" s="12" t="inlineStr">
        <is>
          <t>Are you still working on that?</t>
        </is>
      </c>
      <c r="F11" s="12" t="inlineStr">
        <is>
          <t>너 아직도 그거 작업하고 있어?</t>
        </is>
      </c>
      <c r="G11" s="9">
        <f>HYPERLINK("https://www.youtube.com/watch?v=uTCnwpjR9X4", "영상 보기 ▶")</f>
        <v/>
      </c>
    </row>
    <row r="12" ht="26" customHeight="1">
      <c r="A12" s="2" t="n">
        <v>261</v>
      </c>
      <c r="B12" s="3" t="inlineStr">
        <is>
          <t>강한 호의</t>
        </is>
      </c>
      <c r="C12" s="4" t="inlineStr">
        <is>
          <t>I won't take no for an answer</t>
        </is>
      </c>
      <c r="D12" s="11" t="inlineStr">
        <is>
          <t>거절은 사양할게요 (반드시 대접하고 싶을 때)</t>
        </is>
      </c>
      <c r="E12" s="11" t="inlineStr">
        <is>
          <t>Dinner is on me, and I won't take no for an answer.</t>
        </is>
      </c>
      <c r="F12" s="11" t="inlineStr">
        <is>
          <t>오늘 저녁은 내가 쏠 거야, 거절은 절대 사양할게.</t>
        </is>
      </c>
      <c r="G12" s="5">
        <f>HYPERLINK("https://www.youtube.com/watch?v=uTCnwpjR9X4", "영상 보기 ▶")</f>
        <v/>
      </c>
    </row>
    <row r="13" ht="26" customHeight="1">
      <c r="A13" s="6" t="n">
        <v>262</v>
      </c>
      <c r="B13" s="7" t="inlineStr">
        <is>
          <t>필요/희망</t>
        </is>
      </c>
      <c r="C13" s="8" t="inlineStr">
        <is>
          <t>I could use ~</t>
        </is>
      </c>
      <c r="D13" s="12" t="inlineStr">
        <is>
          <t>~하면 딱 좋겠어, ~가 절실히 필요해</t>
        </is>
      </c>
      <c r="E13" s="12" t="inlineStr">
        <is>
          <t>I could use a little break right now.</t>
        </is>
      </c>
      <c r="F13" s="12" t="inlineStr">
        <is>
          <t>나 지금 잠깐 휴식을 취하면 딱 좋겠어.</t>
        </is>
      </c>
      <c r="G13" s="9">
        <f>HYPERLINK("https://www.youtube.com/watch?v=uTCnwpjR9X4", "영상 보기 ▶")</f>
        <v/>
      </c>
    </row>
    <row r="14" ht="26" customHeight="1">
      <c r="A14" s="2" t="n">
        <v>263</v>
      </c>
      <c r="B14" s="3" t="inlineStr">
        <is>
          <t>음식 맛</t>
        </is>
      </c>
      <c r="C14" s="4" t="inlineStr">
        <is>
          <t>delicious</t>
        </is>
      </c>
      <c r="D14" s="11" t="inlineStr">
        <is>
          <t>(과장해서 극찬할 때) 정말 아주 맛있는</t>
        </is>
      </c>
      <c r="E14" s="11" t="inlineStr">
        <is>
          <t>This dessert is absolutely delicious!</t>
        </is>
      </c>
      <c r="F14" s="11" t="inlineStr">
        <is>
          <t>이 디저트 정말 환상적으로 맛있다!</t>
        </is>
      </c>
      <c r="G14" s="5">
        <f>HYPERLINK("https://www.youtube.com/watch?v=uTCnwpjR9X4", "영상 보기 ▶")</f>
        <v/>
      </c>
    </row>
    <row r="15" ht="26" customHeight="1">
      <c r="A15" s="6" t="n">
        <v>264</v>
      </c>
      <c r="B15" s="7" t="inlineStr">
        <is>
          <t>음식 맛</t>
        </is>
      </c>
      <c r="C15" s="8" t="inlineStr">
        <is>
          <t>tasty / amazing</t>
        </is>
      </c>
      <c r="D15" s="12" t="inlineStr">
        <is>
          <t>입에 착 달라붙게 맛있는</t>
        </is>
      </c>
      <c r="E15" s="12" t="inlineStr">
        <is>
          <t>The food here is always amazing.</t>
        </is>
      </c>
      <c r="F15" s="12" t="inlineStr">
        <is>
          <t>여기 음식은 항상 감탄이 나올 정도로 맛있어.</t>
        </is>
      </c>
      <c r="G15" s="9">
        <f>HYPERLINK("https://www.youtube.com/watch?v=uTCnwpjR9X4", "영상 보기 ▶")</f>
        <v/>
      </c>
    </row>
    <row r="16" ht="26" customHeight="1">
      <c r="A16" s="2" t="n">
        <v>265</v>
      </c>
      <c r="B16" s="3" t="inlineStr">
        <is>
          <t>음식 맛</t>
        </is>
      </c>
      <c r="C16" s="4" t="inlineStr">
        <is>
          <t>hit the spot</t>
        </is>
      </c>
      <c r="D16" s="11" t="inlineStr">
        <is>
          <t>(원하던 맛이라) 딱 좋다, 살 것 같다</t>
        </is>
      </c>
      <c r="E16" s="11" t="inlineStr">
        <is>
          <t>That hot soup really hit the spot.</t>
        </is>
      </c>
      <c r="F16" s="11" t="inlineStr">
        <is>
          <t>그 따뜻한 국물을 마시니 정말 살 것 같네.</t>
        </is>
      </c>
      <c r="G16" s="5">
        <f>HYPERLINK("https://www.youtube.com/watch?v=uTCnwpjR9X4", "영상 보기 ▶")</f>
        <v/>
      </c>
    </row>
    <row r="17" ht="26" customHeight="1">
      <c r="A17" s="6" t="n">
        <v>266</v>
      </c>
      <c r="B17" s="7" t="inlineStr">
        <is>
          <t>맛 불만</t>
        </is>
      </c>
      <c r="C17" s="8" t="inlineStr">
        <is>
          <t>bad / horrible</t>
        </is>
      </c>
      <c r="D17" s="12" t="inlineStr">
        <is>
          <t>맛이 형편없는, 입맛에 전혀 안 맞는</t>
        </is>
      </c>
      <c r="E17" s="12" t="inlineStr">
        <is>
          <t>The coffee here is pretty bad.</t>
        </is>
      </c>
      <c r="F17" s="12" t="inlineStr">
        <is>
          <t>여기 커피 맛은 꽤 형편없어.</t>
        </is>
      </c>
      <c r="G17" s="9">
        <f>HYPERLINK("https://www.youtube.com/watch?v=uTCnwpjR9X4", "영상 보기 ▶")</f>
        <v/>
      </c>
    </row>
    <row r="18" ht="26" customHeight="1">
      <c r="A18" s="2" t="n">
        <v>267</v>
      </c>
      <c r="B18" s="3" t="inlineStr">
        <is>
          <t>맛 불만</t>
        </is>
      </c>
      <c r="C18" s="4" t="inlineStr">
        <is>
          <t>disgusting / gross</t>
        </is>
      </c>
      <c r="D18" s="11" t="inlineStr">
        <is>
          <t>(삼키기 힘들 정도로) 역겨운, 구역질 나는</t>
        </is>
      </c>
      <c r="E18" s="11" t="inlineStr">
        <is>
          <t>The cough syrup tasted disgusting.</t>
        </is>
      </c>
      <c r="F18" s="11" t="inlineStr">
        <is>
          <t>그 감기약 맛이 너무 역겨웠어.</t>
        </is>
      </c>
      <c r="G18" s="5">
        <f>HYPERLINK("https://www.youtube.com/watch?v=uTCnwpjR9X4", "영상 보기 ▶")</f>
        <v/>
      </c>
    </row>
    <row r="19" ht="26" customHeight="1">
      <c r="A19" s="6" t="n">
        <v>268</v>
      </c>
      <c r="B19" s="7" t="inlineStr">
        <is>
          <t>정중한 질문</t>
        </is>
      </c>
      <c r="C19" s="8" t="inlineStr">
        <is>
          <t>Is there any way ~?</t>
        </is>
      </c>
      <c r="D19" s="12" t="inlineStr">
        <is>
          <t>혹시 ~할 방법이 있을까요? (조심스런 가능성 타진)</t>
        </is>
      </c>
      <c r="E19" s="12" t="inlineStr">
        <is>
          <t>Is there any way we could speed up the delivery?</t>
        </is>
      </c>
      <c r="F19" s="12" t="inlineStr">
        <is>
          <t>혹시 배송을 좀 앞당길 수 있는 방법이 있을까요?</t>
        </is>
      </c>
      <c r="G19" s="9">
        <f>HYPERLINK("https://www.youtube.com/watch?v=uTCnwpjR9X4", "영상 보기 ▶")</f>
        <v/>
      </c>
    </row>
    <row r="20" ht="26" customHeight="1">
      <c r="A20" s="2" t="n">
        <v>269</v>
      </c>
      <c r="B20" s="3" t="inlineStr">
        <is>
          <t>상태 눈치</t>
        </is>
      </c>
      <c r="C20" s="4" t="inlineStr">
        <is>
          <t>You seem a bit off</t>
        </is>
      </c>
      <c r="D20" s="11" t="inlineStr">
        <is>
          <t>오늘 왠지 기운이 없어 보여 / 평소와 달라 보여</t>
        </is>
      </c>
      <c r="E20" s="11" t="inlineStr">
        <is>
          <t>You seem a bit off today. Is everything okay?</t>
        </is>
      </c>
      <c r="F20" s="11" t="inlineStr">
        <is>
          <t>너 오늘 왠지 기운이 없어 보여. 별일 없지?</t>
        </is>
      </c>
      <c r="G20" s="5">
        <f>HYPERLINK("https://www.youtube.com/watch?v=uTCnwpjR9X4", "영상 보기 ▶")</f>
        <v/>
      </c>
    </row>
    <row r="21" ht="26" customHeight="1">
      <c r="A21" s="6" t="n">
        <v>270</v>
      </c>
      <c r="B21" s="7" t="inlineStr">
        <is>
          <t>진심 축하</t>
        </is>
      </c>
      <c r="C21" s="8" t="inlineStr">
        <is>
          <t>No one deserves it more</t>
        </is>
      </c>
      <c r="D21" s="12" t="inlineStr">
        <is>
          <t>너보다 자격 있는 사람은 없어 (노력을 인정하는 축하)</t>
        </is>
      </c>
      <c r="E21" s="12" t="inlineStr">
        <is>
          <t>Congratulations on the promotion! No one deserves it more.</t>
        </is>
      </c>
      <c r="F21" s="12" t="inlineStr">
        <is>
          <t>승진 진심으로 축하해! 너만큼 자격 있는 사람은 없어.</t>
        </is>
      </c>
      <c r="G21" s="9">
        <f>HYPERLINK("https://www.youtube.com/watch?v=uTCnwpjR9X4", "영상 보기 ▶")</f>
        <v/>
      </c>
    </row>
    <row r="22" ht="26" customHeight="1">
      <c r="A22" s="2" t="n">
        <v>271</v>
      </c>
      <c r="B22" s="3" t="inlineStr">
        <is>
          <t>구어 뉘앙스</t>
        </is>
      </c>
      <c r="C22" s="4" t="inlineStr">
        <is>
          <t>nuts / crazy</t>
        </is>
      </c>
      <c r="D22" s="11" t="inlineStr">
        <is>
          <t>① 제정신이 아닌 ② 광적으로 좋아하는</t>
        </is>
      </c>
      <c r="E22" s="11" t="inlineStr">
        <is>
          <t>He is completely nuts about photography.</t>
        </is>
      </c>
      <c r="F22" s="11" t="inlineStr">
        <is>
          <t>그는 사진에 완전히 미쳐 있어.</t>
        </is>
      </c>
      <c r="G22" s="5">
        <f>HYPERLINK("https://www.youtube.com/watch?v=uTCnwpjR9X4", "영상 보기 ▶")</f>
        <v/>
      </c>
    </row>
    <row r="23" ht="26" customHeight="1">
      <c r="A23" s="6" t="n">
        <v>272</v>
      </c>
      <c r="B23" s="7" t="inlineStr">
        <is>
          <t>구어 뉘앙스</t>
        </is>
      </c>
      <c r="C23" s="8" t="inlineStr">
        <is>
          <t>go nuts</t>
        </is>
      </c>
      <c r="D23" s="12" t="inlineStr">
        <is>
          <t>열광하다 / 멘붕이 오다</t>
        </is>
      </c>
      <c r="E23" s="12" t="inlineStr">
        <is>
          <t>The crowd went nuts when he walked out.</t>
        </is>
      </c>
      <c r="F23" s="12" t="inlineStr">
        <is>
          <t>그가 걸어 나오자 관중들이 완전히 열광했어.</t>
        </is>
      </c>
      <c r="G23" s="9">
        <f>HYPERLINK("https://www.youtube.com/watch?v=uTCnwpjR9X4", "영상 보기 ▶")</f>
        <v/>
      </c>
    </row>
    <row r="24" ht="26" customHeight="1">
      <c r="A24" s="2" t="n">
        <v>273</v>
      </c>
      <c r="B24" s="3" t="inlineStr">
        <is>
          <t>제안/안내</t>
        </is>
      </c>
      <c r="C24" s="4" t="inlineStr">
        <is>
          <t>If you're interested,</t>
        </is>
      </c>
      <c r="D24" s="11" t="inlineStr">
        <is>
          <t>혹시 관심 있으시면, 마음에 드시면</t>
        </is>
      </c>
      <c r="E24" s="11" t="inlineStr">
        <is>
          <t>If you're interested, I can send you the details.</t>
        </is>
      </c>
      <c r="F24" s="11" t="inlineStr">
        <is>
          <t>관심 있으시면 제가 세부 사항을 보내드릴게요.</t>
        </is>
      </c>
      <c r="G24" s="5">
        <f>HYPERLINK("https://www.youtube.com/watch?v=uTCnwpjR9X4", "영상 보기 ▶")</f>
        <v/>
      </c>
    </row>
    <row r="25" ht="26" customHeight="1">
      <c r="A25" s="6" t="n">
        <v>274</v>
      </c>
      <c r="B25" s="7" t="inlineStr">
        <is>
          <t>일정 여유</t>
        </is>
      </c>
      <c r="C25" s="8" t="inlineStr">
        <is>
          <t>I have some time to kill</t>
        </is>
      </c>
      <c r="D25" s="12" t="inlineStr">
        <is>
          <t>(약속 사이에) 시간 때울 여유가 좀 있어</t>
        </is>
      </c>
      <c r="E25" s="12" t="inlineStr">
        <is>
          <t>I have an hour to kill before my train leaves.</t>
        </is>
      </c>
      <c r="F25" s="12" t="inlineStr">
        <is>
          <t>기차 출발 전까지 한 시간 정도 시간이 비어 있어.</t>
        </is>
      </c>
      <c r="G25" s="9">
        <f>HYPERLINK("https://www.youtube.com/watch?v=uTCnwpjR9X4", "영상 보기 ▶")</f>
        <v/>
      </c>
    </row>
    <row r="26" ht="26" customHeight="1">
      <c r="A26" s="2" t="n">
        <v>275</v>
      </c>
      <c r="B26" s="3" t="inlineStr">
        <is>
          <t>장소 머무름</t>
        </is>
      </c>
      <c r="C26" s="4" t="inlineStr">
        <is>
          <t>hang out</t>
        </is>
      </c>
      <c r="D26" s="11" t="inlineStr">
        <is>
          <t>(특별한 목적 없이) 어울려 놀다, 시간을 보내다</t>
        </is>
      </c>
      <c r="E26" s="11" t="inlineStr">
        <is>
          <t>Do you want to hang out this weekend?</t>
        </is>
      </c>
      <c r="F26" s="11" t="inlineStr">
        <is>
          <t>이번 주말에 같이 놀래?</t>
        </is>
      </c>
      <c r="G26" s="5">
        <f>HYPERLINK("https://www.youtube.com/watch?v=uTCnwpjR9X4", "영상 보기 ▶")</f>
        <v/>
      </c>
    </row>
    <row r="27" ht="26" customHeight="1">
      <c r="A27" s="6" t="n">
        <v>276</v>
      </c>
      <c r="B27" s="7" t="inlineStr">
        <is>
          <t>연락 유지</t>
        </is>
      </c>
      <c r="C27" s="8" t="inlineStr">
        <is>
          <t>Keep in touch</t>
        </is>
      </c>
      <c r="D27" s="12" t="inlineStr">
        <is>
          <t>연락 계속하고 지내자</t>
        </is>
      </c>
      <c r="E27" s="12" t="inlineStr">
        <is>
          <t>It was great seeing you. Keep in touch!</t>
        </is>
      </c>
      <c r="F27" s="12" t="inlineStr">
        <is>
          <t>만나서 반가웠어. 계속 연락하자!</t>
        </is>
      </c>
      <c r="G27" s="9">
        <f>HYPERLINK("https://www.youtube.com/watch?v=uTCnwpjR9X4", "영상 보기 ▶")</f>
        <v/>
      </c>
    </row>
    <row r="28" ht="26" customHeight="1">
      <c r="A28" s="2" t="n">
        <v>277</v>
      </c>
      <c r="B28" s="3" t="inlineStr">
        <is>
          <t>오랜만 인사</t>
        </is>
      </c>
      <c r="C28" s="4" t="inlineStr">
        <is>
          <t>It's been a while</t>
        </is>
      </c>
      <c r="D28" s="11" t="inlineStr">
        <is>
          <t>진짜 오랜만이다</t>
        </is>
      </c>
      <c r="E28" s="11" t="inlineStr">
        <is>
          <t>It's been a while since we last spoke.</t>
        </is>
      </c>
      <c r="F28" s="11" t="inlineStr">
        <is>
          <t>우리 지난번에 이야기 나누고 진짜 오랜만이네.</t>
        </is>
      </c>
      <c r="G28" s="5">
        <f>HYPERLINK("https://www.youtube.com/watch?v=uTCnwpjR9X4", "영상 보기 ▶")</f>
        <v/>
      </c>
    </row>
    <row r="29" ht="26" customHeight="1">
      <c r="A29" s="6" t="n">
        <v>278</v>
      </c>
      <c r="B29" s="7" t="inlineStr">
        <is>
          <t>소식 전달</t>
        </is>
      </c>
      <c r="C29" s="8" t="inlineStr">
        <is>
          <t>Word on the street is ~</t>
        </is>
      </c>
      <c r="D29" s="12" t="inlineStr">
        <is>
          <t>소문에 의하면 ~라던데</t>
        </is>
      </c>
      <c r="E29" s="12" t="inlineStr">
        <is>
          <t>Word on the street is that they're hiring.</t>
        </is>
      </c>
      <c r="F29" s="12" t="inlineStr">
        <is>
          <t>소문에 의하면 그 회사에서 사람을 뽑는다더라.</t>
        </is>
      </c>
      <c r="G29" s="9">
        <f>HYPERLINK("https://www.youtube.com/watch?v=uTCnwpjR9X4", "영상 보기 ▶")</f>
        <v/>
      </c>
    </row>
    <row r="30" ht="26" customHeight="1">
      <c r="A30" s="2" t="n">
        <v>279</v>
      </c>
      <c r="B30" s="3" t="inlineStr">
        <is>
          <t>소문 확인</t>
        </is>
      </c>
      <c r="C30" s="4" t="inlineStr">
        <is>
          <t>I heard through the grapevine</t>
        </is>
      </c>
      <c r="D30" s="11" t="inlineStr">
        <is>
          <t>건너건너 풍문으로 들었어</t>
        </is>
      </c>
      <c r="E30" s="11" t="inlineStr">
        <is>
          <t>I heard through the grapevine that she's moving.</t>
        </is>
      </c>
      <c r="F30" s="11" t="inlineStr">
        <is>
          <t>그녀가 이사 간다는 소식을 풍문으로 들었어.</t>
        </is>
      </c>
      <c r="G30" s="5">
        <f>HYPERLINK("https://www.youtube.com/watch?v=uTCnwpjR9X4", "영상 보기 ▶")</f>
        <v/>
      </c>
    </row>
    <row r="31" ht="26" customHeight="1">
      <c r="A31" s="6" t="n">
        <v>280</v>
      </c>
      <c r="B31" s="7" t="inlineStr">
        <is>
          <t>비밀 유지</t>
        </is>
      </c>
      <c r="C31" s="8" t="inlineStr">
        <is>
          <t>Keep it under wraps</t>
        </is>
      </c>
      <c r="D31" s="12" t="inlineStr">
        <is>
          <t>비밀로 유지하다, 대외비로 부치다</t>
        </is>
      </c>
      <c r="E31" s="12" t="inlineStr">
        <is>
          <t>Please keep this project under wraps for now.</t>
        </is>
      </c>
      <c r="F31" s="12" t="inlineStr">
        <is>
          <t>당분간 이 프로젝트는 대외비로 비밀에 부쳐주세요.</t>
        </is>
      </c>
      <c r="G31" s="9">
        <f>HYPERLINK("https://www.youtube.com/watch?v=uTCnwpjR9X4", "영상 보기 ▶")</f>
        <v/>
      </c>
    </row>
    <row r="32" ht="26" customHeight="1">
      <c r="A32" s="2" t="n">
        <v>281</v>
      </c>
      <c r="B32" s="3" t="inlineStr">
        <is>
          <t>비밀 유지</t>
        </is>
      </c>
      <c r="C32" s="4" t="inlineStr">
        <is>
          <t>My lips are sealed</t>
        </is>
      </c>
      <c r="D32" s="11" t="inlineStr">
        <is>
          <t>내 입은 무거워, 입 꼭 다물게</t>
        </is>
      </c>
      <c r="E32" s="11" t="inlineStr">
        <is>
          <t>Don't worry, my lips are sealed.</t>
        </is>
      </c>
      <c r="F32" s="11" t="inlineStr">
        <is>
          <t>걱정 마, 나 입 절대 안 열 테니까.</t>
        </is>
      </c>
      <c r="G32" s="5">
        <f>HYPERLINK("https://www.youtube.com/watch?v=uTCnwpjR9X4", "영상 보기 ▶")</f>
        <v/>
      </c>
    </row>
    <row r="33" ht="26" customHeight="1">
      <c r="A33" s="6" t="n">
        <v>282</v>
      </c>
      <c r="B33" s="7" t="inlineStr">
        <is>
          <t>비밀 누설</t>
        </is>
      </c>
      <c r="C33" s="8" t="inlineStr">
        <is>
          <t>spill the beans</t>
        </is>
      </c>
      <c r="D33" s="12" t="inlineStr">
        <is>
          <t>무심코 비밀을 털어놓다, 누설하다</t>
        </is>
      </c>
      <c r="E33" s="12" t="inlineStr">
        <is>
          <t>Who spilled the beans about the party?</t>
        </is>
      </c>
      <c r="F33" s="12" t="inlineStr">
        <is>
          <t>파티 비밀을 누가 무심코 털어놓은 거야?</t>
        </is>
      </c>
      <c r="G33" s="9">
        <f>HYPERLINK("https://www.youtube.com/watch?v=uTCnwpjR9X4", "영상 보기 ▶")</f>
        <v/>
      </c>
    </row>
    <row r="34" ht="26" customHeight="1">
      <c r="A34" s="2" t="n">
        <v>283</v>
      </c>
      <c r="B34" s="3" t="inlineStr">
        <is>
          <t>비밀 누설</t>
        </is>
      </c>
      <c r="C34" s="4" t="inlineStr">
        <is>
          <t>let the cat out of the bag</t>
        </is>
      </c>
      <c r="D34" s="11" t="inlineStr">
        <is>
          <t>비밀을 들통나게 하다, 누설하다</t>
        </is>
      </c>
      <c r="E34" s="11" t="inlineStr">
        <is>
          <t>He accidentally let the cat out of the bag.</t>
        </is>
      </c>
      <c r="F34" s="11" t="inlineStr">
        <is>
          <t>그가 실수로 비밀을 누설해 버렸어.</t>
        </is>
      </c>
      <c r="G34" s="5">
        <f>HYPERLINK("https://www.youtube.com/watch?v=uTCnwpjR9X4", "영상 보기 ▶")</f>
        <v/>
      </c>
    </row>
    <row r="35" ht="26" customHeight="1">
      <c r="A35" s="6" t="n">
        <v>284</v>
      </c>
      <c r="B35" s="7" t="inlineStr">
        <is>
          <t>이해/공감</t>
        </is>
      </c>
      <c r="C35" s="8" t="inlineStr">
        <is>
          <t>I see where you're coming from</t>
        </is>
      </c>
      <c r="D35" s="12" t="inlineStr">
        <is>
          <t>네가 왜 그렇게 말하는지 입장은 이해해</t>
        </is>
      </c>
      <c r="E35" s="12" t="inlineStr">
        <is>
          <t>I see where you're coming from, but I disagree.</t>
        </is>
      </c>
      <c r="F35" s="12" t="inlineStr">
        <is>
          <t>네가 왜 그러는지 입장은 이해하지만 난 동의 못 해.</t>
        </is>
      </c>
      <c r="G35" s="9">
        <f>HYPERLINK("https://www.youtube.com/watch?v=uTCnwpjR9X4", "영상 보기 ▶")</f>
        <v/>
      </c>
    </row>
    <row r="36" ht="26" customHeight="1">
      <c r="A36" s="2" t="n">
        <v>285</v>
      </c>
      <c r="B36" s="3" t="inlineStr">
        <is>
          <t>직접 확인</t>
        </is>
      </c>
      <c r="C36" s="4" t="inlineStr">
        <is>
          <t>firsthand</t>
        </is>
      </c>
      <c r="D36" s="11" t="inlineStr">
        <is>
          <t>직접 겪은, 직접적인 (firsthand experience)</t>
        </is>
      </c>
      <c r="E36" s="11" t="inlineStr">
        <is>
          <t>I know firsthand how difficult it is.</t>
        </is>
      </c>
      <c r="F36" s="11" t="inlineStr">
        <is>
          <t>그게 얼마나 어려운지 내가 직접 겪어봐서 잘 알아.</t>
        </is>
      </c>
      <c r="G36" s="5">
        <f>HYPERLINK("https://www.youtube.com/watch?v=uTCnwpjR9X4", "영상 보기 ▶")</f>
        <v/>
      </c>
    </row>
    <row r="37" ht="26" customHeight="1">
      <c r="A37" s="6" t="n">
        <v>286</v>
      </c>
      <c r="B37" s="7" t="inlineStr">
        <is>
          <t>간접 확인</t>
        </is>
      </c>
      <c r="C37" s="8" t="inlineStr">
        <is>
          <t>secondhand</t>
        </is>
      </c>
      <c r="D37" s="12" t="inlineStr">
        <is>
          <t>간접적인, 전해 들은 (secondhand information)</t>
        </is>
      </c>
      <c r="E37" s="12" t="inlineStr">
        <is>
          <t>I only know this secondhand.</t>
        </is>
      </c>
      <c r="F37" s="12" t="inlineStr">
        <is>
          <t>난 이 소식을 그냥 전해 들었을 뿐이야.</t>
        </is>
      </c>
      <c r="G37" s="9">
        <f>HYPERLINK("https://www.youtube.com/watch?v=uTCnwpjR9X4", "영상 보기 ▶")</f>
        <v/>
      </c>
    </row>
    <row r="38" ht="26" customHeight="1">
      <c r="A38" s="2" t="n">
        <v>287</v>
      </c>
      <c r="B38" s="3" t="inlineStr">
        <is>
          <t>상황 판단</t>
        </is>
      </c>
      <c r="C38" s="4" t="inlineStr">
        <is>
          <t>play it safe</t>
        </is>
      </c>
      <c r="D38" s="11" t="inlineStr">
        <is>
          <t>안전하게 가다, 무리하지 않다</t>
        </is>
      </c>
      <c r="E38" s="11" t="inlineStr">
        <is>
          <t>Let's play it safe and leave early.</t>
        </is>
      </c>
      <c r="F38" s="11" t="inlineStr">
        <is>
          <t>안전하게 무리하지 말고 일찍 출발합시다.</t>
        </is>
      </c>
      <c r="G38" s="5">
        <f>HYPERLINK("https://www.youtube.com/watch?v=uTCnwpjR9X4", "영상 보기 ▶")</f>
        <v/>
      </c>
    </row>
    <row r="39" ht="26" customHeight="1">
      <c r="A39" s="6" t="n">
        <v>288</v>
      </c>
      <c r="B39" s="7" t="inlineStr">
        <is>
          <t>위험 감수</t>
        </is>
      </c>
      <c r="C39" s="8" t="inlineStr">
        <is>
          <t>take a risk / take a chance</t>
        </is>
      </c>
      <c r="D39" s="12" t="inlineStr">
        <is>
          <t>위험을 무릅쓰다, 모험을 해보다</t>
        </is>
      </c>
      <c r="E39" s="12" t="inlineStr">
        <is>
          <t>Sometimes you have to take a chance.</t>
        </is>
      </c>
      <c r="F39" s="12" t="inlineStr">
        <is>
          <t>때로는 모험을 감수해야 할 때도 있어.</t>
        </is>
      </c>
      <c r="G39" s="9">
        <f>HYPERLINK("https://www.youtube.com/watch?v=uTCnwpjR9X4", "영상 보기 ▶")</f>
        <v/>
      </c>
    </row>
    <row r="40" ht="26" customHeight="1">
      <c r="A40" s="2" t="n">
        <v>289</v>
      </c>
      <c r="B40" s="3" t="inlineStr">
        <is>
          <t>결과 수용</t>
        </is>
      </c>
      <c r="C40" s="4" t="inlineStr">
        <is>
          <t>face the music</t>
        </is>
      </c>
      <c r="D40" s="11" t="inlineStr">
        <is>
          <t>(자신의 잘못에 따른) 결과를 받아들이다</t>
        </is>
      </c>
      <c r="E40" s="11" t="inlineStr">
        <is>
          <t>It's time to face the music and apologize.</t>
        </is>
      </c>
      <c r="F40" s="11" t="inlineStr">
        <is>
          <t>이제 현실을 직시하고 사과할 때야.</t>
        </is>
      </c>
      <c r="G40" s="5">
        <f>HYPERLINK("https://www.youtube.com/watch?v=uTCnwpjR9X4", "영상 보기 ▶")</f>
        <v/>
      </c>
    </row>
    <row r="41" ht="26" customHeight="1">
      <c r="A41" s="6" t="n">
        <v>290</v>
      </c>
      <c r="B41" s="7" t="inlineStr">
        <is>
          <t>포기 표현</t>
        </is>
      </c>
      <c r="C41" s="8" t="inlineStr">
        <is>
          <t>throw in the towel</t>
        </is>
      </c>
      <c r="D41" s="12" t="inlineStr">
        <is>
          <t>패배를 인정하다, 포기하다</t>
        </is>
      </c>
      <c r="E41" s="12" t="inlineStr">
        <is>
          <t>Don't throw in the towel just yet.</t>
        </is>
      </c>
      <c r="F41" s="12" t="inlineStr">
        <is>
          <t>벌써 포기하지는 마.</t>
        </is>
      </c>
      <c r="G41" s="9">
        <f>HYPERLINK("https://www.youtube.com/watch?v=uTCnwpjR9X4", "영상 보기 ▶")</f>
        <v/>
      </c>
    </row>
    <row r="42" ht="26" customHeight="1">
      <c r="A42" s="2" t="n">
        <v>291</v>
      </c>
      <c r="B42" s="3" t="inlineStr">
        <is>
          <t>인내 표현</t>
        </is>
      </c>
      <c r="C42" s="4" t="inlineStr">
        <is>
          <t>hang in there</t>
        </is>
      </c>
      <c r="D42" s="11" t="inlineStr">
        <is>
          <t>조금만 더 버텨, 힘내</t>
        </is>
      </c>
      <c r="E42" s="11" t="inlineStr">
        <is>
          <t>Hang in there, things will get better.</t>
        </is>
      </c>
      <c r="F42" s="11" t="inlineStr">
        <is>
          <t>조금만 더 버텨봐, 상황이 나아질 거야.</t>
        </is>
      </c>
      <c r="G42" s="5">
        <f>HYPERLINK("https://www.youtube.com/watch?v=uTCnwpjR9X4", "영상 보기 ▶")</f>
        <v/>
      </c>
    </row>
    <row r="43" ht="26" customHeight="1">
      <c r="A43" s="6" t="n">
        <v>292</v>
      </c>
      <c r="B43" s="7" t="inlineStr">
        <is>
          <t>진정 표현</t>
        </is>
      </c>
      <c r="C43" s="8" t="inlineStr">
        <is>
          <t>take it easy</t>
        </is>
      </c>
      <c r="D43" s="12" t="inlineStr">
        <is>
          <t>마음 편히 가져, 쉬엄쉬엄해</t>
        </is>
      </c>
      <c r="E43" s="12" t="inlineStr">
        <is>
          <t>Take it easy, don't stress over it.</t>
        </is>
      </c>
      <c r="F43" s="12" t="inlineStr">
        <is>
          <t>쉬엄쉬엄해, 그것 때문에 스트레스받지 마.</t>
        </is>
      </c>
      <c r="G43" s="9">
        <f>HYPERLINK("https://www.youtube.com/watch?v=uTCnwpjR9X4", "영상 보기 ▶")</f>
        <v/>
      </c>
    </row>
    <row r="44" ht="26" customHeight="1">
      <c r="A44" s="2" t="n">
        <v>293</v>
      </c>
      <c r="B44" s="3" t="inlineStr">
        <is>
          <t>오해 풀기</t>
        </is>
      </c>
      <c r="C44" s="4" t="inlineStr">
        <is>
          <t>clear the air</t>
        </is>
      </c>
      <c r="D44" s="11" t="inlineStr">
        <is>
          <t>(대화로 어색한) 앙금을 털어내다/오해를 풀다</t>
        </is>
      </c>
      <c r="E44" s="11" t="inlineStr">
        <is>
          <t>We need to clear the air between us.</t>
        </is>
      </c>
      <c r="F44" s="11" t="inlineStr">
        <is>
          <t>우리 사이에 쌓인 앙금과 오해를 풀 필요가 있어.</t>
        </is>
      </c>
      <c r="G44" s="5">
        <f>HYPERLINK("https://www.youtube.com/watch?v=uTCnwpjR9X4", "영상 보기 ▶")</f>
        <v/>
      </c>
    </row>
    <row r="45" ht="26" customHeight="1">
      <c r="A45" s="6" t="n">
        <v>294</v>
      </c>
      <c r="B45" s="7" t="inlineStr">
        <is>
          <t>단도직입</t>
        </is>
      </c>
      <c r="C45" s="8" t="inlineStr">
        <is>
          <t>get straight to the point</t>
        </is>
      </c>
      <c r="D45" s="12" t="inlineStr">
        <is>
          <t>빙빙 돌리지 않고 곧바로 본론을 말하다</t>
        </is>
      </c>
      <c r="E45" s="12" t="inlineStr">
        <is>
          <t>Let's get straight to the point.</t>
        </is>
      </c>
      <c r="F45" s="12" t="inlineStr">
        <is>
          <t>돌려 말하지 말고 바로 본론으로 들어갑시다.</t>
        </is>
      </c>
      <c r="G45" s="9">
        <f>HYPERLINK("https://www.youtube.com/watch?v=uTCnwpjR9X4", "영상 보기 ▶")</f>
        <v/>
      </c>
    </row>
    <row r="46" ht="26" customHeight="1">
      <c r="A46" s="2" t="n">
        <v>295</v>
      </c>
      <c r="B46" s="3" t="inlineStr">
        <is>
          <t>핵심 요약</t>
        </is>
      </c>
      <c r="C46" s="4" t="inlineStr">
        <is>
          <t>in a nutshell</t>
        </is>
      </c>
      <c r="D46" s="11" t="inlineStr">
        <is>
          <t>아주 간단히 요약하자면</t>
        </is>
      </c>
      <c r="E46" s="11" t="inlineStr">
        <is>
          <t>In a nutshell, we exceeded our sales goal.</t>
        </is>
      </c>
      <c r="F46" s="11" t="inlineStr">
        <is>
          <t>한마디로 요약하자면 우리 매출 목표를 초과 달성했어.</t>
        </is>
      </c>
      <c r="G46" s="5">
        <f>HYPERLINK("https://www.youtube.com/watch?v=uTCnwpjR9X4", "영상 보기 ▶")</f>
        <v/>
      </c>
    </row>
    <row r="47" ht="26" customHeight="1">
      <c r="A47" s="6" t="n">
        <v>296</v>
      </c>
      <c r="B47" s="7" t="inlineStr">
        <is>
          <t>기초 필수</t>
        </is>
      </c>
      <c r="C47" s="8" t="inlineStr">
        <is>
          <t>back to basics</t>
        </is>
      </c>
      <c r="D47" s="12" t="inlineStr">
        <is>
          <t>초심으로 돌아가다, 기본으로 돌아가다</t>
        </is>
      </c>
      <c r="E47" s="12" t="inlineStr">
        <is>
          <t>Let's get back to basics.</t>
        </is>
      </c>
      <c r="F47" s="12" t="inlineStr">
        <is>
          <t>기본으로 다시 돌아가 봅시다.</t>
        </is>
      </c>
      <c r="G47" s="9">
        <f>HYPERLINK("https://www.youtube.com/watch?v=uTCnwpjR9X4", "영상 보기 ▶")</f>
        <v/>
      </c>
    </row>
    <row r="48" ht="26" customHeight="1">
      <c r="A48" s="2" t="n">
        <v>297</v>
      </c>
      <c r="B48" s="3" t="inlineStr">
        <is>
          <t>발상의 전환</t>
        </is>
      </c>
      <c r="C48" s="4" t="inlineStr">
        <is>
          <t>think outside the box</t>
        </is>
      </c>
      <c r="D48" s="11" t="inlineStr">
        <is>
          <t>고정관념에서 벗어나 창의적으로 생각하다</t>
        </is>
      </c>
      <c r="E48" s="11" t="inlineStr">
        <is>
          <t>We need to think outside the box on this.</t>
        </is>
      </c>
      <c r="F48" s="11" t="inlineStr">
        <is>
          <t>이 문제에 대해선 틀을 깨고 창의적으로 생각해야 해.</t>
        </is>
      </c>
      <c r="G48" s="5">
        <f>HYPERLINK("https://www.youtube.com/watch?v=uTCnwpjR9X4", "영상 보기 ▶")</f>
        <v/>
      </c>
    </row>
    <row r="49" ht="26" customHeight="1">
      <c r="A49" s="6" t="n">
        <v>298</v>
      </c>
      <c r="B49" s="7" t="inlineStr">
        <is>
          <t>시야 넓히기</t>
        </is>
      </c>
      <c r="C49" s="8" t="inlineStr">
        <is>
          <t>the big picture</t>
        </is>
      </c>
      <c r="D49" s="12" t="inlineStr">
        <is>
          <t>나무가 아닌 숲을 보는 전체적인 그림/시야</t>
        </is>
      </c>
      <c r="E49" s="12" t="inlineStr">
        <is>
          <t>Look at the big picture, not just small details.</t>
        </is>
      </c>
      <c r="F49" s="12" t="inlineStr">
        <is>
          <t>사소한 부분에 매몰되지 말고 전체적인 큰 그림을 봐.</t>
        </is>
      </c>
      <c r="G49" s="9">
        <f>HYPERLINK("https://www.youtube.com/watch?v=uTCnwpjR9X4", "영상 보기 ▶")</f>
        <v/>
      </c>
    </row>
    <row r="50" ht="26" customHeight="1">
      <c r="A50" s="2" t="n">
        <v>299</v>
      </c>
      <c r="B50" s="3" t="inlineStr">
        <is>
          <t>동의 표현</t>
        </is>
      </c>
      <c r="C50" s="4" t="inlineStr">
        <is>
          <t>I'm with you on that</t>
        </is>
      </c>
      <c r="D50" s="11" t="inlineStr">
        <is>
          <t>그 점에 대해서는 나도 전적으로 너와 같은 생각이야</t>
        </is>
      </c>
      <c r="E50" s="11" t="inlineStr">
        <is>
          <t>I'm completely with you on that point.</t>
        </is>
      </c>
      <c r="F50" s="11" t="inlineStr">
        <is>
          <t>그 점에 대해선 나도 너와 완전히 같은 의견이야.</t>
        </is>
      </c>
      <c r="G50" s="5">
        <f>HYPERLINK("https://www.youtube.com/watch?v=uTCnwpjR9X4", "영상 보기 ▶")</f>
        <v/>
      </c>
    </row>
    <row r="51" ht="26" customHeight="1">
      <c r="A51" s="6" t="n">
        <v>300</v>
      </c>
      <c r="B51" s="7" t="inlineStr">
        <is>
          <t>신뢰 표현</t>
        </is>
      </c>
      <c r="C51" s="8" t="inlineStr">
        <is>
          <t>You can count on me</t>
        </is>
      </c>
      <c r="D51" s="12" t="inlineStr">
        <is>
          <t>나만 믿어, 내가 확실히 책임질게</t>
        </is>
      </c>
      <c r="E51" s="12" t="inlineStr">
        <is>
          <t>Don't worry, you can count on me.</t>
        </is>
      </c>
      <c r="F51" s="12" t="inlineStr">
        <is>
          <t>걱정하지 마, 나만 믿으면 돼.</t>
        </is>
      </c>
      <c r="G51" s="9">
        <f>HYPERLINK("https://www.youtube.com/watch?v=uTCnwpjR9X4", "영상 보기 ▶")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6" customWidth="1" min="3" max="3"/>
    <col width="48" customWidth="1" min="4" max="4"/>
    <col width="57" customWidth="1" min="5" max="5"/>
    <col width="52.5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301</v>
      </c>
      <c r="B2" s="3" t="inlineStr">
        <is>
          <t>의견 표현</t>
        </is>
      </c>
      <c r="C2" s="4" t="inlineStr">
        <is>
          <t>It doesn't matter to me</t>
        </is>
      </c>
      <c r="D2" s="11" t="inlineStr">
        <is>
          <t>난 아무거나 괜찮아 (상관없어)</t>
        </is>
      </c>
      <c r="E2" s="11" t="inlineStr">
        <is>
          <t>It doesn't matter to me where we eat.</t>
        </is>
      </c>
      <c r="F2" s="11" t="inlineStr">
        <is>
          <t>어디서 밥 먹든 난 아무 데나 다 괜찮아.</t>
        </is>
      </c>
      <c r="G2" s="5">
        <f>HYPERLINK("https://www.youtube.com/watch?v=0S4clDwyQ3g", "영상 보기 ▶")</f>
        <v/>
      </c>
    </row>
    <row r="3" ht="26" customHeight="1">
      <c r="A3" s="6" t="n">
        <v>302</v>
      </c>
      <c r="B3" s="7" t="inlineStr">
        <is>
          <t>기운 충전</t>
        </is>
      </c>
      <c r="C3" s="8" t="inlineStr">
        <is>
          <t>pick-me-up</t>
        </is>
      </c>
      <c r="D3" s="12" t="inlineStr">
        <is>
          <t>기운을 차리게 해주는 간식이나 음료</t>
        </is>
      </c>
      <c r="E3" s="12" t="inlineStr">
        <is>
          <t>I could really use a pick-me-up right now.</t>
        </is>
      </c>
      <c r="F3" s="12" t="inlineStr">
        <is>
          <t>나 지금 기운 차릴 간식이 정말 절실해.</t>
        </is>
      </c>
      <c r="G3" s="9">
        <f>HYPERLINK("https://www.youtube.com/watch?v=0S4clDwyQ3g", "영상 보기 ▶")</f>
        <v/>
      </c>
    </row>
    <row r="4" ht="26" customHeight="1">
      <c r="A4" s="2" t="n">
        <v>303</v>
      </c>
      <c r="B4" s="3" t="inlineStr">
        <is>
          <t>취향 표현</t>
        </is>
      </c>
      <c r="C4" s="4" t="inlineStr">
        <is>
          <t>It's not for me</t>
        </is>
      </c>
      <c r="D4" s="11" t="inlineStr">
        <is>
          <t>내 취향이 아니야, 내 스타일은 아냐</t>
        </is>
      </c>
      <c r="E4" s="11" t="inlineStr">
        <is>
          <t>Spicy food is not really for me.</t>
        </is>
      </c>
      <c r="F4" s="11" t="inlineStr">
        <is>
          <t>매운 음식은 내 취향이 별로 아니야.</t>
        </is>
      </c>
      <c r="G4" s="5">
        <f>HYPERLINK("https://www.youtube.com/watch?v=0S4clDwyQ3g", "영상 보기 ▶")</f>
        <v/>
      </c>
    </row>
    <row r="5" ht="26" customHeight="1">
      <c r="A5" s="6" t="n">
        <v>304</v>
      </c>
      <c r="B5" s="7" t="inlineStr">
        <is>
          <t>취향 표현</t>
        </is>
      </c>
      <c r="C5" s="8" t="inlineStr">
        <is>
          <t>I'm not much of a ~</t>
        </is>
      </c>
      <c r="D5" s="12" t="inlineStr">
        <is>
          <t>난 ~를 즐겨 하거나 좋아하는 사람이 아니야</t>
        </is>
      </c>
      <c r="E5" s="12" t="inlineStr">
        <is>
          <t>I'm not much of a drinker.</t>
        </is>
      </c>
      <c r="F5" s="12" t="inlineStr">
        <is>
          <t>난 술을 별로 즐겨 마시는 사람이 아니야.</t>
        </is>
      </c>
      <c r="G5" s="9">
        <f>HYPERLINK("https://www.youtube.com/watch?v=0S4clDwyQ3g", "영상 보기 ▶")</f>
        <v/>
      </c>
    </row>
    <row r="6" ht="26" customHeight="1">
      <c r="A6" s="2" t="n">
        <v>305</v>
      </c>
      <c r="B6" s="3" t="inlineStr">
        <is>
          <t>취향 표현</t>
        </is>
      </c>
      <c r="C6" s="4" t="inlineStr">
        <is>
          <t>I'm not a big fan of ~</t>
        </is>
      </c>
      <c r="D6" s="11" t="inlineStr">
        <is>
          <t>전 ~를 별로 안 좋아해요</t>
        </is>
      </c>
      <c r="E6" s="11" t="inlineStr">
        <is>
          <t>I'm not a big fan of horror movies.</t>
        </is>
      </c>
      <c r="F6" s="11" t="inlineStr">
        <is>
          <t>난 공포 영화를 별로 안 좋아해.</t>
        </is>
      </c>
      <c r="G6" s="5">
        <f>HYPERLINK("https://www.youtube.com/watch?v=0S4clDwyQ3g", "영상 보기 ▶")</f>
        <v/>
      </c>
    </row>
    <row r="7" ht="26" customHeight="1">
      <c r="A7" s="6" t="n">
        <v>306</v>
      </c>
      <c r="B7" s="7" t="inlineStr">
        <is>
          <t>취향 표현</t>
        </is>
      </c>
      <c r="C7" s="8" t="inlineStr">
        <is>
          <t>It's not my favorite</t>
        </is>
      </c>
      <c r="D7" s="12" t="inlineStr">
        <is>
          <t>제가 제일 좋아하는 건 아니에요 (완곡한 거절)</t>
        </is>
      </c>
      <c r="E7" s="12" t="inlineStr">
        <is>
          <t>It's not my favorite, but I can eat it.</t>
        </is>
      </c>
      <c r="F7" s="12" t="inlineStr">
        <is>
          <t>내가 딱히 좋아하는 건 아니지만 먹을 순 있어.</t>
        </is>
      </c>
      <c r="G7" s="9">
        <f>HYPERLINK("https://www.youtube.com/watch?v=0S4clDwyQ3g", "영상 보기 ▶")</f>
        <v/>
      </c>
    </row>
    <row r="8" ht="26" customHeight="1">
      <c r="A8" s="2" t="n">
        <v>307</v>
      </c>
      <c r="B8" s="3" t="inlineStr">
        <is>
          <t>단호한 거절</t>
        </is>
      </c>
      <c r="C8" s="4" t="inlineStr">
        <is>
          <t>No offense, but ~</t>
        </is>
      </c>
      <c r="D8" s="11" t="inlineStr">
        <is>
          <t>기분 나쁘게 들으라고 하는 말은 아닌데 ~</t>
        </is>
      </c>
      <c r="E8" s="11" t="inlineStr">
        <is>
          <t>No offense, but this plan has a few flaws.</t>
        </is>
      </c>
      <c r="F8" s="11" t="inlineStr">
        <is>
          <t>기분 상하라고 하는 말은 아닌데 이 계획엔 허점이 좀 있어.</t>
        </is>
      </c>
      <c r="G8" s="5">
        <f>HYPERLINK("https://www.youtube.com/watch?v=0S4clDwyQ3g", "영상 보기 ▶")</f>
        <v/>
      </c>
    </row>
    <row r="9" ht="26" customHeight="1">
      <c r="A9" s="6" t="n">
        <v>308</v>
      </c>
      <c r="B9" s="7" t="inlineStr">
        <is>
          <t>헤어짐 인사</t>
        </is>
      </c>
      <c r="C9" s="8" t="inlineStr">
        <is>
          <t>Don't be a stranger</t>
        </is>
      </c>
      <c r="D9" s="12" t="inlineStr">
        <is>
          <t>연락 끊지 말고 자주 연락하고 지내</t>
        </is>
      </c>
      <c r="E9" s="12" t="inlineStr">
        <is>
          <t>It was great seeing you! Don't be a stranger.</t>
        </is>
      </c>
      <c r="F9" s="12" t="inlineStr">
        <is>
          <t>만나서 정말 좋았어! 연락 끊지 말고 자주 연락해.</t>
        </is>
      </c>
      <c r="G9" s="9">
        <f>HYPERLINK("https://www.youtube.com/watch?v=0S4clDwyQ3g", "영상 보기 ▶")</f>
        <v/>
      </c>
    </row>
    <row r="10" ht="26" customHeight="1">
      <c r="A10" s="2" t="n">
        <v>309</v>
      </c>
      <c r="B10" s="3" t="inlineStr">
        <is>
          <t>개인 의견</t>
        </is>
      </c>
      <c r="C10" s="4" t="inlineStr">
        <is>
          <t>I, for one,</t>
        </is>
      </c>
      <c r="D10" s="11" t="inlineStr">
        <is>
          <t>다른 사람은 몰라도 나 자신만큼은</t>
        </is>
      </c>
      <c r="E10" s="11" t="inlineStr">
        <is>
          <t>I, for one, think it's a brilliant idea.</t>
        </is>
      </c>
      <c r="F10" s="11" t="inlineStr">
        <is>
          <t>다른 사람은 몰라도 나만큼은 그게 멋진 생각이라 봐.</t>
        </is>
      </c>
      <c r="G10" s="5">
        <f>HYPERLINK("https://www.youtube.com/watch?v=0S4clDwyQ3g", "영상 보기 ▶")</f>
        <v/>
      </c>
    </row>
    <row r="11" ht="26" customHeight="1">
      <c r="A11" s="6" t="n">
        <v>310</v>
      </c>
      <c r="B11" s="7" t="inlineStr">
        <is>
          <t>선택 존중</t>
        </is>
      </c>
      <c r="C11" s="8" t="inlineStr">
        <is>
          <t>Whatever works for you</t>
        </is>
      </c>
      <c r="D11" s="12" t="inlineStr">
        <is>
          <t>네가 편한 대로 해, 네 일정에 맞출게</t>
        </is>
      </c>
      <c r="E11" s="12" t="inlineStr">
        <is>
          <t>Tuesday or Wednesday, whatever works for you.</t>
        </is>
      </c>
      <c r="F11" s="12" t="inlineStr">
        <is>
          <t>화요일이든 수요일이든 네가 편한 쪽으로 해.</t>
        </is>
      </c>
      <c r="G11" s="9">
        <f>HYPERLINK("https://www.youtube.com/watch?v=0S4clDwyQ3g", "영상 보기 ▶")</f>
        <v/>
      </c>
    </row>
    <row r="12" ht="26" customHeight="1">
      <c r="A12" s="2" t="n">
        <v>311</v>
      </c>
      <c r="B12" s="3" t="inlineStr">
        <is>
          <t>업무 여유</t>
        </is>
      </c>
      <c r="C12" s="4" t="inlineStr">
        <is>
          <t>breathing room</t>
        </is>
      </c>
      <c r="D12" s="11" t="inlineStr">
        <is>
          <t>숨 돌릴 틈, 여유 공간/시간</t>
        </is>
      </c>
      <c r="E12" s="11" t="inlineStr">
        <is>
          <t>This deadline gives us some breathing room.</t>
        </is>
      </c>
      <c r="F12" s="11" t="inlineStr">
        <is>
          <t>이 마감 덕분에 숨 돌릴 여유가 좀 생겼어.</t>
        </is>
      </c>
      <c r="G12" s="5">
        <f>HYPERLINK("https://www.youtube.com/watch?v=0S4clDwyQ3g", "영상 보기 ▶")</f>
        <v/>
      </c>
    </row>
    <row r="13" ht="26" customHeight="1">
      <c r="A13" s="6" t="n">
        <v>312</v>
      </c>
      <c r="B13" s="7" t="inlineStr">
        <is>
          <t>시간 벌기</t>
        </is>
      </c>
      <c r="C13" s="8" t="inlineStr">
        <is>
          <t>buy time</t>
        </is>
      </c>
      <c r="D13" s="12" t="inlineStr">
        <is>
          <t>(상황을 해결하기 위해) 시간을 벌다</t>
        </is>
      </c>
      <c r="E13" s="12" t="inlineStr">
        <is>
          <t>We need to find a way to buy some time.</t>
        </is>
      </c>
      <c r="F13" s="12" t="inlineStr">
        <is>
          <t>우리는 시간을 좀 벌 방법을 찾아야 해.</t>
        </is>
      </c>
      <c r="G13" s="9">
        <f>HYPERLINK("https://www.youtube.com/watch?v=0S4clDwyQ3g", "영상 보기 ▶")</f>
        <v/>
      </c>
    </row>
    <row r="14" ht="26" customHeight="1">
      <c r="A14" s="2" t="n">
        <v>313</v>
      </c>
      <c r="B14" s="3" t="inlineStr">
        <is>
          <t>사교 표현</t>
        </is>
      </c>
      <c r="C14" s="4" t="inlineStr">
        <is>
          <t>small talk</t>
        </is>
      </c>
      <c r="D14" s="11" t="inlineStr">
        <is>
          <t>(어색함을 깨기 위한) 가벼운 일상 대화</t>
        </is>
      </c>
      <c r="E14" s="11" t="inlineStr">
        <is>
          <t>He is really good at making small talk.</t>
        </is>
      </c>
      <c r="F14" s="11" t="inlineStr">
        <is>
          <t>그는 가벼운 스몰토크를 참 자연스럽게 잘해.</t>
        </is>
      </c>
      <c r="G14" s="5">
        <f>HYPERLINK("https://www.youtube.com/watch?v=0S4clDwyQ3g", "영상 보기 ▶")</f>
        <v/>
      </c>
    </row>
    <row r="15" ht="26" customHeight="1">
      <c r="A15" s="6" t="n">
        <v>314</v>
      </c>
      <c r="B15" s="7" t="inlineStr">
        <is>
          <t>분위기 풀기</t>
        </is>
      </c>
      <c r="C15" s="8" t="inlineStr">
        <is>
          <t>break the ice</t>
        </is>
      </c>
      <c r="D15" s="12" t="inlineStr">
        <is>
          <t>어색한 분위기를 깨다</t>
        </is>
      </c>
      <c r="E15" s="12" t="inlineStr">
        <is>
          <t>She told a joke to break the ice.</t>
        </is>
      </c>
      <c r="F15" s="12" t="inlineStr">
        <is>
          <t>그녀는 어색한 분위기를 깨려고 농담을 건넸어.</t>
        </is>
      </c>
      <c r="G15" s="9">
        <f>HYPERLINK("https://www.youtube.com/watch?v=0S4clDwyQ3g", "영상 보기 ▶")</f>
        <v/>
      </c>
    </row>
    <row r="16" ht="26" customHeight="1">
      <c r="A16" s="2" t="n">
        <v>315</v>
      </c>
      <c r="B16" s="3" t="inlineStr">
        <is>
          <t>공통 분모</t>
        </is>
      </c>
      <c r="C16" s="4" t="inlineStr">
        <is>
          <t>common ground</t>
        </is>
      </c>
      <c r="D16" s="11" t="inlineStr">
        <is>
          <t>공통점, 합의점</t>
        </is>
      </c>
      <c r="E16" s="11" t="inlineStr">
        <is>
          <t>We managed to find some common ground.</t>
        </is>
      </c>
      <c r="F16" s="11" t="inlineStr">
        <is>
          <t>우리는 다행히 공통의 합의점을 찾았습니다.</t>
        </is>
      </c>
      <c r="G16" s="5">
        <f>HYPERLINK("https://www.youtube.com/watch?v=0S4clDwyQ3g", "영상 보기 ▶")</f>
        <v/>
      </c>
    </row>
    <row r="17" ht="26" customHeight="1">
      <c r="A17" s="6" t="n">
        <v>316</v>
      </c>
      <c r="B17" s="7" t="inlineStr">
        <is>
          <t>소통 공감</t>
        </is>
      </c>
      <c r="C17" s="8" t="inlineStr">
        <is>
          <t>click</t>
        </is>
      </c>
      <c r="D17" s="12" t="inlineStr">
        <is>
          <t>(사람과 마음이나 생각이) 척척 잘 맞다</t>
        </is>
      </c>
      <c r="E17" s="12" t="inlineStr">
        <is>
          <t>We just clicked right away.</t>
        </is>
      </c>
      <c r="F17" s="12" t="inlineStr">
        <is>
          <t>우린 처음 만나자마자 대화가 척척 잘 통했어.</t>
        </is>
      </c>
      <c r="G17" s="9">
        <f>HYPERLINK("https://www.youtube.com/watch?v=0S4clDwyQ3g", "영상 보기 ▶")</f>
        <v/>
      </c>
    </row>
    <row r="18" ht="26" customHeight="1">
      <c r="A18" s="2" t="n">
        <v>317</v>
      </c>
      <c r="B18" s="3" t="inlineStr">
        <is>
          <t>기억 상기</t>
        </is>
      </c>
      <c r="C18" s="4" t="inlineStr">
        <is>
          <t>ring a bell</t>
        </is>
      </c>
      <c r="D18" s="11" t="inlineStr">
        <is>
          <t>들어본 적 있는 것 같다, 기억이 어렴풋이 나다</t>
        </is>
      </c>
      <c r="E18" s="11" t="inlineStr">
        <is>
          <t>Does that name ring a bell?</t>
        </is>
      </c>
      <c r="F18" s="11" t="inlineStr">
        <is>
          <t>그 이름 들어본 기억이 나?</t>
        </is>
      </c>
      <c r="G18" s="5">
        <f>HYPERLINK("https://www.youtube.com/watch?v=0S4clDwyQ3g", "영상 보기 ▶")</f>
        <v/>
      </c>
    </row>
    <row r="19" ht="26" customHeight="1">
      <c r="A19" s="6" t="n">
        <v>318</v>
      </c>
      <c r="B19" s="7" t="inlineStr">
        <is>
          <t>기억 상실</t>
        </is>
      </c>
      <c r="C19" s="8" t="inlineStr">
        <is>
          <t>draw a blank</t>
        </is>
      </c>
      <c r="D19" s="12" t="inlineStr">
        <is>
          <t>머릿속이 하얘지다, 도무지 기억이 안 나다</t>
        </is>
      </c>
      <c r="E19" s="12" t="inlineStr">
        <is>
          <t>I asked his name, but I drew a blank.</t>
        </is>
      </c>
      <c r="F19" s="12" t="inlineStr">
        <is>
          <t>그 사람 이름을 물어봤는데 머릿속이 하얘졌어.</t>
        </is>
      </c>
      <c r="G19" s="9">
        <f>HYPERLINK("https://www.youtube.com/watch?v=0S4clDwyQ3g", "영상 보기 ▶")</f>
        <v/>
      </c>
    </row>
    <row r="20" ht="26" customHeight="1">
      <c r="A20" s="2" t="n">
        <v>319</v>
      </c>
      <c r="B20" s="3" t="inlineStr">
        <is>
          <t>망각 표현</t>
        </is>
      </c>
      <c r="C20" s="4" t="inlineStr">
        <is>
          <t>slip one's mind</t>
        </is>
      </c>
      <c r="D20" s="11" t="inlineStr">
        <is>
          <t>깜빡 잊어버리다</t>
        </is>
      </c>
      <c r="E20" s="11" t="inlineStr">
        <is>
          <t>I'm so sorry, it completely slipped my mind.</t>
        </is>
      </c>
      <c r="F20" s="11" t="inlineStr">
        <is>
          <t>정말 죄송해요, 제가 완전히 깜빡 잊고 있었어요.</t>
        </is>
      </c>
      <c r="G20" s="5">
        <f>HYPERLINK("https://www.youtube.com/watch?v=0S4clDwyQ3g", "영상 보기 ▶")</f>
        <v/>
      </c>
    </row>
    <row r="21" ht="26" customHeight="1">
      <c r="A21" s="6" t="n">
        <v>320</v>
      </c>
      <c r="B21" s="7" t="inlineStr">
        <is>
          <t>기억 혀끝</t>
        </is>
      </c>
      <c r="C21" s="8" t="inlineStr">
        <is>
          <t>on the tip of my tongue</t>
        </is>
      </c>
      <c r="D21" s="12" t="inlineStr">
        <is>
          <t>혀끝에서 맴돌다 (생각날 듯 말 듯)</t>
        </is>
      </c>
      <c r="E21" s="12" t="inlineStr">
        <is>
          <t>His name is on the tip of my tongue.</t>
        </is>
      </c>
      <c r="F21" s="12" t="inlineStr">
        <is>
          <t>그 사람 이름이 혀끝에서 맴돌고 있어.</t>
        </is>
      </c>
      <c r="G21" s="9">
        <f>HYPERLINK("https://www.youtube.com/watch?v=0S4clDwyQ3g", "영상 보기 ▶")</f>
        <v/>
      </c>
    </row>
    <row r="22" ht="26" customHeight="1">
      <c r="A22" s="2" t="n">
        <v>321</v>
      </c>
      <c r="B22" s="3" t="inlineStr">
        <is>
          <t>기억 상기</t>
        </is>
      </c>
      <c r="C22" s="4" t="inlineStr">
        <is>
          <t>refresh (sb's) memory</t>
        </is>
      </c>
      <c r="D22" s="11" t="inlineStr">
        <is>
          <t>~의 기억을 되살려주다, 상기시켜 주다</t>
        </is>
      </c>
      <c r="E22" s="11" t="inlineStr">
        <is>
          <t>Let me refresh your memory about the contract.</t>
        </is>
      </c>
      <c r="F22" s="11" t="inlineStr">
        <is>
          <t>그 계약 내용에 대해 기억을 상기시켜 드릴게요.</t>
        </is>
      </c>
      <c r="G22" s="5">
        <f>HYPERLINK("https://www.youtube.com/watch?v=0S4clDwyQ3g", "영상 보기 ▶")</f>
        <v/>
      </c>
    </row>
    <row r="23" ht="26" customHeight="1">
      <c r="A23" s="6" t="n">
        <v>322</v>
      </c>
      <c r="B23" s="7" t="inlineStr">
        <is>
          <t>부드러운 알림</t>
        </is>
      </c>
      <c r="C23" s="8" t="inlineStr">
        <is>
          <t>Just a friendly reminder</t>
        </is>
      </c>
      <c r="D23" s="12" t="inlineStr">
        <is>
          <t>혹시나 해서 다시 상기시켜 드리는데요</t>
        </is>
      </c>
      <c r="E23" s="12" t="inlineStr">
        <is>
          <t>Just a friendly reminder that the meeting starts at 2.</t>
        </is>
      </c>
      <c r="F23" s="12" t="inlineStr">
        <is>
          <t>회의가 2시에 시작된다는 점 상기시켜 드립니다.</t>
        </is>
      </c>
      <c r="G23" s="9">
        <f>HYPERLINK("https://www.youtube.com/watch?v=0S4clDwyQ3g", "영상 보기 ▶")</f>
        <v/>
      </c>
    </row>
    <row r="24" ht="26" customHeight="1">
      <c r="A24" s="2" t="n">
        <v>323</v>
      </c>
      <c r="B24" s="3" t="inlineStr">
        <is>
          <t>기피 주제</t>
        </is>
      </c>
      <c r="C24" s="4" t="inlineStr">
        <is>
          <t>The elephant in the room</t>
        </is>
      </c>
      <c r="D24" s="11" t="inlineStr">
        <is>
          <t>누구나 알지만 말 꺼내기 꺼려지는 큰 문제</t>
        </is>
      </c>
      <c r="E24" s="11" t="inlineStr">
        <is>
          <t>Let's talk about the elephant in the room.</t>
        </is>
      </c>
      <c r="F24" s="11" t="inlineStr">
        <is>
          <t>모두가 쉬쉬하고 있는 그 민감한 문제를 털어놓읍시다.</t>
        </is>
      </c>
      <c r="G24" s="5">
        <f>HYPERLINK("https://www.youtube.com/watch?v=0S4clDwyQ3g", "영상 보기 ▶")</f>
        <v/>
      </c>
    </row>
    <row r="25" ht="26" customHeight="1">
      <c r="A25" s="6" t="n">
        <v>324</v>
      </c>
      <c r="B25" s="7" t="inlineStr">
        <is>
          <t>상황 악화</t>
        </is>
      </c>
      <c r="C25" s="8" t="inlineStr">
        <is>
          <t>go south</t>
        </is>
      </c>
      <c r="D25" s="12" t="inlineStr">
        <is>
          <t>(상황이나 계획이) 꼬이다, 잘못되다</t>
        </is>
      </c>
      <c r="E25" s="12" t="inlineStr">
        <is>
          <t>Things started to go south after the launch.</t>
        </is>
      </c>
      <c r="F25" s="12" t="inlineStr">
        <is>
          <t>출시 이후 상황이 꼬이기 시작했어.</t>
        </is>
      </c>
      <c r="G25" s="9">
        <f>HYPERLINK("https://www.youtube.com/watch?v=0S4clDwyQ3g", "영상 보기 ▶")</f>
        <v/>
      </c>
    </row>
    <row r="26" ht="26" customHeight="1">
      <c r="A26" s="2" t="n">
        <v>325</v>
      </c>
      <c r="B26" s="3" t="inlineStr">
        <is>
          <t>우선순위</t>
        </is>
      </c>
      <c r="C26" s="4" t="inlineStr">
        <is>
          <t>bigger fish to fry</t>
        </is>
      </c>
      <c r="D26" s="11" t="inlineStr">
        <is>
          <t>더 중요하게 처리해야 할 일이 있다</t>
        </is>
      </c>
      <c r="E26" s="11" t="inlineStr">
        <is>
          <t>I can't worry about that, I have bigger fish to fry.</t>
        </is>
      </c>
      <c r="F26" s="11" t="inlineStr">
        <is>
          <t>그건 신경 쓸 틈 없어, 당장 더 급한 일들이 많아.</t>
        </is>
      </c>
      <c r="G26" s="5">
        <f>HYPERLINK("https://www.youtube.com/watch?v=0S4clDwyQ3g", "영상 보기 ▶")</f>
        <v/>
      </c>
    </row>
    <row r="27" ht="26" customHeight="1">
      <c r="A27" s="6" t="n">
        <v>326</v>
      </c>
      <c r="B27" s="7" t="inlineStr">
        <is>
          <t>위로 격려</t>
        </is>
      </c>
      <c r="C27" s="8" t="inlineStr">
        <is>
          <t>We all make mistakes</t>
        </is>
      </c>
      <c r="D27" s="12" t="inlineStr">
        <is>
          <t>누구나 다 실수하는걸요, 괜찮아요</t>
        </is>
      </c>
      <c r="E27" s="12" t="inlineStr">
        <is>
          <t>Don't beat yourself up. We all make mistakes.</t>
        </is>
      </c>
      <c r="F27" s="12" t="inlineStr">
        <is>
          <t>자책하지 마. 누구나 다 실수하는 법이야.</t>
        </is>
      </c>
      <c r="G27" s="9">
        <f>HYPERLINK("https://www.youtube.com/watch?v=0S4clDwyQ3g", "영상 보기 ▶")</f>
        <v/>
      </c>
    </row>
    <row r="28" ht="26" customHeight="1">
      <c r="A28" s="2" t="n">
        <v>327</v>
      </c>
      <c r="B28" s="3" t="inlineStr">
        <is>
          <t>방향 제시</t>
        </is>
      </c>
      <c r="C28" s="4" t="inlineStr">
        <is>
          <t>point (sb) in the right direction</t>
        </is>
      </c>
      <c r="D28" s="11" t="inlineStr">
        <is>
          <t>~에게 올바른 길/방향을 안내해 주다</t>
        </is>
      </c>
      <c r="E28" s="11" t="inlineStr">
        <is>
          <t>Could you point me in the right direction?</t>
        </is>
      </c>
      <c r="F28" s="11" t="inlineStr">
        <is>
          <t>제가 어느 방향으로 가야 할지 알려주실 수 있나요?</t>
        </is>
      </c>
      <c r="G28" s="5">
        <f>HYPERLINK("https://www.youtube.com/watch?v=0S4clDwyQ3g", "영상 보기 ▶")</f>
        <v/>
      </c>
    </row>
    <row r="29" ht="26" customHeight="1">
      <c r="A29" s="6" t="n">
        <v>328</v>
      </c>
      <c r="B29" s="7" t="inlineStr">
        <is>
          <t>평판 언급</t>
        </is>
      </c>
      <c r="C29" s="8" t="inlineStr">
        <is>
          <t>I hear it's nice there</t>
        </is>
      </c>
      <c r="D29" s="12" t="inlineStr">
        <is>
          <t>거기 좋다고 늘 들었어요</t>
        </is>
      </c>
      <c r="E29" s="12" t="inlineStr">
        <is>
          <t>I hear it's really nice there. Have you been?</t>
        </is>
      </c>
      <c r="F29" s="12" t="inlineStr">
        <is>
          <t>거기 참 좋다고 소문 들었어요. 가보셨나요?</t>
        </is>
      </c>
      <c r="G29" s="9">
        <f>HYPERLINK("https://www.youtube.com/watch?v=0S4clDwyQ3g", "영상 보기 ▶")</f>
        <v/>
      </c>
    </row>
    <row r="30" ht="26" customHeight="1">
      <c r="A30" s="2" t="n">
        <v>329</v>
      </c>
      <c r="B30" s="3" t="inlineStr">
        <is>
          <t>진심 강조</t>
        </is>
      </c>
      <c r="C30" s="4" t="inlineStr">
        <is>
          <t>I mean it</t>
        </is>
      </c>
      <c r="D30" s="11" t="inlineStr">
        <is>
          <t>빈말이 아니라 정말 진심이야</t>
        </is>
      </c>
      <c r="E30" s="11" t="inlineStr">
        <is>
          <t>You did an incredible job. I mean it.</t>
        </is>
      </c>
      <c r="F30" s="11" t="inlineStr">
        <is>
          <t>너 정말 믿기지 않을 정도로 잘했어. 진심이야.</t>
        </is>
      </c>
      <c r="G30" s="5">
        <f>HYPERLINK("https://www.youtube.com/watch?v=0S4clDwyQ3g", "영상 보기 ▶")</f>
        <v/>
      </c>
    </row>
    <row r="31" ht="26" customHeight="1">
      <c r="A31" s="6" t="n">
        <v>330</v>
      </c>
      <c r="B31" s="7" t="inlineStr">
        <is>
          <t>깊은 감사</t>
        </is>
      </c>
      <c r="C31" s="8" t="inlineStr">
        <is>
          <t>That means a lot to me</t>
        </is>
      </c>
      <c r="D31" s="12" t="inlineStr">
        <is>
          <t>그렇게 말씀해 주시니 제게 큰 힘/의미가 되네요</t>
        </is>
      </c>
      <c r="E31" s="12" t="inlineStr">
        <is>
          <t>Thank you for the compliment. That means a lot to me.</t>
        </is>
      </c>
      <c r="F31" s="12" t="inlineStr">
        <is>
          <t>칭찬 감사해요. 제게 정말 큰 힘이 됩니다.</t>
        </is>
      </c>
      <c r="G31" s="9">
        <f>HYPERLINK("https://www.youtube.com/watch?v=0S4clDwyQ3g", "영상 보기 ▶")</f>
        <v/>
      </c>
    </row>
    <row r="32" ht="26" customHeight="1">
      <c r="A32" s="2" t="n">
        <v>331</v>
      </c>
      <c r="B32" s="3" t="inlineStr">
        <is>
          <t>사전 해명</t>
        </is>
      </c>
      <c r="C32" s="4" t="inlineStr">
        <is>
          <t>I don't mean to ~</t>
        </is>
      </c>
      <c r="D32" s="11" t="inlineStr">
        <is>
          <t>일부러 ~하려는 건 아니에요</t>
        </is>
      </c>
      <c r="E32" s="11" t="inlineStr">
        <is>
          <t>I don't mean to pry, but are you okay?</t>
        </is>
      </c>
      <c r="F32" s="11" t="inlineStr">
        <is>
          <t>캐물으려는 건 아닌데, 너 정말 괜찮아?</t>
        </is>
      </c>
      <c r="G32" s="5">
        <f>HYPERLINK("https://www.youtube.com/watch?v=0S4clDwyQ3g", "영상 보기 ▶")</f>
        <v/>
      </c>
    </row>
    <row r="33" ht="26" customHeight="1">
      <c r="A33" s="6" t="n">
        <v>332</v>
      </c>
      <c r="B33" s="7" t="inlineStr">
        <is>
          <t>의도 해명</t>
        </is>
      </c>
      <c r="C33" s="8" t="inlineStr">
        <is>
          <t>I meant to ~</t>
        </is>
      </c>
      <c r="D33" s="12" t="inlineStr">
        <is>
          <t>원래 ~하려고 했는데 (깜빡했어)</t>
        </is>
      </c>
      <c r="E33" s="12" t="inlineStr">
        <is>
          <t>I meant to call you earlier, but I got busy.</t>
        </is>
      </c>
      <c r="F33" s="12" t="inlineStr">
        <is>
          <t>아까 전화하려고 했는데 바빠서 못 했어.</t>
        </is>
      </c>
      <c r="G33" s="9">
        <f>HYPERLINK("https://www.youtube.com/watch?v=0S4clDwyQ3g", "영상 보기 ▶")</f>
        <v/>
      </c>
    </row>
    <row r="34" ht="26" customHeight="1">
      <c r="A34" s="2" t="n">
        <v>333</v>
      </c>
      <c r="B34" s="3" t="inlineStr">
        <is>
          <t>따져 묻기</t>
        </is>
      </c>
      <c r="C34" s="4" t="inlineStr">
        <is>
          <t>What's that supposed to mean?</t>
        </is>
      </c>
      <c r="D34" s="11" t="inlineStr">
        <is>
          <t>그게 도대체 무슨 뜻이야? (기분 나쁜 말에 따질 때)</t>
        </is>
      </c>
      <c r="E34" s="11" t="inlineStr">
        <is>
          <t>What's that supposed to mean? Are you blaming me?</t>
        </is>
      </c>
      <c r="F34" s="11" t="inlineStr">
        <is>
          <t>그게 무슨 뜻이야? 지금 내 탓을 하는 거야?</t>
        </is>
      </c>
      <c r="G34" s="5">
        <f>HYPERLINK("https://www.youtube.com/watch?v=0S4clDwyQ3g", "영상 보기 ▶")</f>
        <v/>
      </c>
    </row>
    <row r="35" ht="26" customHeight="1">
      <c r="A35" s="6" t="n">
        <v>334</v>
      </c>
      <c r="B35" s="7" t="inlineStr">
        <is>
          <t>운명 표현</t>
        </is>
      </c>
      <c r="C35" s="8" t="inlineStr">
        <is>
          <t>meant to be</t>
        </is>
      </c>
      <c r="D35" s="12" t="inlineStr">
        <is>
          <t>~하기로 정해진 운명인</t>
        </is>
      </c>
      <c r="E35" s="12" t="inlineStr">
        <is>
          <t>If it's meant to be, it will happen.</t>
        </is>
      </c>
      <c r="F35" s="12" t="inlineStr">
        <is>
          <t>인연이고 운명이라면 어떻게든 이뤄질 거야.</t>
        </is>
      </c>
      <c r="G35" s="9">
        <f>HYPERLINK("https://www.youtube.com/watch?v=0S4clDwyQ3g", "영상 보기 ▶")</f>
        <v/>
      </c>
    </row>
    <row r="36" ht="26" customHeight="1">
      <c r="A36" s="2" t="n">
        <v>335</v>
      </c>
      <c r="B36" s="3" t="inlineStr">
        <is>
          <t>연락 시도</t>
        </is>
      </c>
      <c r="C36" s="4" t="inlineStr">
        <is>
          <t>reach out vs reach</t>
        </is>
      </c>
      <c r="D36" s="11" t="inlineStr">
        <is>
          <t>reach out은 연락 시도, reach는 실제 연락이 닿음</t>
        </is>
      </c>
      <c r="E36" s="11" t="inlineStr">
        <is>
          <t>I reached out to him, but couldn't reach him.</t>
        </is>
      </c>
      <c r="F36" s="11" t="inlineStr">
        <is>
          <t>내가 그에게 연락을 취해봤지만 닿지 않았어.</t>
        </is>
      </c>
      <c r="G36" s="5">
        <f>HYPERLINK("https://www.youtube.com/watch?v=0S4clDwyQ3g", "영상 보기 ▶")</f>
        <v/>
      </c>
    </row>
    <row r="37" ht="26" customHeight="1">
      <c r="A37" s="6" t="n">
        <v>336</v>
      </c>
      <c r="B37" s="7" t="inlineStr">
        <is>
          <t>자선/기부</t>
        </is>
      </c>
      <c r="C37" s="8" t="inlineStr">
        <is>
          <t>donate = make a donation</t>
        </is>
      </c>
      <c r="D37" s="12" t="inlineStr">
        <is>
          <t>기부하다, 후원하다</t>
        </is>
      </c>
      <c r="E37" s="12" t="inlineStr">
        <is>
          <t>We decided to make a donation to the shelter.</t>
        </is>
      </c>
      <c r="F37" s="12" t="inlineStr">
        <is>
          <t>우리는 보호소에 기부하기로 결정했어.</t>
        </is>
      </c>
      <c r="G37" s="9">
        <f>HYPERLINK("https://www.youtube.com/watch?v=0S4clDwyQ3g", "영상 보기 ▶")</f>
        <v/>
      </c>
    </row>
    <row r="38" ht="26" customHeight="1">
      <c r="A38" s="2" t="n">
        <v>337</v>
      </c>
      <c r="B38" s="3" t="inlineStr">
        <is>
          <t>신청/등록</t>
        </is>
      </c>
      <c r="C38" s="4" t="inlineStr">
        <is>
          <t>sign up for</t>
        </is>
      </c>
      <c r="D38" s="11" t="inlineStr">
        <is>
          <t>(수업, 서비스 등에) 신청하다, 등록하다</t>
        </is>
      </c>
      <c r="E38" s="11" t="inlineStr">
        <is>
          <t>Did you sign up for the workshop?</t>
        </is>
      </c>
      <c r="F38" s="11" t="inlineStr">
        <is>
          <t>그 워크숍 신청했어?</t>
        </is>
      </c>
      <c r="G38" s="5">
        <f>HYPERLINK("https://www.youtube.com/watch?v=0S4clDwyQ3g", "영상 보기 ▶")</f>
        <v/>
      </c>
    </row>
    <row r="39" ht="26" customHeight="1">
      <c r="A39" s="6" t="n">
        <v>338</v>
      </c>
      <c r="B39" s="7" t="inlineStr">
        <is>
          <t>물건 확인</t>
        </is>
      </c>
      <c r="C39" s="8" t="inlineStr">
        <is>
          <t>check in the back</t>
        </is>
      </c>
      <c r="D39" s="12" t="inlineStr">
        <is>
          <t>창고에 재고가 있는지 확인해 보다</t>
        </is>
      </c>
      <c r="E39" s="12" t="inlineStr">
        <is>
          <t>Let me check in the back to see if we have more.</t>
        </is>
      </c>
      <c r="F39" s="12" t="inlineStr">
        <is>
          <t>창고에 재고가 더 있는지 뒤에 가서 확인해 볼게요.</t>
        </is>
      </c>
      <c r="G39" s="9">
        <f>HYPERLINK("https://www.youtube.com/watch?v=0S4clDwyQ3g", "영상 보기 ▶")</f>
        <v/>
      </c>
    </row>
    <row r="40" ht="26" customHeight="1">
      <c r="A40" s="2" t="n">
        <v>339</v>
      </c>
      <c r="B40" s="3" t="inlineStr">
        <is>
          <t>발견 차이</t>
        </is>
      </c>
      <c r="C40" s="4" t="inlineStr">
        <is>
          <t>find vs look for</t>
        </is>
      </c>
      <c r="D40" s="11" t="inlineStr">
        <is>
          <t>find는 찾아내다(결과), look for는 찾으려 애쓰다(과정)</t>
        </is>
      </c>
      <c r="E40" s="11" t="inlineStr">
        <is>
          <t>I'm looking for my keys, but I can't find them.</t>
        </is>
      </c>
      <c r="F40" s="11" t="inlineStr">
        <is>
          <t>열쇠를 찾고 있는데 도무지 찾아낼 수가 없어.</t>
        </is>
      </c>
      <c r="G40" s="5">
        <f>HYPERLINK("https://www.youtube.com/watch?v=0S4clDwyQ3g", "영상 보기 ▶")</f>
        <v/>
      </c>
    </row>
    <row r="41" ht="26" customHeight="1">
      <c r="A41" s="6" t="n">
        <v>340</v>
      </c>
      <c r="B41" s="7" t="inlineStr">
        <is>
          <t>선택지 확인</t>
        </is>
      </c>
      <c r="C41" s="8" t="inlineStr">
        <is>
          <t>open-ended question</t>
        </is>
      </c>
      <c r="D41" s="12" t="inlineStr">
        <is>
          <t>단답형이 아닌 구체적 답변을 유도하는 열린 질문</t>
        </is>
      </c>
      <c r="E41" s="12" t="inlineStr">
        <is>
          <t>Try asking open-ended questions in interviews.</t>
        </is>
      </c>
      <c r="F41" s="12" t="inlineStr">
        <is>
          <t>면접에서는 구체적인 답변을 유도하는 열린 질문을 해보세요.</t>
        </is>
      </c>
      <c r="G41" s="9">
        <f>HYPERLINK("https://www.youtube.com/watch?v=0S4clDwyQ3g", "영상 보기 ▶")</f>
        <v/>
      </c>
    </row>
    <row r="42" ht="26" customHeight="1">
      <c r="A42" s="2" t="n">
        <v>341</v>
      </c>
      <c r="B42" s="3" t="inlineStr">
        <is>
          <t>진행 질문</t>
        </is>
      </c>
      <c r="C42" s="4" t="inlineStr">
        <is>
          <t>How is it coming along?</t>
        </is>
      </c>
      <c r="D42" s="11" t="inlineStr">
        <is>
          <t>작업이 어떻게 진행되어 가고 있어?</t>
        </is>
      </c>
      <c r="E42" s="11" t="inlineStr">
        <is>
          <t>How is the report coming along?</t>
        </is>
      </c>
      <c r="F42" s="11" t="inlineStr">
        <is>
          <t>보고서 작성은 어떻게 잘 진행되고 있어?</t>
        </is>
      </c>
      <c r="G42" s="5">
        <f>HYPERLINK("https://www.youtube.com/watch?v=0S4clDwyQ3g", "영상 보기 ▶")</f>
        <v/>
      </c>
    </row>
    <row r="43" ht="26" customHeight="1">
      <c r="A43" s="6" t="n">
        <v>342</v>
      </c>
      <c r="B43" s="7" t="inlineStr">
        <is>
          <t>호전 상태</t>
        </is>
      </c>
      <c r="C43" s="8" t="inlineStr">
        <is>
          <t>coming along nicely</t>
        </is>
      </c>
      <c r="D43" s="12" t="inlineStr">
        <is>
          <t>차질 없이 아주 순조롭게 잘 진행되는</t>
        </is>
      </c>
      <c r="E43" s="12" t="inlineStr">
        <is>
          <t>Everything is coming along nicely.</t>
        </is>
      </c>
      <c r="F43" s="12" t="inlineStr">
        <is>
          <t>모든 일이 아주 순조롭게 굴러가고 있어.</t>
        </is>
      </c>
      <c r="G43" s="9">
        <f>HYPERLINK("https://www.youtube.com/watch?v=0S4clDwyQ3g", "영상 보기 ▶")</f>
        <v/>
      </c>
    </row>
    <row r="44" ht="26" customHeight="1">
      <c r="A44" s="2" t="n">
        <v>343</v>
      </c>
      <c r="B44" s="3" t="inlineStr">
        <is>
          <t>일의 풀림</t>
        </is>
      </c>
      <c r="C44" s="4" t="inlineStr">
        <is>
          <t>fall into place</t>
        </is>
      </c>
      <c r="D44" s="11" t="inlineStr">
        <is>
          <t>딱딱 맞아떨어지다, 제자리를 찾다</t>
        </is>
      </c>
      <c r="E44" s="11" t="inlineStr">
        <is>
          <t>Once we hired him, everything fell into place.</t>
        </is>
      </c>
      <c r="F44" s="11" t="inlineStr">
        <is>
          <t>그를 채용하자 모든 일이 제자리를 찾고 딱딱 맞아떨어졌어.</t>
        </is>
      </c>
      <c r="G44" s="5">
        <f>HYPERLINK("https://www.youtube.com/watch?v=0S4clDwyQ3g", "영상 보기 ▶")</f>
        <v/>
      </c>
    </row>
    <row r="45" ht="26" customHeight="1">
      <c r="A45" s="6" t="n">
        <v>344</v>
      </c>
      <c r="B45" s="7" t="inlineStr">
        <is>
          <t>우연한 발견</t>
        </is>
      </c>
      <c r="C45" s="8" t="inlineStr">
        <is>
          <t>come across</t>
        </is>
      </c>
      <c r="D45" s="12" t="inlineStr">
        <is>
          <t>우연히 마주치다, 우연히 발견하다</t>
        </is>
      </c>
      <c r="E45" s="12" t="inlineStr">
        <is>
          <t>I came across an interesting article today.</t>
        </is>
      </c>
      <c r="F45" s="12" t="inlineStr">
        <is>
          <t>오늘 흥미로운 기사를 우연히 하나 발견했어.</t>
        </is>
      </c>
      <c r="G45" s="9">
        <f>HYPERLINK("https://www.youtube.com/watch?v=0S4clDwyQ3g", "영상 보기 ▶")</f>
        <v/>
      </c>
    </row>
    <row r="46" ht="26" customHeight="1">
      <c r="A46" s="2" t="n">
        <v>345</v>
      </c>
      <c r="B46" s="3" t="inlineStr">
        <is>
          <t>인상/평판</t>
        </is>
      </c>
      <c r="C46" s="4" t="inlineStr">
        <is>
          <t>come across as ~</t>
        </is>
      </c>
      <c r="D46" s="11" t="inlineStr">
        <is>
          <t>~라는 인상을 주다, ~처럼 보이다</t>
        </is>
      </c>
      <c r="E46" s="11" t="inlineStr">
        <is>
          <t>He comes across as very confident.</t>
        </is>
      </c>
      <c r="F46" s="11" t="inlineStr">
        <is>
          <t>그는 아주 자신감 넘치는 사람처럼 보여.</t>
        </is>
      </c>
      <c r="G46" s="5">
        <f>HYPERLINK("https://www.youtube.com/watch?v=0S4clDwyQ3g", "영상 보기 ▶")</f>
        <v/>
      </c>
    </row>
    <row r="47" ht="26" customHeight="1">
      <c r="A47" s="6" t="n">
        <v>346</v>
      </c>
      <c r="B47" s="7" t="inlineStr">
        <is>
          <t>아이디어 제시</t>
        </is>
      </c>
      <c r="C47" s="8" t="inlineStr">
        <is>
          <t>put forth / put forward</t>
        </is>
      </c>
      <c r="D47" s="12" t="inlineStr">
        <is>
          <t>제안이나 의견을 내놓다</t>
        </is>
      </c>
      <c r="E47" s="12" t="inlineStr">
        <is>
          <t>She put forward an interesting proposal.</t>
        </is>
      </c>
      <c r="F47" s="12" t="inlineStr">
        <is>
          <t>그녀는 아주 흥미로운 제안을 내놓았어.</t>
        </is>
      </c>
      <c r="G47" s="9">
        <f>HYPERLINK("https://www.youtube.com/watch?v=0S4clDwyQ3g", "영상 보기 ▶")</f>
        <v/>
      </c>
    </row>
    <row r="48" ht="26" customHeight="1">
      <c r="A48" s="2" t="n">
        <v>347</v>
      </c>
      <c r="B48" s="3" t="inlineStr">
        <is>
          <t>비용 충당</t>
        </is>
      </c>
      <c r="C48" s="4" t="inlineStr">
        <is>
          <t>cover</t>
        </is>
      </c>
      <c r="D48" s="11" t="inlineStr">
        <is>
          <t>(비용을) 지불하다, 충당하다</t>
        </is>
      </c>
      <c r="E48" s="11" t="inlineStr">
        <is>
          <t>Don't worry, the company will cover the expenses.</t>
        </is>
      </c>
      <c r="F48" s="11" t="inlineStr">
        <is>
          <t>걱정 마, 회사에서 비용을 다 대줄 거야.</t>
        </is>
      </c>
      <c r="G48" s="5">
        <f>HYPERLINK("https://www.youtube.com/watch?v=0S4clDwyQ3g", "영상 보기 ▶")</f>
        <v/>
      </c>
    </row>
    <row r="49" ht="26" customHeight="1">
      <c r="A49" s="6" t="n">
        <v>348</v>
      </c>
      <c r="B49" s="7" t="inlineStr">
        <is>
          <t>대타 근무</t>
        </is>
      </c>
      <c r="C49" s="8" t="inlineStr">
        <is>
          <t>cover for (sb)</t>
        </is>
      </c>
      <c r="D49" s="12" t="inlineStr">
        <is>
          <t>~를 대신해 일해주다, 대타를 뛰다</t>
        </is>
      </c>
      <c r="E49" s="12" t="inlineStr">
        <is>
          <t>Can you cover for me tomorrow afternoon?</t>
        </is>
      </c>
      <c r="F49" s="12" t="inlineStr">
        <is>
          <t>내일 오후에 내 일 좀 대신 맡아줄 수 있어?</t>
        </is>
      </c>
      <c r="G49" s="9">
        <f>HYPERLINK("https://www.youtube.com/watch?v=0S4clDwyQ3g", "영상 보기 ▶")</f>
        <v/>
      </c>
    </row>
    <row r="50" ht="26" customHeight="1">
      <c r="A50" s="2" t="n">
        <v>349</v>
      </c>
      <c r="B50" s="3" t="inlineStr">
        <is>
          <t>범위 포함</t>
        </is>
      </c>
      <c r="C50" s="4" t="inlineStr">
        <is>
          <t>cover all the bases</t>
        </is>
      </c>
      <c r="D50" s="11" t="inlineStr">
        <is>
          <t>만반의 준비를 갖추다, 빈틈없이 다루다</t>
        </is>
      </c>
      <c r="E50" s="11" t="inlineStr">
        <is>
          <t>Make sure we cover all the bases before launching.</t>
        </is>
      </c>
      <c r="F50" s="11" t="inlineStr">
        <is>
          <t>출시 전에 모든 가능성을 빈틈없이 점검해 두자.</t>
        </is>
      </c>
      <c r="G50" s="5">
        <f>HYPERLINK("https://www.youtube.com/watch?v=0S4clDwyQ3g", "영상 보기 ▶")</f>
        <v/>
      </c>
    </row>
    <row r="51" ht="26" customHeight="1">
      <c r="A51" s="6" t="n">
        <v>350</v>
      </c>
      <c r="B51" s="7" t="inlineStr">
        <is>
          <t>마무리 요약</t>
        </is>
      </c>
      <c r="C51" s="8" t="inlineStr">
        <is>
          <t>That about covers it</t>
        </is>
      </c>
      <c r="D51" s="12" t="inlineStr">
        <is>
          <t>이 정도면 다 다룬 것 같네요 (회의 마무리)</t>
        </is>
      </c>
      <c r="E51" s="12" t="inlineStr">
        <is>
          <t>I think that about covers everything for today.</t>
        </is>
      </c>
      <c r="F51" s="12" t="inlineStr">
        <is>
          <t>오늘 나눌 이야기는 이 정도면 다 짚은 것 같네요.</t>
        </is>
      </c>
      <c r="G51" s="9">
        <f>HYPERLINK("https://www.youtube.com/watch?v=0S4clDwyQ3g", "영상 보기 ▶")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8" customWidth="1" min="3" max="3"/>
    <col width="44.6" customWidth="1" min="4" max="4"/>
    <col width="56" customWidth="1" min="5" max="5"/>
    <col width="54.5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351</v>
      </c>
      <c r="B2" s="3" t="inlineStr">
        <is>
          <t>휴식/여유</t>
        </is>
      </c>
      <c r="C2" s="4" t="inlineStr">
        <is>
          <t>downtime</t>
        </is>
      </c>
      <c r="D2" s="11" t="inlineStr">
        <is>
          <t>한가한 시간, 재충전하는 휴식 시간</t>
        </is>
      </c>
      <c r="E2" s="11" t="inlineStr">
        <is>
          <t>I like to read during my downtime.</t>
        </is>
      </c>
      <c r="F2" s="11" t="inlineStr">
        <is>
          <t>난 한가한 휴식 시간에 책 읽는 걸 좋아해.</t>
        </is>
      </c>
      <c r="G2" s="5">
        <f>HYPERLINK("https://www.youtube.com/watch?v=Y9_QmHGnBlk", "영상 보기 ▶")</f>
        <v/>
      </c>
    </row>
    <row r="3" ht="26" customHeight="1">
      <c r="A3" s="6" t="n">
        <v>352</v>
      </c>
      <c r="B3" s="7" t="inlineStr">
        <is>
          <t>취향 거절</t>
        </is>
      </c>
      <c r="C3" s="8" t="inlineStr">
        <is>
          <t>It's not for me / I'm not a big fan</t>
        </is>
      </c>
      <c r="D3" s="12" t="inlineStr">
        <is>
          <t>제 취향이 아니에요 (완곡한 호불호 표현)</t>
        </is>
      </c>
      <c r="E3" s="12" t="inlineStr">
        <is>
          <t>Musical theater is not really for me.</t>
        </is>
      </c>
      <c r="F3" s="12" t="inlineStr">
        <is>
          <t>뮤지컬은 제 취향이 별로 아니에요.</t>
        </is>
      </c>
      <c r="G3" s="9">
        <f>HYPERLINK("https://www.youtube.com/watch?v=Y9_QmHGnBlk", "영상 보기 ▶")</f>
        <v/>
      </c>
    </row>
    <row r="4" ht="26" customHeight="1">
      <c r="A4" s="2" t="n">
        <v>353</v>
      </c>
      <c r="B4" s="3" t="inlineStr">
        <is>
          <t>이해/해석</t>
        </is>
      </c>
      <c r="C4" s="4" t="inlineStr">
        <is>
          <t>interpretation</t>
        </is>
      </c>
      <c r="D4" s="11" t="inlineStr">
        <is>
          <t>해석, 설명, 받아들임</t>
        </is>
      </c>
      <c r="E4" s="11" t="inlineStr">
        <is>
          <t>That's open to interpretation.</t>
        </is>
      </c>
      <c r="F4" s="11" t="inlineStr">
        <is>
          <t>그건 해석하기 나름이에요.</t>
        </is>
      </c>
      <c r="G4" s="5">
        <f>HYPERLINK("https://www.youtube.com/watch?v=Y9_QmHGnBlk", "영상 보기 ▶")</f>
        <v/>
      </c>
    </row>
    <row r="5" ht="26" customHeight="1">
      <c r="A5" s="6" t="n">
        <v>354</v>
      </c>
      <c r="B5" s="7" t="inlineStr">
        <is>
          <t>명백한 설명</t>
        </is>
      </c>
      <c r="C5" s="8" t="inlineStr">
        <is>
          <t>self-explanatory</t>
        </is>
      </c>
      <c r="D5" s="12" t="inlineStr">
        <is>
          <t>설명이 따로 필요 없을 정도로 명백한</t>
        </is>
      </c>
      <c r="E5" s="12" t="inlineStr">
        <is>
          <t>The chart is pretty self-explanatory.</t>
        </is>
      </c>
      <c r="F5" s="12" t="inlineStr">
        <is>
          <t>그 도표는 설명이 따로 필요 없을 정도로 명확해요.</t>
        </is>
      </c>
      <c r="G5" s="9">
        <f>HYPERLINK("https://www.youtube.com/watch?v=Y9_QmHGnBlk", "영상 보기 ▶")</f>
        <v/>
      </c>
    </row>
    <row r="6" ht="26" customHeight="1">
      <c r="A6" s="2" t="n">
        <v>355</v>
      </c>
      <c r="B6" s="3" t="inlineStr">
        <is>
          <t>통화 매너</t>
        </is>
      </c>
      <c r="C6" s="4" t="inlineStr">
        <is>
          <t>I'll let you go</t>
        </is>
      </c>
      <c r="D6" s="11" t="inlineStr">
        <is>
          <t>(바쁜 상대를 배려해) 통화 그만 끊을게요</t>
        </is>
      </c>
      <c r="E6" s="11" t="inlineStr">
        <is>
          <t>I know you're busy, so I'll let you go.</t>
        </is>
      </c>
      <c r="F6" s="11" t="inlineStr">
        <is>
          <t>바쁘실 텐데 통화 그만 끊어드릴게요.</t>
        </is>
      </c>
      <c r="G6" s="5">
        <f>HYPERLINK("https://www.youtube.com/watch?v=Y9_QmHGnBlk", "영상 보기 ▶")</f>
        <v/>
      </c>
    </row>
    <row r="7" ht="26" customHeight="1">
      <c r="A7" s="6" t="n">
        <v>356</v>
      </c>
      <c r="B7" s="7" t="inlineStr">
        <is>
          <t>일정 배려</t>
        </is>
      </c>
      <c r="C7" s="8" t="inlineStr">
        <is>
          <t>fit (sb) in</t>
        </is>
      </c>
      <c r="D7" s="12" t="inlineStr">
        <is>
          <t>짬을 내어 ~를 만나주다/일정에 넣다</t>
        </is>
      </c>
      <c r="E7" s="12" t="inlineStr">
        <is>
          <t>Can you fit me in for a quick chat today?</t>
        </is>
      </c>
      <c r="F7" s="12" t="inlineStr">
        <is>
          <t>오늘 잠깐 대화할 시간 좀 내주실 수 있나요?</t>
        </is>
      </c>
      <c r="G7" s="9">
        <f>HYPERLINK("https://www.youtube.com/watch?v=Y9_QmHGnBlk", "영상 보기 ▶")</f>
        <v/>
      </c>
    </row>
    <row r="8" ht="26" customHeight="1">
      <c r="A8" s="2" t="n">
        <v>357</v>
      </c>
      <c r="B8" s="3" t="inlineStr">
        <is>
          <t>시간 감사</t>
        </is>
      </c>
      <c r="C8" s="4" t="inlineStr">
        <is>
          <t>Thank you for making time for me</t>
        </is>
      </c>
      <c r="D8" s="11" t="inlineStr">
        <is>
          <t>저를 위해 귀한 시간 내주셔서 감사합니다</t>
        </is>
      </c>
      <c r="E8" s="11" t="inlineStr">
        <is>
          <t>Thank you for making time for me on short notice.</t>
        </is>
      </c>
      <c r="F8" s="11" t="inlineStr">
        <is>
          <t>급한 연락에도 시간 내주셔서 정말 감사합니다.</t>
        </is>
      </c>
      <c r="G8" s="5">
        <f>HYPERLINK("https://www.youtube.com/watch?v=Y9_QmHGnBlk", "영상 보기 ▶")</f>
        <v/>
      </c>
    </row>
    <row r="9" ht="26" customHeight="1">
      <c r="A9" s="6" t="n">
        <v>358</v>
      </c>
      <c r="B9" s="7" t="inlineStr">
        <is>
          <t>상황 관망</t>
        </is>
      </c>
      <c r="C9" s="8" t="inlineStr">
        <is>
          <t>wait and see</t>
        </is>
      </c>
      <c r="D9" s="12" t="inlineStr">
        <is>
          <t>서두르지 않고 상황을 지켜보다/두고 보다</t>
        </is>
      </c>
      <c r="E9" s="12" t="inlineStr">
        <is>
          <t>Let's wait and see how things develop.</t>
        </is>
      </c>
      <c r="F9" s="12" t="inlineStr">
        <is>
          <t>상황이 어떻게 굴러가는지 일단 지켜봅시다.</t>
        </is>
      </c>
      <c r="G9" s="9">
        <f>HYPERLINK("https://www.youtube.com/watch?v=Y9_QmHGnBlk", "영상 보기 ▶")</f>
        <v/>
      </c>
    </row>
    <row r="10" ht="26" customHeight="1">
      <c r="A10" s="2" t="n">
        <v>359</v>
      </c>
      <c r="B10" s="3" t="inlineStr">
        <is>
          <t>진척 확인</t>
        </is>
      </c>
      <c r="C10" s="4" t="inlineStr">
        <is>
          <t>Where are we on ~?</t>
        </is>
      </c>
      <c r="D10" s="11" t="inlineStr">
        <is>
          <t>~ 건은 지금 어디까지 진행되었나요?</t>
        </is>
      </c>
      <c r="E10" s="11" t="inlineStr">
        <is>
          <t>Where are we on the contract renewal?</t>
        </is>
      </c>
      <c r="F10" s="11" t="inlineStr">
        <is>
          <t>계약 갱신 건은 지금 어디까지 진척되었나요?</t>
        </is>
      </c>
      <c r="G10" s="5">
        <f>HYPERLINK("https://www.youtube.com/watch?v=Y9_QmHGnBlk", "영상 보기 ▶")</f>
        <v/>
      </c>
    </row>
    <row r="11" ht="26" customHeight="1">
      <c r="A11" s="6" t="n">
        <v>360</v>
      </c>
      <c r="B11" s="7" t="inlineStr">
        <is>
          <t>범위 한정</t>
        </is>
      </c>
      <c r="C11" s="8" t="inlineStr">
        <is>
          <t>to a certain extent</t>
        </is>
      </c>
      <c r="D11" s="12" t="inlineStr">
        <is>
          <t>어느 정도까지는 (부분적 동의)</t>
        </is>
      </c>
      <c r="E11" s="12" t="inlineStr">
        <is>
          <t>I agree with you to a certain extent.</t>
        </is>
      </c>
      <c r="F11" s="12" t="inlineStr">
        <is>
          <t>어느 정도까지는 당신 말에 동의해요.</t>
        </is>
      </c>
      <c r="G11" s="9">
        <f>HYPERLINK("https://www.youtube.com/watch?v=Y9_QmHGnBlk", "영상 보기 ▶")</f>
        <v/>
      </c>
    </row>
    <row r="12" ht="26" customHeight="1">
      <c r="A12" s="2" t="n">
        <v>361</v>
      </c>
      <c r="B12" s="3" t="inlineStr">
        <is>
          <t>고민/망설임</t>
        </is>
      </c>
      <c r="C12" s="4" t="inlineStr">
        <is>
          <t>be on the fence</t>
        </is>
      </c>
      <c r="D12" s="11" t="inlineStr">
        <is>
          <t>결정을 못 내리고 양쪽 사이에서 망설이다</t>
        </is>
      </c>
      <c r="E12" s="11" t="inlineStr">
        <is>
          <t>I'm still on the fence about moving abroad.</t>
        </is>
      </c>
      <c r="F12" s="11" t="inlineStr">
        <is>
          <t>해외 이주를 두고 아직도 고민 중이야.</t>
        </is>
      </c>
      <c r="G12" s="5">
        <f>HYPERLINK("https://www.youtube.com/watch?v=Y9_QmHGnBlk", "영상 보기 ▶")</f>
        <v/>
      </c>
    </row>
    <row r="13" ht="26" customHeight="1">
      <c r="A13" s="6" t="n">
        <v>362</v>
      </c>
      <c r="B13" s="7" t="inlineStr">
        <is>
          <t>검토/조사</t>
        </is>
      </c>
      <c r="C13" s="8" t="inlineStr">
        <is>
          <t>look into</t>
        </is>
      </c>
      <c r="D13" s="12" t="inlineStr">
        <is>
          <t>자세히 알아보다, 면밀히 조사하다</t>
        </is>
      </c>
      <c r="E13" s="12" t="inlineStr">
        <is>
          <t>I'll look into the matter and get back to you.</t>
        </is>
      </c>
      <c r="F13" s="12" t="inlineStr">
        <is>
          <t>제가 그 사안을 자세히 알아보고 다시 연락드릴게요.</t>
        </is>
      </c>
      <c r="G13" s="9">
        <f>HYPERLINK("https://www.youtube.com/watch?v=Y9_QmHGnBlk", "영상 보기 ▶")</f>
        <v/>
      </c>
    </row>
    <row r="14" ht="26" customHeight="1">
      <c r="A14" s="2" t="n">
        <v>363</v>
      </c>
      <c r="B14" s="3" t="inlineStr">
        <is>
          <t>성급 착수</t>
        </is>
      </c>
      <c r="C14" s="4" t="inlineStr">
        <is>
          <t>jump into</t>
        </is>
      </c>
      <c r="D14" s="11" t="inlineStr">
        <is>
          <t>(성급하게) 뛰어들다, 성급히 시작하다</t>
        </is>
      </c>
      <c r="E14" s="11" t="inlineStr">
        <is>
          <t>Don't jump into conclusions.</t>
        </is>
      </c>
      <c r="F14" s="11" t="inlineStr">
        <is>
          <t>성급하게 결론으로 뛰어들지 마.</t>
        </is>
      </c>
      <c r="G14" s="5">
        <f>HYPERLINK("https://www.youtube.com/watch?v=Y9_QmHGnBlk", "영상 보기 ▶")</f>
        <v/>
      </c>
    </row>
    <row r="15" ht="26" customHeight="1">
      <c r="A15" s="6" t="n">
        <v>364</v>
      </c>
      <c r="B15" s="7" t="inlineStr">
        <is>
          <t>시간 범위</t>
        </is>
      </c>
      <c r="C15" s="8" t="inlineStr">
        <is>
          <t>timeframe</t>
        </is>
      </c>
      <c r="D15" s="12" t="inlineStr">
        <is>
          <t>(어떤 일에 쓰이는) 기간의 범위, 기한</t>
        </is>
      </c>
      <c r="E15" s="12" t="inlineStr">
        <is>
          <t>What kind of timeframe are we looking at?</t>
        </is>
      </c>
      <c r="F15" s="12" t="inlineStr">
        <is>
          <t>기간은 대략 어느 정도로 잡고 계신가요?</t>
        </is>
      </c>
      <c r="G15" s="9">
        <f>HYPERLINK("https://www.youtube.com/watch?v=Y9_QmHGnBlk", "영상 보기 ▶")</f>
        <v/>
      </c>
    </row>
    <row r="16" ht="26" customHeight="1">
      <c r="A16" s="2" t="n">
        <v>365</v>
      </c>
      <c r="B16" s="3" t="inlineStr">
        <is>
          <t>업무 과다</t>
        </is>
      </c>
      <c r="C16" s="4" t="inlineStr">
        <is>
          <t>have a lot on one's plate</t>
        </is>
      </c>
      <c r="D16" s="11" t="inlineStr">
        <is>
          <t>처리해야 할 일이 산더미처럼 많다</t>
        </is>
      </c>
      <c r="E16" s="11" t="inlineStr">
        <is>
          <t>I have too much on my plate right now.</t>
        </is>
      </c>
      <c r="F16" s="11" t="inlineStr">
        <is>
          <t>나 지금 처리해야 할 일이 너무 많아.</t>
        </is>
      </c>
      <c r="G16" s="5">
        <f>HYPERLINK("https://www.youtube.com/watch?v=Y9_QmHGnBlk", "영상 보기 ▶")</f>
        <v/>
      </c>
    </row>
    <row r="17" ht="26" customHeight="1">
      <c r="A17" s="6" t="n">
        <v>366</v>
      </c>
      <c r="B17" s="7" t="inlineStr">
        <is>
          <t>연락 연결</t>
        </is>
      </c>
      <c r="C17" s="8" t="inlineStr">
        <is>
          <t>put (sb) in touch with</t>
        </is>
      </c>
      <c r="D17" s="12" t="inlineStr">
        <is>
          <t>~와 연락이 닿도록 다리를 놓아주다</t>
        </is>
      </c>
      <c r="E17" s="12" t="inlineStr">
        <is>
          <t>I can put you in touch with our marketing director.</t>
        </is>
      </c>
      <c r="F17" s="12" t="inlineStr">
        <is>
          <t>저희 마케팅 이사님과 연락이 닿도록 연결해 드릴게요.</t>
        </is>
      </c>
      <c r="G17" s="9">
        <f>HYPERLINK("https://www.youtube.com/watch?v=Y9_QmHGnBlk", "영상 보기 ▶")</f>
        <v/>
      </c>
    </row>
    <row r="18" ht="26" customHeight="1">
      <c r="A18" s="2" t="n">
        <v>367</v>
      </c>
      <c r="B18" s="3" t="inlineStr">
        <is>
          <t>권한 불가</t>
        </is>
      </c>
      <c r="C18" s="4" t="inlineStr">
        <is>
          <t>My hands are tied</t>
        </is>
      </c>
      <c r="D18" s="11" t="inlineStr">
        <is>
          <t>내 손이 묶여 있어 (내 권한 밖이라 어쩔 수 없어)</t>
        </is>
      </c>
      <c r="E18" s="11" t="inlineStr">
        <is>
          <t>I wish I could help, but my hands are tied.</t>
        </is>
      </c>
      <c r="F18" s="11" t="inlineStr">
        <is>
          <t>도와드리고 싶지만 제 권한 밖이라 어쩔 수가 없네요.</t>
        </is>
      </c>
      <c r="G18" s="5">
        <f>HYPERLINK("https://www.youtube.com/watch?v=Y9_QmHGnBlk", "영상 보기 ▶")</f>
        <v/>
      </c>
    </row>
    <row r="19" ht="26" customHeight="1">
      <c r="A19" s="6" t="n">
        <v>368</v>
      </c>
      <c r="B19" s="7" t="inlineStr">
        <is>
          <t>신뢰 의지</t>
        </is>
      </c>
      <c r="C19" s="8" t="inlineStr">
        <is>
          <t>count on (sb)</t>
        </is>
      </c>
      <c r="D19" s="12" t="inlineStr">
        <is>
          <t>~를 굳게 믿다, 신뢰하다</t>
        </is>
      </c>
      <c r="E19" s="12" t="inlineStr">
        <is>
          <t>You can always count on David.</t>
        </is>
      </c>
      <c r="F19" s="12" t="inlineStr">
        <is>
          <t>데이비드는 언제나 굳게 믿을 수 있는 사람이야.</t>
        </is>
      </c>
      <c r="G19" s="9">
        <f>HYPERLINK("https://www.youtube.com/watch?v=Y9_QmHGnBlk", "영상 보기 ▶")</f>
        <v/>
      </c>
    </row>
    <row r="20" ht="26" customHeight="1">
      <c r="A20" s="2" t="n">
        <v>369</v>
      </c>
      <c r="B20" s="3" t="inlineStr">
        <is>
          <t>참가 의사</t>
        </is>
      </c>
      <c r="C20" s="4" t="inlineStr">
        <is>
          <t>Count me in</t>
        </is>
      </c>
      <c r="D20" s="11" t="inlineStr">
        <is>
          <t>나도 껴줘, 나도 참가할게</t>
        </is>
      </c>
      <c r="E20" s="11" t="inlineStr">
        <is>
          <t>If you're going for dinner, count me in!</t>
        </is>
      </c>
      <c r="F20" s="11" t="inlineStr">
        <is>
          <t>저녁 먹으러 가는 거면 나도 껴줘!</t>
        </is>
      </c>
      <c r="G20" s="5">
        <f>HYPERLINK("https://www.youtube.com/watch?v=Y9_QmHGnBlk", "영상 보기 ▶")</f>
        <v/>
      </c>
    </row>
    <row r="21" ht="26" customHeight="1">
      <c r="A21" s="6" t="n">
        <v>370</v>
      </c>
      <c r="B21" s="7" t="inlineStr">
        <is>
          <t>꼼꼼 검토</t>
        </is>
      </c>
      <c r="C21" s="8" t="inlineStr">
        <is>
          <t>go over</t>
        </is>
      </c>
      <c r="D21" s="12" t="inlineStr">
        <is>
          <t>꼼꼼히 짚어보다, 하나하나 검토하다</t>
        </is>
      </c>
      <c r="E21" s="12" t="inlineStr">
        <is>
          <t>Let's go over the agenda one more time.</t>
        </is>
      </c>
      <c r="F21" s="12" t="inlineStr">
        <is>
          <t>회의 안건을 다시 한번 꼼꼼히 짚어봅시다.</t>
        </is>
      </c>
      <c r="G21" s="9">
        <f>HYPERLINK("https://www.youtube.com/watch?v=Y9_QmHGnBlk", "영상 보기 ▶")</f>
        <v/>
      </c>
    </row>
    <row r="22" ht="26" customHeight="1">
      <c r="A22" s="2" t="n">
        <v>371</v>
      </c>
      <c r="B22" s="3" t="inlineStr">
        <is>
          <t>주장 강조</t>
        </is>
      </c>
      <c r="C22" s="4" t="inlineStr">
        <is>
          <t>I'm telling you</t>
        </is>
      </c>
      <c r="D22" s="11" t="inlineStr">
        <is>
          <t>내 말 진짜라니까, 정말이야</t>
        </is>
      </c>
      <c r="E22" s="11" t="inlineStr">
        <is>
          <t>I'm telling you, this restaurant is incredible.</t>
        </is>
      </c>
      <c r="F22" s="11" t="inlineStr">
        <is>
          <t>내 말 진짜라니까, 이 식당 정말 끝내줘.</t>
        </is>
      </c>
      <c r="G22" s="5">
        <f>HYPERLINK("https://www.youtube.com/watch?v=Y9_QmHGnBlk", "영상 보기 ▶")</f>
        <v/>
      </c>
    </row>
    <row r="23" ht="26" customHeight="1">
      <c r="A23" s="6" t="n">
        <v>372</v>
      </c>
      <c r="B23" s="7" t="inlineStr">
        <is>
          <t>의심 표현</t>
        </is>
      </c>
      <c r="C23" s="8" t="inlineStr">
        <is>
          <t>I doubt it</t>
        </is>
      </c>
      <c r="D23" s="12" t="inlineStr">
        <is>
          <t>안 그럴걸, 그럴 리가 없어</t>
        </is>
      </c>
      <c r="E23" s="12" t="inlineStr">
        <is>
          <t>Will it rain today? - I doubt it.</t>
        </is>
      </c>
      <c r="F23" s="12" t="inlineStr">
        <is>
          <t>오늘 비 올까? - 안 그럴 것 같은데.</t>
        </is>
      </c>
      <c r="G23" s="9">
        <f>HYPERLINK("https://www.youtube.com/watch?v=Y9_QmHGnBlk", "영상 보기 ▶")</f>
        <v/>
      </c>
    </row>
    <row r="24" ht="26" customHeight="1">
      <c r="A24" s="2" t="n">
        <v>373</v>
      </c>
      <c r="B24" s="3" t="inlineStr">
        <is>
          <t>철저함</t>
        </is>
      </c>
      <c r="C24" s="4" t="inlineStr">
        <is>
          <t>religiously</t>
        </is>
      </c>
      <c r="D24" s="11" t="inlineStr">
        <is>
          <t>(신앙처럼) 빠짐없이 꼬박꼬박, 철저히</t>
        </is>
      </c>
      <c r="E24" s="11" t="inlineStr">
        <is>
          <t>He checks his emails religiously every morning.</t>
        </is>
      </c>
      <c r="F24" s="11" t="inlineStr">
        <is>
          <t>그는 매일 아침 빠짐없이 꼬박꼬박 이메일을 확인해.</t>
        </is>
      </c>
      <c r="G24" s="5">
        <f>HYPERLINK("https://www.youtube.com/watch?v=Y9_QmHGnBlk", "영상 보기 ▶")</f>
        <v/>
      </c>
    </row>
    <row r="25" ht="26" customHeight="1">
      <c r="A25" s="6" t="n">
        <v>374</v>
      </c>
      <c r="B25" s="7" t="inlineStr">
        <is>
          <t>확신 표현</t>
        </is>
      </c>
      <c r="C25" s="8" t="inlineStr">
        <is>
          <t>positive</t>
        </is>
      </c>
      <c r="D25" s="12" t="inlineStr">
        <is>
          <t>(의심의 여지 없이) 100% 확신하는</t>
        </is>
      </c>
      <c r="E25" s="12" t="inlineStr">
        <is>
          <t>Are you sure? - Yes, I'm absolutely positive.</t>
        </is>
      </c>
      <c r="F25" s="12" t="inlineStr">
        <is>
          <t>확실해? - 응, 나 완전히 100% 확신해.</t>
        </is>
      </c>
      <c r="G25" s="9">
        <f>HYPERLINK("https://www.youtube.com/watch?v=Y9_QmHGnBlk", "영상 보기 ▶")</f>
        <v/>
      </c>
    </row>
    <row r="26" ht="26" customHeight="1">
      <c r="A26" s="2" t="n">
        <v>375</v>
      </c>
      <c r="B26" s="3" t="inlineStr">
        <is>
          <t>재논의</t>
        </is>
      </c>
      <c r="C26" s="4" t="inlineStr">
        <is>
          <t>revisit</t>
        </is>
      </c>
      <c r="D26" s="11" t="inlineStr">
        <is>
          <t>시간이 지난 후에 다시 논의하다/재고하다</t>
        </is>
      </c>
      <c r="E26" s="11" t="inlineStr">
        <is>
          <t>Let's revisit this proposal next quarter.</t>
        </is>
      </c>
      <c r="F26" s="11" t="inlineStr">
        <is>
          <t>이 제안서는 다음 분기에 다시 논의합시다.</t>
        </is>
      </c>
      <c r="G26" s="5">
        <f>HYPERLINK("https://www.youtube.com/watch?v=Y9_QmHGnBlk", "영상 보기 ▶")</f>
        <v/>
      </c>
    </row>
    <row r="27" ht="26" customHeight="1">
      <c r="A27" s="6" t="n">
        <v>376</v>
      </c>
      <c r="B27" s="7" t="inlineStr">
        <is>
          <t>업무 착수</t>
        </is>
      </c>
      <c r="C27" s="8" t="inlineStr">
        <is>
          <t>get to it</t>
        </is>
      </c>
      <c r="D27" s="12" t="inlineStr">
        <is>
          <t>본격적으로 착수하다, 시작하다</t>
        </is>
      </c>
      <c r="E27" s="12" t="inlineStr">
        <is>
          <t>Enough talking, let's get to it.</t>
        </is>
      </c>
      <c r="F27" s="12" t="inlineStr">
        <is>
          <t>말은 이쯤 하고 이제 본격적으로 시작합시다.</t>
        </is>
      </c>
      <c r="G27" s="9">
        <f>HYPERLINK("https://www.youtube.com/watch?v=Y9_QmHGnBlk", "영상 보기 ▶")</f>
        <v/>
      </c>
    </row>
    <row r="28" ht="26" customHeight="1">
      <c r="A28" s="2" t="n">
        <v>377</v>
      </c>
      <c r="B28" s="3" t="inlineStr">
        <is>
          <t>타협/절충</t>
        </is>
      </c>
      <c r="C28" s="4" t="inlineStr">
        <is>
          <t>meet halfway / meet in the middle</t>
        </is>
      </c>
      <c r="D28" s="11" t="inlineStr">
        <is>
          <t>양보해서 타협하다, 중간에서 합의점을 찾다</t>
        </is>
      </c>
      <c r="E28" s="11" t="inlineStr">
        <is>
          <t>Can we meet halfway on the price?</t>
        </is>
      </c>
      <c r="F28" s="11" t="inlineStr">
        <is>
          <t>가격 절충안을 찾아 중간에서 타협할 수 있을까요?</t>
        </is>
      </c>
      <c r="G28" s="5">
        <f>HYPERLINK("https://www.youtube.com/watch?v=Y9_QmHGnBlk", "영상 보기 ▶")</f>
        <v/>
      </c>
    </row>
    <row r="29" ht="26" customHeight="1">
      <c r="A29" s="6" t="n">
        <v>378</v>
      </c>
      <c r="B29" s="7" t="inlineStr">
        <is>
          <t>사전 조사</t>
        </is>
      </c>
      <c r="C29" s="8" t="inlineStr">
        <is>
          <t>do some research</t>
        </is>
      </c>
      <c r="D29" s="12" t="inlineStr">
        <is>
          <t>이것저것 조사를 좀 해보다</t>
        </is>
      </c>
      <c r="E29" s="12" t="inlineStr">
        <is>
          <t>I did some research on their competitors.</t>
        </is>
      </c>
      <c r="F29" s="12" t="inlineStr">
        <is>
          <t>그들의 경쟁사에 대해 사전 조사를 좀 해봤어요.</t>
        </is>
      </c>
      <c r="G29" s="9">
        <f>HYPERLINK("https://www.youtube.com/watch?v=Y9_QmHGnBlk", "영상 보기 ▶")</f>
        <v/>
      </c>
    </row>
    <row r="30" ht="26" customHeight="1">
      <c r="A30" s="2" t="n">
        <v>379</v>
      </c>
      <c r="B30" s="3" t="inlineStr">
        <is>
          <t>확정 계획</t>
        </is>
      </c>
      <c r="C30" s="4" t="inlineStr">
        <is>
          <t>set in stone</t>
        </is>
      </c>
      <c r="D30" s="11" t="inlineStr">
        <is>
          <t>돌에 새긴 듯 확정된, 바꿀 수 없는</t>
        </is>
      </c>
      <c r="E30" s="11" t="inlineStr">
        <is>
          <t>Nothing is set in stone yet.</t>
        </is>
      </c>
      <c r="F30" s="11" t="inlineStr">
        <is>
          <t>아직 확정된 건 아무것도 없어요.</t>
        </is>
      </c>
      <c r="G30" s="5">
        <f>HYPERLINK("https://www.youtube.com/watch?v=Y9_QmHGnBlk", "영상 보기 ▶")</f>
        <v/>
      </c>
    </row>
    <row r="31" ht="26" customHeight="1">
      <c r="A31" s="6" t="n">
        <v>380</v>
      </c>
      <c r="B31" s="7" t="inlineStr">
        <is>
          <t>공손한 희망</t>
        </is>
      </c>
      <c r="C31" s="8" t="inlineStr">
        <is>
          <t>I was hoping ~</t>
        </is>
      </c>
      <c r="D31" s="12" t="inlineStr">
        <is>
          <t>혹시 ~했으면 해서요 (조심스런 부탁)</t>
        </is>
      </c>
      <c r="E31" s="12" t="inlineStr">
        <is>
          <t>I was hoping you could give me some advice.</t>
        </is>
      </c>
      <c r="F31" s="12" t="inlineStr">
        <is>
          <t>조언을 좀 얻을 수 있을까 해서요.</t>
        </is>
      </c>
      <c r="G31" s="9">
        <f>HYPERLINK("https://www.youtube.com/watch?v=Y9_QmHGnBlk", "영상 보기 ▶")</f>
        <v/>
      </c>
    </row>
    <row r="32" ht="26" customHeight="1">
      <c r="A32" s="2" t="n">
        <v>381</v>
      </c>
      <c r="B32" s="3" t="inlineStr">
        <is>
          <t>파티 문화</t>
        </is>
      </c>
      <c r="C32" s="4" t="inlineStr">
        <is>
          <t>potluck</t>
        </is>
      </c>
      <c r="D32" s="11" t="inlineStr">
        <is>
          <t>각자 음식을 조금씩 가져와 함께 나누는 파티</t>
        </is>
      </c>
      <c r="E32" s="11" t="inlineStr">
        <is>
          <t>We're having a potluck lunch this Friday.</t>
        </is>
      </c>
      <c r="F32" s="11" t="inlineStr">
        <is>
          <t>이번 주 금요일에 각자 음식 싸 와서 먹는 포틀럭 파티 해.</t>
        </is>
      </c>
      <c r="G32" s="5">
        <f>HYPERLINK("https://www.youtube.com/watch?v=Y9_QmHGnBlk", "영상 보기 ▶")</f>
        <v/>
      </c>
    </row>
    <row r="33" ht="26" customHeight="1">
      <c r="A33" s="6" t="n">
        <v>382</v>
      </c>
      <c r="B33" s="7" t="inlineStr">
        <is>
          <t>각출/보탬</t>
        </is>
      </c>
      <c r="C33" s="8" t="inlineStr">
        <is>
          <t>chip in</t>
        </is>
      </c>
      <c r="D33" s="12" t="inlineStr">
        <is>
          <t>돈을 조금씩 각출하다, 힘을 보태다</t>
        </is>
      </c>
      <c r="E33" s="12" t="inlineStr">
        <is>
          <t>We all chipped in to buy him a gift.</t>
        </is>
      </c>
      <c r="F33" s="12" t="inlineStr">
        <is>
          <t>우린 그에게 줄 선물을 사려고 다 같이 돈을 보탰어.</t>
        </is>
      </c>
      <c r="G33" s="9">
        <f>HYPERLINK("https://www.youtube.com/watch?v=Y9_QmHGnBlk", "영상 보기 ▶")</f>
        <v/>
      </c>
    </row>
    <row r="34" ht="26" customHeight="1">
      <c r="A34" s="2" t="n">
        <v>383</v>
      </c>
      <c r="B34" s="3" t="inlineStr">
        <is>
          <t>싫어하는 것</t>
        </is>
      </c>
      <c r="C34" s="4" t="inlineStr">
        <is>
          <t>pet peeve</t>
        </is>
      </c>
      <c r="D34" s="11" t="inlineStr">
        <is>
          <t>유독 거슬리고 질색하는 것</t>
        </is>
      </c>
      <c r="E34" s="11" t="inlineStr">
        <is>
          <t>Chewing with your mouth open is my biggest pet peeve.</t>
        </is>
      </c>
      <c r="F34" s="11" t="inlineStr">
        <is>
          <t>입 벌리고 음식 씹는 소리가 내가 제일 질색하는 거야.</t>
        </is>
      </c>
      <c r="G34" s="5">
        <f>HYPERLINK("https://www.youtube.com/watch?v=Y9_QmHGnBlk", "영상 보기 ▶")</f>
        <v/>
      </c>
    </row>
    <row r="35" ht="26" customHeight="1">
      <c r="A35" s="6" t="n">
        <v>384</v>
      </c>
      <c r="B35" s="7" t="inlineStr">
        <is>
          <t>인정/공로</t>
        </is>
      </c>
      <c r="C35" s="8" t="inlineStr">
        <is>
          <t>give credit where credit is due</t>
        </is>
      </c>
      <c r="D35" s="12" t="inlineStr">
        <is>
          <t>인정할 건 인정하다, 공로를 치하하다</t>
        </is>
      </c>
      <c r="E35" s="12" t="inlineStr">
        <is>
          <t>Give credit to the design team, they worked hard.</t>
        </is>
      </c>
      <c r="F35" s="12" t="inlineStr">
        <is>
          <t>디자인팀의 공을 인정해 줘야 해, 정말 고생했어.</t>
        </is>
      </c>
      <c r="G35" s="9">
        <f>HYPERLINK("https://www.youtube.com/watch?v=Y9_QmHGnBlk", "영상 보기 ▶")</f>
        <v/>
      </c>
    </row>
    <row r="36" ht="26" customHeight="1">
      <c r="A36" s="2" t="n">
        <v>385</v>
      </c>
      <c r="B36" s="3" t="inlineStr">
        <is>
          <t>특별 배려</t>
        </is>
      </c>
      <c r="C36" s="4" t="inlineStr">
        <is>
          <t>one-time courtesy</t>
        </is>
      </c>
      <c r="D36" s="11" t="inlineStr">
        <is>
          <t>이번 딱 한 번만 특별히 봐주는 호의/배려</t>
        </is>
      </c>
      <c r="E36" s="11" t="inlineStr">
        <is>
          <t>We can waive the fee as a one-time courtesy.</t>
        </is>
      </c>
      <c r="F36" s="11" t="inlineStr">
        <is>
          <t>이번 한 번만 특별한 배려 차원에서 수수료를 면제해 드릴게요.</t>
        </is>
      </c>
      <c r="G36" s="5">
        <f>HYPERLINK("https://www.youtube.com/watch?v=Y9_QmHGnBlk", "영상 보기 ▶")</f>
        <v/>
      </c>
    </row>
    <row r="37" ht="26" customHeight="1">
      <c r="A37" s="6" t="n">
        <v>386</v>
      </c>
      <c r="B37" s="7" t="inlineStr">
        <is>
          <t>협찬/제공</t>
        </is>
      </c>
      <c r="C37" s="8" t="inlineStr">
        <is>
          <t>courtesy of ~</t>
        </is>
      </c>
      <c r="D37" s="12" t="inlineStr">
        <is>
          <t>~의 호의로/협찬으로 제공된</t>
        </is>
      </c>
      <c r="E37" s="12" t="inlineStr">
        <is>
          <t>Free snacks are provided courtesy of management.</t>
        </is>
      </c>
      <c r="F37" s="12" t="inlineStr">
        <is>
          <t>경영진의 호의로 무료 간식이 제공됩니다.</t>
        </is>
      </c>
      <c r="G37" s="9">
        <f>HYPERLINK("https://www.youtube.com/watch?v=Y9_QmHGnBlk", "영상 보기 ▶")</f>
        <v/>
      </c>
    </row>
    <row r="38" ht="26" customHeight="1">
      <c r="A38" s="2" t="n">
        <v>387</v>
      </c>
      <c r="B38" s="3" t="inlineStr">
        <is>
          <t>중요도 강조</t>
        </is>
      </c>
      <c r="C38" s="4" t="inlineStr">
        <is>
          <t>big vs huge</t>
        </is>
      </c>
      <c r="D38" s="11" t="inlineStr">
        <is>
          <t>단순 크기가 아닌 중대함/의미심장함을 강조</t>
        </is>
      </c>
      <c r="E38" s="11" t="inlineStr">
        <is>
          <t>This is a big deal for our company.</t>
        </is>
      </c>
      <c r="F38" s="11" t="inlineStr">
        <is>
          <t>이건 우리 회사에 정말 중대한 일이야.</t>
        </is>
      </c>
      <c r="G38" s="5">
        <f>HYPERLINK("https://www.youtube.com/watch?v=Y9_QmHGnBlk", "영상 보기 ▶")</f>
        <v/>
      </c>
    </row>
    <row r="39" ht="26" customHeight="1">
      <c r="A39" s="6" t="n">
        <v>388</v>
      </c>
      <c r="B39" s="7" t="inlineStr">
        <is>
          <t>직감/촉</t>
        </is>
      </c>
      <c r="C39" s="8" t="inlineStr">
        <is>
          <t>gut feeling</t>
        </is>
      </c>
      <c r="D39" s="12" t="inlineStr">
        <is>
          <t>직감, 육감, 촉</t>
        </is>
      </c>
      <c r="E39" s="12" t="inlineStr">
        <is>
          <t>Trust your gut feeling.</t>
        </is>
      </c>
      <c r="F39" s="12" t="inlineStr">
        <is>
          <t>너의 직감을 믿어.</t>
        </is>
      </c>
      <c r="G39" s="9">
        <f>HYPERLINK("https://www.youtube.com/watch?v=Y9_QmHGnBlk", "영상 보기 ▶")</f>
        <v/>
      </c>
    </row>
    <row r="40" ht="26" customHeight="1">
      <c r="A40" s="2" t="n">
        <v>389</v>
      </c>
      <c r="B40" s="3" t="inlineStr">
        <is>
          <t>배짱/용기</t>
        </is>
      </c>
      <c r="C40" s="4" t="inlineStr">
        <is>
          <t>guts</t>
        </is>
      </c>
      <c r="D40" s="11" t="inlineStr">
        <is>
          <t>배짱, 용기 (*have the guts to do*)</t>
        </is>
      </c>
      <c r="E40" s="11" t="inlineStr">
        <is>
          <t>It takes a lot of guts to admit your mistake.</t>
        </is>
      </c>
      <c r="F40" s="11" t="inlineStr">
        <is>
          <t>자기 실수를 인정하는 데는 큰 배짱과 용기가 필요해.</t>
        </is>
      </c>
      <c r="G40" s="5">
        <f>HYPERLINK("https://www.youtube.com/watch?v=Y9_QmHGnBlk", "영상 보기 ▶")</f>
        <v/>
      </c>
    </row>
    <row r="41" ht="26" customHeight="1">
      <c r="A41" s="6" t="n">
        <v>390</v>
      </c>
      <c r="B41" s="7" t="inlineStr">
        <is>
          <t>강조 형용사</t>
        </is>
      </c>
      <c r="C41" s="8" t="inlineStr">
        <is>
          <t>the very ~</t>
        </is>
      </c>
      <c r="D41" s="12" t="inlineStr">
        <is>
          <t>다름 아닌 바로 그 ~</t>
        </is>
      </c>
      <c r="E41" s="12" t="inlineStr">
        <is>
          <t>He is the very person I was talking about.</t>
        </is>
      </c>
      <c r="F41" s="12" t="inlineStr">
        <is>
          <t>그 사람이 바로 내가 말하던 다름 아닌 그 인물이야.</t>
        </is>
      </c>
      <c r="G41" s="9">
        <f>HYPERLINK("https://www.youtube.com/watch?v=Y9_QmHGnBlk", "영상 보기 ▶")</f>
        <v/>
      </c>
    </row>
    <row r="42" ht="26" customHeight="1">
      <c r="A42" s="2" t="n">
        <v>391</v>
      </c>
      <c r="B42" s="3" t="inlineStr">
        <is>
          <t>평가</t>
        </is>
      </c>
      <c r="C42" s="4" t="inlineStr">
        <is>
          <t>overrated</t>
        </is>
      </c>
      <c r="D42" s="11" t="inlineStr">
        <is>
          <t>과대평가된 (소문보다 별로인)</t>
        </is>
      </c>
      <c r="E42" s="11" t="inlineStr">
        <is>
          <t>That restaurant is totally overrated.</t>
        </is>
      </c>
      <c r="F42" s="11" t="inlineStr">
        <is>
          <t>그 식당은 완전 거품이고 과대평가됐어.</t>
        </is>
      </c>
      <c r="G42" s="5">
        <f>HYPERLINK("https://www.youtube.com/watch?v=Y9_QmHGnBlk", "영상 보기 ▶")</f>
        <v/>
      </c>
    </row>
    <row r="43" ht="26" customHeight="1">
      <c r="A43" s="6" t="n">
        <v>392</v>
      </c>
      <c r="B43" s="7" t="inlineStr">
        <is>
          <t>평가</t>
        </is>
      </c>
      <c r="C43" s="8" t="inlineStr">
        <is>
          <t>underrated</t>
        </is>
      </c>
      <c r="D43" s="12" t="inlineStr">
        <is>
          <t>진가를 인정받지 못한, 과소평가된</t>
        </is>
      </c>
      <c r="E43" s="12" t="inlineStr">
        <is>
          <t>This movie is completely underrated.</t>
        </is>
      </c>
      <c r="F43" s="12" t="inlineStr">
        <is>
          <t>이 영화는 진짜 저평가된 명작이야.</t>
        </is>
      </c>
      <c r="G43" s="9">
        <f>HYPERLINK("https://www.youtube.com/watch?v=Y9_QmHGnBlk", "영상 보기 ▶")</f>
        <v/>
      </c>
    </row>
    <row r="44" ht="26" customHeight="1">
      <c r="A44" s="2" t="n">
        <v>393</v>
      </c>
      <c r="B44" s="3" t="inlineStr">
        <is>
          <t>끔찍한 일</t>
        </is>
      </c>
      <c r="C44" s="4" t="inlineStr">
        <is>
          <t>nightmare</t>
        </is>
      </c>
      <c r="D44" s="11" t="inlineStr">
        <is>
          <t>악몽 같은 끔찍한 상황/일</t>
        </is>
      </c>
      <c r="E44" s="11" t="inlineStr">
        <is>
          <t>The morning commute was a total nightmare.</t>
        </is>
      </c>
      <c r="F44" s="11" t="inlineStr">
        <is>
          <t>오늘 아침 출근길은 완전 악몽 그 자체였어.</t>
        </is>
      </c>
      <c r="G44" s="5">
        <f>HYPERLINK("https://www.youtube.com/watch?v=Y9_QmHGnBlk", "영상 보기 ▶")</f>
        <v/>
      </c>
    </row>
    <row r="45" ht="26" customHeight="1">
      <c r="A45" s="6" t="n">
        <v>394</v>
      </c>
      <c r="B45" s="7" t="inlineStr">
        <is>
          <t>사실상</t>
        </is>
      </c>
      <c r="C45" s="8" t="inlineStr">
        <is>
          <t>practically</t>
        </is>
      </c>
      <c r="D45" s="12" t="inlineStr">
        <is>
          <t>사실상, 거의 ~나 다름없이</t>
        </is>
      </c>
      <c r="E45" s="12" t="inlineStr">
        <is>
          <t>The project is practically finished.</t>
        </is>
      </c>
      <c r="F45" s="12" t="inlineStr">
        <is>
          <t>프로젝트는 사실상 거의 끝난 거나 다름없어.</t>
        </is>
      </c>
      <c r="G45" s="9">
        <f>HYPERLINK("https://www.youtube.com/watch?v=Y9_QmHGnBlk", "영상 보기 ▶")</f>
        <v/>
      </c>
    </row>
    <row r="46" ht="26" customHeight="1">
      <c r="A46" s="2" t="n">
        <v>395</v>
      </c>
      <c r="B46" s="3" t="inlineStr">
        <is>
          <t>의무 규정</t>
        </is>
      </c>
      <c r="C46" s="4" t="inlineStr">
        <is>
          <t>mandatory</t>
        </is>
      </c>
      <c r="D46" s="11" t="inlineStr">
        <is>
          <t>의무적인, 반드시 지켜야 하는</t>
        </is>
      </c>
      <c r="E46" s="11" t="inlineStr">
        <is>
          <t>Safety training is mandatory for everyone.</t>
        </is>
      </c>
      <c r="F46" s="11" t="inlineStr">
        <is>
          <t>안전 교육은 전 직원 필수 의무 사항입니다.</t>
        </is>
      </c>
      <c r="G46" s="5">
        <f>HYPERLINK("https://www.youtube.com/watch?v=Y9_QmHGnBlk", "영상 보기 ▶")</f>
        <v/>
      </c>
    </row>
    <row r="47" ht="26" customHeight="1">
      <c r="A47" s="6" t="n">
        <v>396</v>
      </c>
      <c r="B47" s="7" t="inlineStr">
        <is>
          <t>원칙적</t>
        </is>
      </c>
      <c r="C47" s="8" t="inlineStr">
        <is>
          <t>technically</t>
        </is>
      </c>
      <c r="D47" s="12" t="inlineStr">
        <is>
          <t>엄밀히 따지자면, 원칙상으로는</t>
        </is>
      </c>
      <c r="E47" s="12" t="inlineStr">
        <is>
          <t>Technically, you're right, but it's complicated.</t>
        </is>
      </c>
      <c r="F47" s="12" t="inlineStr">
        <is>
          <t>엄밀히 따지면 네 말이 맞지만 상황이 복잡해.</t>
        </is>
      </c>
      <c r="G47" s="9">
        <f>HYPERLINK("https://www.youtube.com/watch?v=Y9_QmHGnBlk", "영상 보기 ▶")</f>
        <v/>
      </c>
    </row>
    <row r="48" ht="26" customHeight="1">
      <c r="A48" s="2" t="n">
        <v>397</v>
      </c>
      <c r="B48" s="3" t="inlineStr">
        <is>
          <t>전문/풍문</t>
        </is>
      </c>
      <c r="C48" s="4" t="inlineStr">
        <is>
          <t>apparently</t>
        </is>
      </c>
      <c r="D48" s="11" t="inlineStr">
        <is>
          <t>듣자 하니, 보아하니 (~라더라)</t>
        </is>
      </c>
      <c r="E48" s="11" t="inlineStr">
        <is>
          <t>Apparently, the CEO is visiting tomorrow.</t>
        </is>
      </c>
      <c r="F48" s="11" t="inlineStr">
        <is>
          <t>듣자 하니 내일 대표님이 방문하신대.</t>
        </is>
      </c>
      <c r="G48" s="5">
        <f>HYPERLINK("https://www.youtube.com/watch?v=Y9_QmHGnBlk", "영상 보기 ▶")</f>
        <v/>
      </c>
    </row>
    <row r="49" ht="26" customHeight="1">
      <c r="A49" s="6" t="n">
        <v>398</v>
      </c>
      <c r="B49" s="7" t="inlineStr">
        <is>
          <t>전언</t>
        </is>
      </c>
      <c r="C49" s="8" t="inlineStr">
        <is>
          <t>relay</t>
        </is>
      </c>
      <c r="D49" s="12" t="inlineStr">
        <is>
          <t>(정보나 메시지를) 전해주다, 전달하다</t>
        </is>
      </c>
      <c r="E49" s="12" t="inlineStr">
        <is>
          <t>I'll relay your message to the team.</t>
        </is>
      </c>
      <c r="F49" s="12" t="inlineStr">
        <is>
          <t>당신의 메시지를 팀원들에게 전달할게요.</t>
        </is>
      </c>
      <c r="G49" s="9">
        <f>HYPERLINK("https://www.youtube.com/watch?v=Y9_QmHGnBlk", "영상 보기 ▶")</f>
        <v/>
      </c>
    </row>
    <row r="50" ht="26" customHeight="1">
      <c r="A50" s="2" t="n">
        <v>399</v>
      </c>
      <c r="B50" s="3" t="inlineStr">
        <is>
          <t>신속 공유</t>
        </is>
      </c>
      <c r="C50" s="4" t="inlineStr">
        <is>
          <t>You'll be the first to know</t>
        </is>
      </c>
      <c r="D50" s="11" t="inlineStr">
        <is>
          <t>너한테 가장 먼저 바로 알려줄게</t>
        </is>
      </c>
      <c r="E50" s="11" t="inlineStr">
        <is>
          <t>As soon as I hear back, you'll be the first to know.</t>
        </is>
      </c>
      <c r="F50" s="11" t="inlineStr">
        <is>
          <t>답변받는 즉시 너한테 제일 먼저 알려줄게.</t>
        </is>
      </c>
      <c r="G50" s="5">
        <f>HYPERLINK("https://www.youtube.com/watch?v=Y9_QmHGnBlk", "영상 보기 ▶")</f>
        <v/>
      </c>
    </row>
    <row r="51" ht="26" customHeight="1">
      <c r="A51" s="6" t="n">
        <v>400</v>
      </c>
      <c r="B51" s="7" t="inlineStr">
        <is>
          <t>지식 출처</t>
        </is>
      </c>
      <c r="C51" s="8" t="inlineStr">
        <is>
          <t>firsthand knowledge</t>
        </is>
      </c>
      <c r="D51" s="12" t="inlineStr">
        <is>
          <t>직접 경험하여 얻은 생생한 지식</t>
        </is>
      </c>
      <c r="E51" s="12" t="inlineStr">
        <is>
          <t>She has firsthand knowledge of the market.</t>
        </is>
      </c>
      <c r="F51" s="12" t="inlineStr">
        <is>
          <t>그녀는 그 시장에 대해 직접 체득한 생생한 지식을 갖고 있어.</t>
        </is>
      </c>
      <c r="G51" s="9">
        <f>HYPERLINK("https://www.youtube.com/watch?v=Y9_QmHGnBlk", "영상 보기 ▶")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1" customWidth="1" min="3" max="3"/>
    <col width="43.3" customWidth="1" min="4" max="4"/>
    <col width="55" customWidth="1" min="5" max="5"/>
    <col width="55.5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401</v>
      </c>
      <c r="B2" s="3" t="inlineStr">
        <is>
          <t>극찬</t>
        </is>
      </c>
      <c r="C2" s="4" t="inlineStr">
        <is>
          <t>brilliant</t>
        </is>
      </c>
      <c r="D2" s="11" t="inlineStr">
        <is>
          <t>눈부신, 아주 훌륭하고 멋진</t>
        </is>
      </c>
      <c r="E2" s="11" t="inlineStr">
        <is>
          <t>That was a brilliant presentation.</t>
        </is>
      </c>
      <c r="F2" s="11" t="inlineStr">
        <is>
          <t>정말 훌륭하고 멋진 발표였어요.</t>
        </is>
      </c>
      <c r="G2" s="5">
        <f>HYPERLINK("https://www.youtube.com/watch?v=gA4OSs3w5Mw", "영상 보기 ▶")</f>
        <v/>
      </c>
    </row>
    <row r="3" ht="26" customHeight="1">
      <c r="A3" s="6" t="n">
        <v>402</v>
      </c>
      <c r="B3" s="7" t="inlineStr">
        <is>
          <t>심리/상태</t>
        </is>
      </c>
      <c r="C3" s="8" t="inlineStr">
        <is>
          <t>vulnerable</t>
        </is>
      </c>
      <c r="D3" s="12" t="inlineStr">
        <is>
          <t>취약한, 상처받기 쉬운</t>
        </is>
      </c>
      <c r="E3" s="12" t="inlineStr">
        <is>
          <t>It's okay to feel vulnerable sometimes.</t>
        </is>
      </c>
      <c r="F3" s="12" t="inlineStr">
        <is>
          <t>때로는 취약한 모습을 보여도 괜찮아.</t>
        </is>
      </c>
      <c r="G3" s="9">
        <f>HYPERLINK("https://www.youtube.com/watch?v=gA4OSs3w5Mw", "영상 보기 ▶")</f>
        <v/>
      </c>
    </row>
    <row r="4" ht="26" customHeight="1">
      <c r="A4" s="2" t="n">
        <v>403</v>
      </c>
      <c r="B4" s="3" t="inlineStr">
        <is>
          <t>분야 한정</t>
        </is>
      </c>
      <c r="C4" s="4" t="inlineStr">
        <is>
          <t>When it comes to ~</t>
        </is>
      </c>
      <c r="D4" s="11" t="inlineStr">
        <is>
          <t>~에 있어서라면, ~에 관해서라면</t>
        </is>
      </c>
      <c r="E4" s="11" t="inlineStr">
        <is>
          <t>When it comes to negotiation, he is an expert.</t>
        </is>
      </c>
      <c r="F4" s="11" t="inlineStr">
        <is>
          <t>협상에 있어서라면 그는 최고 전문가야.</t>
        </is>
      </c>
      <c r="G4" s="5">
        <f>HYPERLINK("https://www.youtube.com/watch?v=gA4OSs3w5Mw", "영상 보기 ▶")</f>
        <v/>
      </c>
    </row>
    <row r="5" ht="26" customHeight="1">
      <c r="A5" s="6" t="n">
        <v>404</v>
      </c>
      <c r="B5" s="7" t="inlineStr">
        <is>
          <t>비교 표현</t>
        </is>
      </c>
      <c r="C5" s="8" t="inlineStr">
        <is>
          <t>as ~ as possible</t>
        </is>
      </c>
      <c r="D5" s="12" t="inlineStr">
        <is>
          <t>가능한 한 ~하게</t>
        </is>
      </c>
      <c r="E5" s="12" t="inlineStr">
        <is>
          <t>Please handle this as discreetly as possible.</t>
        </is>
      </c>
      <c r="F5" s="12" t="inlineStr">
        <is>
          <t>이 일은 가능한 한 조용하고 신중하게 처리해 주세요.</t>
        </is>
      </c>
      <c r="G5" s="9">
        <f>HYPERLINK("https://www.youtube.com/watch?v=gA4OSs3w5Mw", "영상 보기 ▶")</f>
        <v/>
      </c>
    </row>
    <row r="6" ht="26" customHeight="1">
      <c r="A6" s="2" t="n">
        <v>405</v>
      </c>
      <c r="B6" s="3" t="inlineStr">
        <is>
          <t>검토 중</t>
        </is>
      </c>
      <c r="C6" s="4" t="inlineStr">
        <is>
          <t>on the table</t>
        </is>
      </c>
      <c r="D6" s="11" t="inlineStr">
        <is>
          <t>(제안이나 계획이) 논의/고려 대상인</t>
        </is>
      </c>
      <c r="E6" s="11" t="inlineStr">
        <is>
          <t>All options are currently on the table.</t>
        </is>
      </c>
      <c r="F6" s="11" t="inlineStr">
        <is>
          <t>현재 모든 선택지가 논의 테이블 위에 올라와 있어.</t>
        </is>
      </c>
      <c r="G6" s="5">
        <f>HYPERLINK("https://www.youtube.com/watch?v=gA4OSs3w5Mw", "영상 보기 ▶")</f>
        <v/>
      </c>
    </row>
    <row r="7" ht="26" customHeight="1">
      <c r="A7" s="6" t="n">
        <v>406</v>
      </c>
      <c r="B7" s="7" t="inlineStr">
        <is>
          <t>검토 제외</t>
        </is>
      </c>
      <c r="C7" s="8" t="inlineStr">
        <is>
          <t>off the table</t>
        </is>
      </c>
      <c r="D7" s="12" t="inlineStr">
        <is>
          <t>논외인, 고려 대상에서 완전히 제외된</t>
        </is>
      </c>
      <c r="E7" s="12" t="inlineStr">
        <is>
          <t>Price reduction is completely off the table.</t>
        </is>
      </c>
      <c r="F7" s="12" t="inlineStr">
        <is>
          <t>가격 인하는 절대 고려 대상이 아닙니다.</t>
        </is>
      </c>
      <c r="G7" s="9">
        <f>HYPERLINK("https://www.youtube.com/watch?v=gA4OSs3w5Mw", "영상 보기 ▶")</f>
        <v/>
      </c>
    </row>
    <row r="8" ht="26" customHeight="1">
      <c r="A8" s="2" t="n">
        <v>407</v>
      </c>
      <c r="B8" s="3" t="inlineStr">
        <is>
          <t>기여/제안</t>
        </is>
      </c>
      <c r="C8" s="4" t="inlineStr">
        <is>
          <t>bring to the table</t>
        </is>
      </c>
      <c r="D8" s="11" t="inlineStr">
        <is>
          <t>(협상 등에) 이익을 가져오다, 기여하다</t>
        </is>
      </c>
      <c r="E8" s="11" t="inlineStr">
        <is>
          <t>What skills do you bring to the table?</t>
        </is>
      </c>
      <c r="F8" s="11" t="inlineStr">
        <is>
          <t>우리 회사에 어떤 가치와 역량을 기여할 수 있나요?</t>
        </is>
      </c>
      <c r="G8" s="5">
        <f>HYPERLINK("https://www.youtube.com/watch?v=gA4OSs3w5Mw", "영상 보기 ▶")</f>
        <v/>
      </c>
    </row>
    <row r="9" ht="26" customHeight="1">
      <c r="A9" s="6" t="n">
        <v>408</v>
      </c>
      <c r="B9" s="7" t="inlineStr">
        <is>
          <t>무리/억지</t>
        </is>
      </c>
      <c r="C9" s="8" t="inlineStr">
        <is>
          <t>It's a stretch</t>
        </is>
      </c>
      <c r="D9" s="12" t="inlineStr">
        <is>
          <t>그건 무리야, 억지 주장이야</t>
        </is>
      </c>
      <c r="E9" s="12" t="inlineStr">
        <is>
          <t>To say he did it alone is a big stretch.</t>
        </is>
      </c>
      <c r="F9" s="12" t="inlineStr">
        <is>
          <t>그걸 그 사람 혼자 다 했다고 말하는 건 너무 억지야.</t>
        </is>
      </c>
      <c r="G9" s="9">
        <f>HYPERLINK("https://www.youtube.com/watch?v=gA4OSs3w5Mw", "영상 보기 ▶")</f>
        <v/>
      </c>
    </row>
    <row r="10" ht="26" customHeight="1">
      <c r="A10" s="2" t="n">
        <v>409</v>
      </c>
      <c r="B10" s="3" t="inlineStr">
        <is>
          <t>기세/탄력</t>
        </is>
      </c>
      <c r="C10" s="4" t="inlineStr">
        <is>
          <t>momentum</t>
        </is>
      </c>
      <c r="D10" s="11" t="inlineStr">
        <is>
          <t>일의 탄력, 가속도, 거침없는 기세</t>
        </is>
      </c>
      <c r="E10" s="11" t="inlineStr">
        <is>
          <t>We need to maintain this momentum.</t>
        </is>
      </c>
      <c r="F10" s="11" t="inlineStr">
        <is>
          <t>우리는 이 상승 탄력과 기세를 유지해야 해.</t>
        </is>
      </c>
      <c r="G10" s="5">
        <f>HYPERLINK("https://www.youtube.com/watch?v=gA4OSs3w5Mw", "영상 보기 ▶")</f>
        <v/>
      </c>
    </row>
    <row r="11" ht="26" customHeight="1">
      <c r="A11" s="6" t="n">
        <v>410</v>
      </c>
      <c r="B11" s="7" t="inlineStr">
        <is>
          <t>주량 표현</t>
        </is>
      </c>
      <c r="C11" s="8" t="inlineStr">
        <is>
          <t>light drinker</t>
        </is>
      </c>
      <c r="D11" s="12" t="inlineStr">
        <is>
          <t>술을 잘 못 마시는 사람, 주량이 약한 사람</t>
        </is>
      </c>
      <c r="E11" s="12" t="inlineStr">
        <is>
          <t>I'm a light drinker, so one beer is enough.</t>
        </is>
      </c>
      <c r="F11" s="12" t="inlineStr">
        <is>
          <t>나 술이 약해서 맥주 한 잔이면 충분해.</t>
        </is>
      </c>
      <c r="G11" s="9">
        <f>HYPERLINK("https://www.youtube.com/watch?v=gA4OSs3w5Mw", "영상 보기 ▶")</f>
        <v/>
      </c>
    </row>
    <row r="12" ht="26" customHeight="1">
      <c r="A12" s="2" t="n">
        <v>411</v>
      </c>
      <c r="B12" s="3" t="inlineStr">
        <is>
          <t>내성/주량</t>
        </is>
      </c>
      <c r="C12" s="4" t="inlineStr">
        <is>
          <t>tolerance</t>
        </is>
      </c>
      <c r="D12" s="11" t="inlineStr">
        <is>
          <t>주량, 약에 대한 내성, 관용</t>
        </is>
      </c>
      <c r="E12" s="11" t="inlineStr">
        <is>
          <t>I have a very low alcohol tolerance.</t>
        </is>
      </c>
      <c r="F12" s="11" t="inlineStr">
        <is>
          <t>난 알코올 분해 능력이 아주 약해.</t>
        </is>
      </c>
      <c r="G12" s="5">
        <f>HYPERLINK("https://www.youtube.com/watch?v=gA4OSs3w5Mw", "영상 보기 ▶")</f>
        <v/>
      </c>
    </row>
    <row r="13" ht="26" customHeight="1">
      <c r="A13" s="6" t="n">
        <v>412</v>
      </c>
      <c r="B13" s="7" t="inlineStr">
        <is>
          <t>엄격 원칙</t>
        </is>
      </c>
      <c r="C13" s="8" t="inlineStr">
        <is>
          <t>zero tolerance</t>
        </is>
      </c>
      <c r="D13" s="12" t="inlineStr">
        <is>
          <t>무관용 원칙 (절대 용납하지 않음)</t>
        </is>
      </c>
      <c r="E13" s="12" t="inlineStr">
        <is>
          <t>Our company has zero tolerance for harassment.</t>
        </is>
      </c>
      <c r="F13" s="12" t="inlineStr">
        <is>
          <t>우리 회사는 괴롭힘에 대해 무관용 원칙을 적용합니다.</t>
        </is>
      </c>
      <c r="G13" s="9">
        <f>HYPERLINK("https://www.youtube.com/watch?v=gA4OSs3w5Mw", "영상 보기 ▶")</f>
        <v/>
      </c>
    </row>
    <row r="14" ht="26" customHeight="1">
      <c r="A14" s="2" t="n">
        <v>413</v>
      </c>
      <c r="B14" s="3" t="inlineStr">
        <is>
          <t>축하 분위기</t>
        </is>
      </c>
      <c r="C14" s="4" t="inlineStr">
        <is>
          <t>cause for celebration</t>
        </is>
      </c>
      <c r="D14" s="11" t="inlineStr">
        <is>
          <t>축하할 만한 경사, 기념할 일</t>
        </is>
      </c>
      <c r="E14" s="11" t="inlineStr">
        <is>
          <t>Closing this deal is a real cause for celebration.</t>
        </is>
      </c>
      <c r="F14" s="11" t="inlineStr">
        <is>
          <t>이번 계약 체결은 정말 축하할 만한 경사야.</t>
        </is>
      </c>
      <c r="G14" s="5">
        <f>HYPERLINK("https://www.youtube.com/watch?v=gA4OSs3w5Mw", "영상 보기 ▶")</f>
        <v/>
      </c>
    </row>
    <row r="15" ht="26" customHeight="1">
      <c r="A15" s="6" t="n">
        <v>414</v>
      </c>
      <c r="B15" s="7" t="inlineStr">
        <is>
          <t>위압감</t>
        </is>
      </c>
      <c r="C15" s="8" t="inlineStr">
        <is>
          <t>intimidating</t>
        </is>
      </c>
      <c r="D15" s="12" t="inlineStr">
        <is>
          <t>(기죽을 만큼) 위협적인, 다가가기 힘든</t>
        </is>
      </c>
      <c r="E15" s="12" t="inlineStr">
        <is>
          <t>The new boss can seem a bit intimidating.</t>
        </is>
      </c>
      <c r="F15" s="12" t="inlineStr">
        <is>
          <t>새 상사분은 처음엔 좀 위압적으로 느껴질 수 있어.</t>
        </is>
      </c>
      <c r="G15" s="9">
        <f>HYPERLINK("https://www.youtube.com/watch?v=gA4OSs3w5Mw", "영상 보기 ▶")</f>
        <v/>
      </c>
    </row>
    <row r="16" ht="26" customHeight="1">
      <c r="A16" s="2" t="n">
        <v>415</v>
      </c>
      <c r="B16" s="3" t="inlineStr">
        <is>
          <t>부정 표현</t>
        </is>
      </c>
      <c r="C16" s="4" t="inlineStr">
        <is>
          <t>There's no such thing as ~</t>
        </is>
      </c>
      <c r="D16" s="11" t="inlineStr">
        <is>
          <t>~같은 그런 건 세상에 없어</t>
        </is>
      </c>
      <c r="E16" s="11" t="inlineStr">
        <is>
          <t>There's no such thing as a free lunch.</t>
        </is>
      </c>
      <c r="F16" s="11" t="inlineStr">
        <is>
          <t>세상에 공짜 점심 같은 건 없어.</t>
        </is>
      </c>
      <c r="G16" s="5">
        <f>HYPERLINK("https://www.youtube.com/watch?v=gA4OSs3w5Mw", "영상 보기 ▶")</f>
        <v/>
      </c>
    </row>
    <row r="17" ht="26" customHeight="1">
      <c r="A17" s="6" t="n">
        <v>416</v>
      </c>
      <c r="B17" s="7" t="inlineStr">
        <is>
          <t>최상의 상태</t>
        </is>
      </c>
      <c r="C17" s="8" t="inlineStr">
        <is>
          <t>Couldn't be better</t>
        </is>
      </c>
      <c r="D17" s="12" t="inlineStr">
        <is>
          <t>더할 나위 없이 최고야 (더 좋을 수 없어)</t>
        </is>
      </c>
      <c r="E17" s="12" t="inlineStr">
        <is>
          <t>How are you doing? - Couldn't be better!</t>
        </is>
      </c>
      <c r="F17" s="12" t="inlineStr">
        <is>
          <t>어떻게 지내? - 더할 나위 없이 아주 최고지!</t>
        </is>
      </c>
      <c r="G17" s="9">
        <f>HYPERLINK("https://www.youtube.com/watch?v=gA4OSs3w5Mw", "영상 보기 ▶")</f>
        <v/>
      </c>
    </row>
    <row r="18" ht="26" customHeight="1">
      <c r="A18" s="2" t="n">
        <v>417</v>
      </c>
      <c r="B18" s="3" t="inlineStr">
        <is>
          <t>최악의 상태</t>
        </is>
      </c>
      <c r="C18" s="4" t="inlineStr">
        <is>
          <t>Couldn't be worse</t>
        </is>
      </c>
      <c r="D18" s="11" t="inlineStr">
        <is>
          <t>더 나쁠 수가 없을 만큼 최악이야</t>
        </is>
      </c>
      <c r="E18" s="11" t="inlineStr">
        <is>
          <t>The timing couldn't be worse.</t>
        </is>
      </c>
      <c r="F18" s="11" t="inlineStr">
        <is>
          <t>타이밍이 이보다 더 최악일 수는 없어.</t>
        </is>
      </c>
      <c r="G18" s="5">
        <f>HYPERLINK("https://www.youtube.com/watch?v=gA4OSs3w5Mw", "영상 보기 ▶")</f>
        <v/>
      </c>
    </row>
    <row r="19" ht="26" customHeight="1">
      <c r="A19" s="6" t="n">
        <v>418</v>
      </c>
      <c r="B19" s="7" t="inlineStr">
        <is>
          <t>위로 격언</t>
        </is>
      </c>
      <c r="C19" s="8" t="inlineStr">
        <is>
          <t>This, too, shall pass</t>
        </is>
      </c>
      <c r="D19" s="12" t="inlineStr">
        <is>
          <t>(힘든 시기에) 이 또한 다 지나가리라</t>
        </is>
      </c>
      <c r="E19" s="12" t="inlineStr">
        <is>
          <t>Stay strong. This, too, shall pass.</t>
        </is>
      </c>
      <c r="F19" s="12" t="inlineStr">
        <is>
          <t>힘내. 이 힘든 시간 또한 다 지나갈 거야.</t>
        </is>
      </c>
      <c r="G19" s="9">
        <f>HYPERLINK("https://www.youtube.com/watch?v=gA4OSs3w5Mw", "영상 보기 ▶")</f>
        <v/>
      </c>
    </row>
    <row r="20" ht="26" customHeight="1">
      <c r="A20" s="2" t="n">
        <v>419</v>
      </c>
      <c r="B20" s="3" t="inlineStr">
        <is>
          <t>안도 표현</t>
        </is>
      </c>
      <c r="C20" s="4" t="inlineStr">
        <is>
          <t>Could be worse</t>
        </is>
      </c>
      <c r="D20" s="11" t="inlineStr">
        <is>
          <t>이만하길 다행이지 (더 나빴을 수도 있었어)</t>
        </is>
      </c>
      <c r="E20" s="11" t="inlineStr">
        <is>
          <t>We lost the file, but could be worse.</t>
        </is>
      </c>
      <c r="F20" s="11" t="inlineStr">
        <is>
          <t>파일을 날리긴 했지만 이만하길 다행이지.</t>
        </is>
      </c>
      <c r="G20" s="5">
        <f>HYPERLINK("https://www.youtube.com/watch?v=gA4OSs3w5Mw", "영상 보기 ▶")</f>
        <v/>
      </c>
    </row>
    <row r="21" ht="26" customHeight="1">
      <c r="A21" s="6" t="n">
        <v>420</v>
      </c>
      <c r="B21" s="7" t="inlineStr">
        <is>
          <t>편한 권유</t>
        </is>
      </c>
      <c r="C21" s="8" t="inlineStr">
        <is>
          <t>Don't be shy</t>
        </is>
      </c>
      <c r="D21" s="12" t="inlineStr">
        <is>
          <t>눈치 보지 말고 편히 드세요/하세요</t>
        </is>
      </c>
      <c r="E21" s="12" t="inlineStr">
        <is>
          <t>There's plenty of food, don't be shy!</t>
        </is>
      </c>
      <c r="F21" s="12" t="inlineStr">
        <is>
          <t>음식 많으니까 눈치 보지 말고 편하게 맘껏 드세요!</t>
        </is>
      </c>
      <c r="G21" s="9">
        <f>HYPERLINK("https://www.youtube.com/watch?v=gA4OSs3w5Mw", "영상 보기 ▶")</f>
        <v/>
      </c>
    </row>
    <row r="22" ht="26" customHeight="1">
      <c r="A22" s="2" t="n">
        <v>421</v>
      </c>
      <c r="B22" s="3" t="inlineStr">
        <is>
          <t>참신함</t>
        </is>
      </c>
      <c r="C22" s="4" t="inlineStr">
        <is>
          <t>novel</t>
        </is>
      </c>
      <c r="D22" s="11" t="inlineStr">
        <is>
          <t>기존에 없던 참신하고 독창적인</t>
        </is>
      </c>
      <c r="E22" s="11" t="inlineStr">
        <is>
          <t>She suggested a novel approach to the problem.</t>
        </is>
      </c>
      <c r="F22" s="11" t="inlineStr">
        <is>
          <t>그녀는 그 문제에 대해 아주 참신한 접근법을 제안했어.</t>
        </is>
      </c>
      <c r="G22" s="5">
        <f>HYPERLINK("https://www.youtube.com/watch?v=gA4OSs3w5Mw", "영상 보기 ▶")</f>
        <v/>
      </c>
    </row>
    <row r="23" ht="26" customHeight="1">
      <c r="A23" s="6" t="n">
        <v>422</v>
      </c>
      <c r="B23" s="7" t="inlineStr">
        <is>
          <t>겸손 유머</t>
        </is>
      </c>
      <c r="C23" s="8" t="inlineStr">
        <is>
          <t>I have my moments</t>
        </is>
      </c>
      <c r="D23" s="12" t="inlineStr">
        <is>
          <t>나도 가끔은 밥값 해 / 잘할 때도 있어</t>
        </is>
      </c>
      <c r="E23" s="12" t="inlineStr">
        <is>
          <t>You solved it! - Well, I have my moments.</t>
        </is>
      </c>
      <c r="F23" s="12" t="inlineStr">
        <is>
          <t>네가 풀었어? - 하하, 나도 가끔은 제 몫을 한다니까.</t>
        </is>
      </c>
      <c r="G23" s="9">
        <f>HYPERLINK("https://www.youtube.com/watch?v=gA4OSs3w5Mw", "영상 보기 ▶")</f>
        <v/>
      </c>
    </row>
    <row r="24" ht="26" customHeight="1">
      <c r="A24" s="2" t="n">
        <v>423</v>
      </c>
      <c r="B24" s="3" t="inlineStr">
        <is>
          <t>가벼운 핀잔</t>
        </is>
      </c>
      <c r="C24" s="4" t="inlineStr">
        <is>
          <t>silly</t>
        </is>
      </c>
      <c r="D24" s="11" t="inlineStr">
        <is>
          <t>엉뚱한, 쓸데없는 걱정을 하는</t>
        </is>
      </c>
      <c r="E24" s="11" t="inlineStr">
        <is>
          <t>Don't be silly, of course you're invited.</t>
        </is>
      </c>
      <c r="F24" s="11" t="inlineStr">
        <is>
          <t>쓸데없는 소리 하지 마, 당연히 너도 초대받았지.</t>
        </is>
      </c>
      <c r="G24" s="5">
        <f>HYPERLINK("https://www.youtube.com/watch?v=gA4OSs3w5Mw", "영상 보기 ▶")</f>
        <v/>
      </c>
    </row>
    <row r="25" ht="26" customHeight="1">
      <c r="A25" s="6" t="n">
        <v>424</v>
      </c>
      <c r="B25" s="7" t="inlineStr">
        <is>
          <t>기획/조율</t>
        </is>
      </c>
      <c r="C25" s="8" t="inlineStr">
        <is>
          <t>orchestrate</t>
        </is>
      </c>
      <c r="D25" s="12" t="inlineStr">
        <is>
          <t>(배후에서 치밀하게) 조율하고 기획하다</t>
        </is>
      </c>
      <c r="E25" s="12" t="inlineStr">
        <is>
          <t>She orchestrated the entire marketing campaign.</t>
        </is>
      </c>
      <c r="F25" s="12" t="inlineStr">
        <is>
          <t>그녀가 마케팅 캠페인 전체를 총괄 기획했어.</t>
        </is>
      </c>
      <c r="G25" s="9">
        <f>HYPERLINK("https://www.youtube.com/watch?v=gA4OSs3w5Mw", "영상 보기 ▶")</f>
        <v/>
      </c>
    </row>
    <row r="26" ht="26" customHeight="1">
      <c r="A26" s="2" t="n">
        <v>425</v>
      </c>
      <c r="B26" s="3" t="inlineStr">
        <is>
          <t>즉각 생각</t>
        </is>
      </c>
      <c r="C26" s="4" t="inlineStr">
        <is>
          <t>off the top of my head</t>
        </is>
      </c>
      <c r="D26" s="11" t="inlineStr">
        <is>
          <t>지금 당장 머릿속에 떠오르는 생각으로는</t>
        </is>
      </c>
      <c r="E26" s="11" t="inlineStr">
        <is>
          <t>Off the top of my head, I think it costs $50.</t>
        </is>
      </c>
      <c r="F26" s="11" t="inlineStr">
        <is>
          <t>지금 당장 기억나는 바로는 50달러 정도 했던 것 같아.</t>
        </is>
      </c>
      <c r="G26" s="5">
        <f>HYPERLINK("https://www.youtube.com/watch?v=gA4OSs3w5Mw", "영상 보기 ▶")</f>
        <v/>
      </c>
    </row>
    <row r="27" ht="26" customHeight="1">
      <c r="A27" s="6" t="n">
        <v>426</v>
      </c>
      <c r="B27" s="7" t="inlineStr">
        <is>
          <t>사소한 차질</t>
        </is>
      </c>
      <c r="C27" s="8" t="inlineStr">
        <is>
          <t>hiccup</t>
        </is>
      </c>
      <c r="D27" s="12" t="inlineStr">
        <is>
          <t>일시적인 작은 차질, 가벼운 장애</t>
        </is>
      </c>
      <c r="E27" s="12" t="inlineStr">
        <is>
          <t>We had a small technical hiccup, but it's fixed.</t>
        </is>
      </c>
      <c r="F27" s="12" t="inlineStr">
        <is>
          <t>약간의 기술적 차질이 있었지만 지금은 해결됐어요.</t>
        </is>
      </c>
      <c r="G27" s="9">
        <f>HYPERLINK("https://www.youtube.com/watch?v=gA4OSs3w5Mw", "영상 보기 ▶")</f>
        <v/>
      </c>
    </row>
    <row r="28" ht="26" customHeight="1">
      <c r="A28" s="2" t="n">
        <v>427</v>
      </c>
      <c r="B28" s="3" t="inlineStr">
        <is>
          <t>위태로움</t>
        </is>
      </c>
      <c r="C28" s="4" t="inlineStr">
        <is>
          <t>on the line</t>
        </is>
      </c>
      <c r="D28" s="11" t="inlineStr">
        <is>
          <t>(명예, 직업 등이) 위험에 처한, 걸려 있는</t>
        </is>
      </c>
      <c r="E28" s="11" t="inlineStr">
        <is>
          <t>My reputation is on the line here.</t>
        </is>
      </c>
      <c r="F28" s="11" t="inlineStr">
        <is>
          <t>여기 내 명예가 걸려 있단 말이야.</t>
        </is>
      </c>
      <c r="G28" s="5">
        <f>HYPERLINK("https://www.youtube.com/watch?v=gA4OSs3w5Mw", "영상 보기 ▶")</f>
        <v/>
      </c>
    </row>
    <row r="29" ht="26" customHeight="1">
      <c r="A29" s="6" t="n">
        <v>428</v>
      </c>
      <c r="B29" s="7" t="inlineStr">
        <is>
          <t>이해 점검</t>
        </is>
      </c>
      <c r="C29" s="8" t="inlineStr">
        <is>
          <t>Let me get this straight</t>
        </is>
      </c>
      <c r="D29" s="12" t="inlineStr">
        <is>
          <t>제가 제대로 이해한 게 맞는지 짚어볼게요</t>
        </is>
      </c>
      <c r="E29" s="12" t="inlineStr">
        <is>
          <t>Let me get this straight, you want me to cancel it?</t>
        </is>
      </c>
      <c r="F29" s="12" t="inlineStr">
        <is>
          <t>제가 정확히 이해한 게 맞나요, 제가 취소하길 바라시는 건가요?</t>
        </is>
      </c>
      <c r="G29" s="9">
        <f>HYPERLINK("https://www.youtube.com/watch?v=gA4OSs3w5Mw", "영상 보기 ▶")</f>
        <v/>
      </c>
    </row>
    <row r="30" ht="26" customHeight="1">
      <c r="A30" s="2" t="n">
        <v>429</v>
      </c>
      <c r="B30" s="3" t="inlineStr">
        <is>
          <t>소중함</t>
        </is>
      </c>
      <c r="C30" s="4" t="inlineStr">
        <is>
          <t>value</t>
        </is>
      </c>
      <c r="D30" s="11" t="inlineStr">
        <is>
          <t>~를 대단히 소중히 여기다, 귀하게 생각하다</t>
        </is>
      </c>
      <c r="E30" s="11" t="inlineStr">
        <is>
          <t>We value your partnership very much.</t>
        </is>
      </c>
      <c r="F30" s="11" t="inlineStr">
        <is>
          <t>우리는 당신과의 협력 관계를 매우 소중하게 여깁니다.</t>
        </is>
      </c>
      <c r="G30" s="5">
        <f>HYPERLINK("https://www.youtube.com/watch?v=gA4OSs3w5Mw", "영상 보기 ▶")</f>
        <v/>
      </c>
    </row>
    <row r="31" ht="26" customHeight="1">
      <c r="A31" s="6" t="n">
        <v>430</v>
      </c>
      <c r="B31" s="7" t="inlineStr">
        <is>
          <t>실수 배려</t>
        </is>
      </c>
      <c r="C31" s="8" t="inlineStr">
        <is>
          <t>honest mistake</t>
        </is>
      </c>
      <c r="D31" s="12" t="inlineStr">
        <is>
          <t>누구나 할 수 있는 순수한 실수</t>
        </is>
      </c>
      <c r="E31" s="12" t="inlineStr">
        <is>
          <t>It was an honest mistake, so don't worry.</t>
        </is>
      </c>
      <c r="F31" s="12" t="inlineStr">
        <is>
          <t>일부러 그런 게 아닌 순수한 실수였으니 걱정 마.</t>
        </is>
      </c>
      <c r="G31" s="9">
        <f>HYPERLINK("https://www.youtube.com/watch?v=gA4OSs3w5Mw", "영상 보기 ▶")</f>
        <v/>
      </c>
    </row>
    <row r="32" ht="26" customHeight="1">
      <c r="A32" s="2" t="n">
        <v>431</v>
      </c>
      <c r="B32" s="3" t="inlineStr">
        <is>
          <t>선의 강조</t>
        </is>
      </c>
      <c r="C32" s="4" t="inlineStr">
        <is>
          <t>mean well</t>
        </is>
      </c>
      <c r="D32" s="11" t="inlineStr">
        <is>
          <t>의도는 좋았다, 선의를 가지고 행동하다</t>
        </is>
      </c>
      <c r="E32" s="11" t="inlineStr">
        <is>
          <t>He can be blunt, but he means well.</t>
        </is>
      </c>
      <c r="F32" s="11" t="inlineStr">
        <is>
          <t>그가 말이 좀 직설적이긴 해도 나쁜 뜻으로 그런 건 아니야.</t>
        </is>
      </c>
      <c r="G32" s="5">
        <f>HYPERLINK("https://www.youtube.com/watch?v=gA4OSs3w5Mw", "영상 보기 ▶")</f>
        <v/>
      </c>
    </row>
    <row r="33" ht="26" customHeight="1">
      <c r="A33" s="6" t="n">
        <v>432</v>
      </c>
      <c r="B33" s="7" t="inlineStr">
        <is>
          <t>진지 전환</t>
        </is>
      </c>
      <c r="C33" s="8" t="inlineStr">
        <is>
          <t>All jokes aside,</t>
        </is>
      </c>
      <c r="D33" s="12" t="inlineStr">
        <is>
          <t>농담은 다 제쳐두고, 진지하게 말해서</t>
        </is>
      </c>
      <c r="E33" s="12" t="inlineStr">
        <is>
          <t>All jokes aside, we have a serious issue to discuss.</t>
        </is>
      </c>
      <c r="F33" s="12" t="inlineStr">
        <is>
          <t>농담은 다 접어두고, 우리 진지하게 의논할 사안이 있어.</t>
        </is>
      </c>
      <c r="G33" s="9">
        <f>HYPERLINK("https://www.youtube.com/watch?v=gA4OSs3w5Mw", "영상 보기 ▶")</f>
        <v/>
      </c>
    </row>
    <row r="34" ht="26" customHeight="1">
      <c r="A34" s="2" t="n">
        <v>433</v>
      </c>
      <c r="B34" s="3" t="inlineStr">
        <is>
          <t>간과/용서</t>
        </is>
      </c>
      <c r="C34" s="4" t="inlineStr">
        <is>
          <t>overlook</t>
        </is>
      </c>
      <c r="D34" s="11" t="inlineStr">
        <is>
          <t>못 본 체 넘어가 주다, 간과하다</t>
        </is>
      </c>
      <c r="E34" s="11" t="inlineStr">
        <is>
          <t>Can you overlook his mistake just this once?</t>
        </is>
      </c>
      <c r="F34" s="11" t="inlineStr">
        <is>
          <t>이번 딱 한 번만 그의 실수를 눈감아 주실 수 있나요?</t>
        </is>
      </c>
      <c r="G34" s="5">
        <f>HYPERLINK("https://www.youtube.com/watch?v=gA4OSs3w5Mw", "영상 보기 ▶")</f>
        <v/>
      </c>
    </row>
    <row r="35" ht="26" customHeight="1">
      <c r="A35" s="6" t="n">
        <v>434</v>
      </c>
      <c r="B35" s="7" t="inlineStr">
        <is>
          <t>공동 운명</t>
        </is>
      </c>
      <c r="C35" s="8" t="inlineStr">
        <is>
          <t>in the same boat</t>
        </is>
      </c>
      <c r="D35" s="12" t="inlineStr">
        <is>
          <t>한 배를 탄 처지이다, 같은 어려움에 처하다</t>
        </is>
      </c>
      <c r="E35" s="12" t="inlineStr">
        <is>
          <t>We are all in the same boat now.</t>
        </is>
      </c>
      <c r="F35" s="12" t="inlineStr">
        <is>
          <t>우린 이제 모두 한 배를 탄 공동 운명체야.</t>
        </is>
      </c>
      <c r="G35" s="9">
        <f>HYPERLINK("https://www.youtube.com/watch?v=gA4OSs3w5Mw", "영상 보기 ▶")</f>
        <v/>
      </c>
    </row>
    <row r="36" ht="26" customHeight="1">
      <c r="A36" s="2" t="n">
        <v>435</v>
      </c>
      <c r="B36" s="3" t="inlineStr">
        <is>
          <t>상호 반대</t>
        </is>
      </c>
      <c r="C36" s="4" t="inlineStr">
        <is>
          <t>vice versa</t>
        </is>
      </c>
      <c r="D36" s="11" t="inlineStr">
        <is>
          <t>역도 마찬가지이다, 반대의 경우도 성립한다</t>
        </is>
      </c>
      <c r="E36" s="11" t="inlineStr">
        <is>
          <t>He trusts me, and vice versa.</t>
        </is>
      </c>
      <c r="F36" s="11" t="inlineStr">
        <is>
          <t>그는 날 믿고, 나 또한 그를 믿어.</t>
        </is>
      </c>
      <c r="G36" s="5">
        <f>HYPERLINK("https://www.youtube.com/watch?v=gA4OSs3w5Mw", "영상 보기 ▶")</f>
        <v/>
      </c>
    </row>
    <row r="37" ht="26" customHeight="1">
      <c r="A37" s="6" t="n">
        <v>436</v>
      </c>
      <c r="B37" s="7" t="inlineStr">
        <is>
          <t>형식주의</t>
        </is>
      </c>
      <c r="C37" s="8" t="inlineStr">
        <is>
          <t>formality</t>
        </is>
      </c>
      <c r="D37" s="12" t="inlineStr">
        <is>
          <t>단순히 형식적인 절차</t>
        </is>
      </c>
      <c r="E37" s="12" t="inlineStr">
        <is>
          <t>Signing the paper is just a formality.</t>
        </is>
      </c>
      <c r="F37" s="12" t="inlineStr">
        <is>
          <t>서류 서명은 그저 형식적인 절차일 뿐이에요.</t>
        </is>
      </c>
      <c r="G37" s="9">
        <f>HYPERLINK("https://www.youtube.com/watch?v=gA4OSs3w5Mw", "영상 보기 ▶")</f>
        <v/>
      </c>
    </row>
    <row r="38" ht="26" customHeight="1">
      <c r="A38" s="2" t="n">
        <v>437</v>
      </c>
      <c r="B38" s="3" t="inlineStr">
        <is>
          <t>미련 금지</t>
        </is>
      </c>
      <c r="C38" s="4" t="inlineStr">
        <is>
          <t>Don't dwell on it</t>
        </is>
      </c>
      <c r="D38" s="11" t="inlineStr">
        <is>
          <t>마음에 담아두지 마, 자꾸 되새기지 마</t>
        </is>
      </c>
      <c r="E38" s="11" t="inlineStr">
        <is>
          <t>What's done is done, don't dwell on it.</t>
        </is>
      </c>
      <c r="F38" s="11" t="inlineStr">
        <is>
          <t>이미 벌어진 일이야, 자꾸 마음에 담아두지 마.</t>
        </is>
      </c>
      <c r="G38" s="5">
        <f>HYPERLINK("https://www.youtube.com/watch?v=gA4OSs3w5Mw", "영상 보기 ▶")</f>
        <v/>
      </c>
    </row>
    <row r="39" ht="26" customHeight="1">
      <c r="A39" s="6" t="n">
        <v>438</v>
      </c>
      <c r="B39" s="7" t="inlineStr">
        <is>
          <t>기분 전환</t>
        </is>
      </c>
      <c r="C39" s="8" t="inlineStr">
        <is>
          <t>Don't let it ruin your day</t>
        </is>
      </c>
      <c r="D39" s="12" t="inlineStr">
        <is>
          <t>그것 때문에 하루 기분 망치지 마</t>
        </is>
      </c>
      <c r="E39" s="12" t="inlineStr">
        <is>
          <t>It's minor, don't let it ruin your day.</t>
        </is>
      </c>
      <c r="F39" s="12" t="inlineStr">
        <is>
          <t>사소한 일이야, 그것 때문에 하루 기분 잡치지 마.</t>
        </is>
      </c>
      <c r="G39" s="9">
        <f>HYPERLINK("https://www.youtube.com/watch?v=gA4OSs3w5Mw", "영상 보기 ▶")</f>
        <v/>
      </c>
    </row>
    <row r="40" ht="26" customHeight="1">
      <c r="A40" s="2" t="n">
        <v>439</v>
      </c>
      <c r="B40" s="3" t="inlineStr">
        <is>
          <t>타이밍 부적절</t>
        </is>
      </c>
      <c r="C40" s="4" t="inlineStr">
        <is>
          <t>Now is not the time</t>
        </is>
      </c>
      <c r="D40" s="11" t="inlineStr">
        <is>
          <t>지금은 그럴 때가 아니야</t>
        </is>
      </c>
      <c r="E40" s="11" t="inlineStr">
        <is>
          <t>Now is not the time to argue.</t>
        </is>
      </c>
      <c r="F40" s="11" t="inlineStr">
        <is>
          <t>지금은 서로 다투고 있을 때가 아니야.</t>
        </is>
      </c>
      <c r="G40" s="5">
        <f>HYPERLINK("https://www.youtube.com/watch?v=gA4OSs3w5Mw", "영상 보기 ▶")</f>
        <v/>
      </c>
    </row>
    <row r="41" ht="26" customHeight="1">
      <c r="A41" s="6" t="n">
        <v>440</v>
      </c>
      <c r="B41" s="7" t="inlineStr">
        <is>
          <t>책임 전가</t>
        </is>
      </c>
      <c r="C41" s="8" t="inlineStr">
        <is>
          <t>point fingers</t>
        </is>
      </c>
      <c r="D41" s="12" t="inlineStr">
        <is>
          <t>남 탓을 하다, 책임을 전가하다</t>
        </is>
      </c>
      <c r="E41" s="12" t="inlineStr">
        <is>
          <t>Instead of pointing fingers, let's find a solution.</t>
        </is>
      </c>
      <c r="F41" s="12" t="inlineStr">
        <is>
          <t>남 탓만 하지 말고 해결책을 찾읍시다.</t>
        </is>
      </c>
      <c r="G41" s="9">
        <f>HYPERLINK("https://www.youtube.com/watch?v=gA4OSs3w5Mw", "영상 보기 ▶")</f>
        <v/>
      </c>
    </row>
    <row r="42" ht="26" customHeight="1">
      <c r="A42" s="2" t="n">
        <v>441</v>
      </c>
      <c r="B42" s="3" t="inlineStr">
        <is>
          <t>당연한 시점</t>
        </is>
      </c>
      <c r="C42" s="4" t="inlineStr">
        <is>
          <t>It's about time</t>
        </is>
      </c>
      <c r="D42" s="11" t="inlineStr">
        <is>
          <t>진작에 그랬어야지 / 이제야 때가 됐네</t>
        </is>
      </c>
      <c r="E42" s="11" t="inlineStr">
        <is>
          <t>You apologized? It's about time!</t>
        </is>
      </c>
      <c r="F42" s="11" t="inlineStr">
        <is>
          <t>사과했어? 진작에 그랬어야지!</t>
        </is>
      </c>
      <c r="G42" s="5">
        <f>HYPERLINK("https://www.youtube.com/watch?v=gA4OSs3w5Mw", "영상 보기 ▶")</f>
        <v/>
      </c>
    </row>
    <row r="43" ht="26" customHeight="1">
      <c r="A43" s="6" t="n">
        <v>442</v>
      </c>
      <c r="B43" s="7" t="inlineStr">
        <is>
          <t>결론 요약</t>
        </is>
      </c>
      <c r="C43" s="8" t="inlineStr">
        <is>
          <t>At the end of the day,</t>
        </is>
      </c>
      <c r="D43" s="12" t="inlineStr">
        <is>
          <t>결국, 하루를 결산하며 따져보면</t>
        </is>
      </c>
      <c r="E43" s="12" t="inlineStr">
        <is>
          <t>At the end of the day, quality matters most.</t>
        </is>
      </c>
      <c r="F43" s="12" t="inlineStr">
        <is>
          <t>결국 따지고 보면 품질이 가장 중요한 법이야.</t>
        </is>
      </c>
      <c r="G43" s="9">
        <f>HYPERLINK("https://www.youtube.com/watch?v=gA4OSs3w5Mw", "영상 보기 ▶")</f>
        <v/>
      </c>
    </row>
    <row r="44" ht="26" customHeight="1">
      <c r="A44" s="2" t="n">
        <v>443</v>
      </c>
      <c r="B44" s="3" t="inlineStr">
        <is>
          <t>건배 제의</t>
        </is>
      </c>
      <c r="C44" s="4" t="inlineStr">
        <is>
          <t>Here's to ~</t>
        </is>
      </c>
      <c r="D44" s="11" t="inlineStr">
        <is>
          <t>~를 위하여! (건배사)</t>
        </is>
      </c>
      <c r="E44" s="11" t="inlineStr">
        <is>
          <t>Here's to our new partnership!</t>
        </is>
      </c>
      <c r="F44" s="11" t="inlineStr">
        <is>
          <t>우리의 새로운 파트너십을 위하여 건배!</t>
        </is>
      </c>
      <c r="G44" s="5">
        <f>HYPERLINK("https://www.youtube.com/watch?v=gA4OSs3w5Mw", "영상 보기 ▶")</f>
        <v/>
      </c>
    </row>
    <row r="45" ht="26" customHeight="1">
      <c r="A45" s="6" t="n">
        <v>444</v>
      </c>
      <c r="B45" s="7" t="inlineStr">
        <is>
          <t>맨정신</t>
        </is>
      </c>
      <c r="C45" s="8" t="inlineStr">
        <is>
          <t>sober</t>
        </is>
      </c>
      <c r="D45" s="12" t="inlineStr">
        <is>
          <t>술에 취하지 않은, 맑은 정신의</t>
        </is>
      </c>
      <c r="E45" s="12" t="inlineStr">
        <is>
          <t>Are you sober enough to drive?</t>
        </is>
      </c>
      <c r="F45" s="12" t="inlineStr">
        <is>
          <t>운전할 수 있을 만큼 맨정신이야?</t>
        </is>
      </c>
      <c r="G45" s="9">
        <f>HYPERLINK("https://www.youtube.com/watch?v=gA4OSs3w5Mw", "영상 보기 ▶")</f>
        <v/>
      </c>
    </row>
    <row r="46" ht="26" customHeight="1">
      <c r="A46" s="2" t="n">
        <v>445</v>
      </c>
      <c r="B46" s="3" t="inlineStr">
        <is>
          <t>취기 상태</t>
        </is>
      </c>
      <c r="C46" s="4" t="inlineStr">
        <is>
          <t>tipsy</t>
        </is>
      </c>
      <c r="D46" s="11" t="inlineStr">
        <is>
          <t>술기운이 알딸딸하게 올라온</t>
        </is>
      </c>
      <c r="E46" s="11" t="inlineStr">
        <is>
          <t>I had one cocktail and I'm already tipsy.</t>
        </is>
      </c>
      <c r="F46" s="11" t="inlineStr">
        <is>
          <t>칵테일 한 잔 마셨는데 벌써 알딸딸해.</t>
        </is>
      </c>
      <c r="G46" s="5">
        <f>HYPERLINK("https://www.youtube.com/watch?v=gA4OSs3w5Mw", "영상 보기 ▶")</f>
        <v/>
      </c>
    </row>
    <row r="47" ht="26" customHeight="1">
      <c r="A47" s="6" t="n">
        <v>446</v>
      </c>
      <c r="B47" s="7" t="inlineStr">
        <is>
          <t>음료 매너</t>
        </is>
      </c>
      <c r="C47" s="8" t="inlineStr">
        <is>
          <t>Say when</t>
        </is>
      </c>
      <c r="D47" s="12" t="inlineStr">
        <is>
          <t>(술/음료를 따라주며) 적당할 때 그만이라고 말해</t>
        </is>
      </c>
      <c r="E47" s="12" t="inlineStr">
        <is>
          <t>Let me pour you some wine, say when!</t>
        </is>
      </c>
      <c r="F47" s="12" t="inlineStr">
        <is>
          <t>와인 좀 따라줄게, 적당할 때 그만이라고 말해줘!</t>
        </is>
      </c>
      <c r="G47" s="9">
        <f>HYPERLINK("https://www.youtube.com/watch?v=gA4OSs3w5Mw", "영상 보기 ▶")</f>
        <v/>
      </c>
    </row>
    <row r="48" ht="26" customHeight="1">
      <c r="A48" s="2" t="n">
        <v>447</v>
      </c>
      <c r="B48" s="3" t="inlineStr">
        <is>
          <t>나이 체중</t>
        </is>
      </c>
      <c r="C48" s="4" t="inlineStr">
        <is>
          <t>gain weight as you get older</t>
        </is>
      </c>
      <c r="D48" s="11" t="inlineStr">
        <is>
          <t>나이가 들면서 자연스레 나잇살이 찌다</t>
        </is>
      </c>
      <c r="E48" s="11" t="inlineStr">
        <is>
          <t>It's easy to gain weight as you get older.</t>
        </is>
      </c>
      <c r="F48" s="11" t="inlineStr">
        <is>
          <t>나이가 들수록 나잇살이 찌기 쉬워.</t>
        </is>
      </c>
      <c r="G48" s="5">
        <f>HYPERLINK("https://www.youtube.com/watch?v=gA4OSs3w5Mw", "영상 보기 ▶")</f>
        <v/>
      </c>
    </row>
    <row r="49" ht="26" customHeight="1">
      <c r="A49" s="6" t="n">
        <v>448</v>
      </c>
      <c r="B49" s="7" t="inlineStr">
        <is>
          <t>흥미진진 책</t>
        </is>
      </c>
      <c r="C49" s="8" t="inlineStr">
        <is>
          <t>page-turner</t>
        </is>
      </c>
      <c r="D49" s="12" t="inlineStr">
        <is>
          <t>손에서 놓을 수 없을 만큼 흥미진진한 책</t>
        </is>
      </c>
      <c r="E49" s="12" t="inlineStr">
        <is>
          <t>This mystery novel is a real page-turner.</t>
        </is>
      </c>
      <c r="F49" s="12" t="inlineStr">
        <is>
          <t>이 추리소설은 정말 손에서 뗄 수 없이 흥미진진해.</t>
        </is>
      </c>
      <c r="G49" s="9">
        <f>HYPERLINK("https://www.youtube.com/watch?v=gA4OSs3w5Mw", "영상 보기 ▶")</f>
        <v/>
      </c>
    </row>
    <row r="50" ht="26" customHeight="1">
      <c r="A50" s="2" t="n">
        <v>449</v>
      </c>
      <c r="B50" s="3" t="inlineStr">
        <is>
          <t>표현 문형</t>
        </is>
      </c>
      <c r="C50" s="4" t="inlineStr">
        <is>
          <t>one of the + 복수명사</t>
        </is>
      </c>
      <c r="D50" s="11" t="inlineStr">
        <is>
          <t>가장 ~한 것들 중 하나 (단수 동사 수일치)</t>
        </is>
      </c>
      <c r="E50" s="11" t="inlineStr">
        <is>
          <t>He is one of the most dedicated employees.</t>
        </is>
      </c>
      <c r="F50" s="11" t="inlineStr">
        <is>
          <t>그는 우리 회사에서 가장 헌신적인 직원 중 한 명이야.</t>
        </is>
      </c>
      <c r="G50" s="5">
        <f>HYPERLINK("https://www.youtube.com/watch?v=gA4OSs3w5Mw", "영상 보기 ▶")</f>
        <v/>
      </c>
    </row>
    <row r="51" ht="26" customHeight="1">
      <c r="A51" s="6" t="n">
        <v>450</v>
      </c>
      <c r="B51" s="7" t="inlineStr">
        <is>
          <t>공손한 양해</t>
        </is>
      </c>
      <c r="C51" s="8" t="inlineStr">
        <is>
          <t>Is it okay if ~?</t>
        </is>
      </c>
      <c r="D51" s="12" t="inlineStr">
        <is>
          <t>제가 ~해도 괜찮을까요? (허락과 양해)</t>
        </is>
      </c>
      <c r="E51" s="12" t="inlineStr">
        <is>
          <t>Is it okay if I open the window?</t>
        </is>
      </c>
      <c r="F51" s="12" t="inlineStr">
        <is>
          <t>창문 좀 열어도 괜찮을까요?</t>
        </is>
      </c>
      <c r="G51" s="9">
        <f>HYPERLINK("https://www.youtube.com/watch?v=gA4OSs3w5Mw", "영상 보기 ▶")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1" customWidth="1" min="3" max="3"/>
    <col width="44" customWidth="1" min="4" max="4"/>
    <col width="58" customWidth="1" min="5" max="5"/>
    <col width="58.2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451</v>
      </c>
      <c r="B2" s="3" t="inlineStr">
        <is>
          <t>주제넘음</t>
        </is>
      </c>
      <c r="C2" s="4" t="inlineStr">
        <is>
          <t>It's not my place</t>
        </is>
      </c>
      <c r="D2" s="11" t="inlineStr">
        <is>
          <t>내가 나설 자리가 아니야, 참견할 입장이 아냐</t>
        </is>
      </c>
      <c r="E2" s="11" t="inlineStr">
        <is>
          <t>It's not my place to give relationship advice.</t>
        </is>
      </c>
      <c r="F2" s="11" t="inlineStr">
        <is>
          <t>연애 문제에 내가 왈가왈부 참견할 입장은 아니야.</t>
        </is>
      </c>
      <c r="G2" s="5">
        <f>HYPERLINK("https://www.youtube.com/watch?v=GA7NIKxDZB4", "영상 보기 ▶")</f>
        <v/>
      </c>
    </row>
    <row r="3" ht="26" customHeight="1">
      <c r="A3" s="6" t="n">
        <v>452</v>
      </c>
      <c r="B3" s="7" t="inlineStr">
        <is>
          <t>화법 전환</t>
        </is>
      </c>
      <c r="C3" s="8" t="inlineStr">
        <is>
          <t>let me put it this way</t>
        </is>
      </c>
      <c r="D3" s="12" t="inlineStr">
        <is>
          <t>이렇게 다른 말로 설명해 볼게</t>
        </is>
      </c>
      <c r="E3" s="12" t="inlineStr">
        <is>
          <t>Let me put it this way, you're on thin ice.</t>
        </is>
      </c>
      <c r="F3" s="12" t="inlineStr">
        <is>
          <t>알기 쉽게 말해주자면 너 지금 살얼음판 걷고 있는 거야.</t>
        </is>
      </c>
      <c r="G3" s="9">
        <f>HYPERLINK("https://www.youtube.com/watch?v=GA7NIKxDZB4", "영상 보기 ▶")</f>
        <v/>
      </c>
    </row>
    <row r="4" ht="26" customHeight="1">
      <c r="A4" s="2" t="n">
        <v>453</v>
      </c>
      <c r="B4" s="3" t="inlineStr">
        <is>
          <t>표현 칭찬</t>
        </is>
      </c>
      <c r="C4" s="4" t="inlineStr">
        <is>
          <t>well put</t>
        </is>
      </c>
      <c r="D4" s="11" t="inlineStr">
        <is>
          <t>말 참 잘했다, 아주 적절하고 멋진 표현이다</t>
        </is>
      </c>
      <c r="E4" s="11" t="inlineStr">
        <is>
          <t>That was very well put, Sarah.</t>
        </is>
      </c>
      <c r="F4" s="11" t="inlineStr">
        <is>
          <t>사라, 정말 적절하고 멋진 표현이었어요.</t>
        </is>
      </c>
      <c r="G4" s="5">
        <f>HYPERLINK("https://www.youtube.com/watch?v=GA7NIKxDZB4", "영상 보기 ▶")</f>
        <v/>
      </c>
    </row>
    <row r="5" ht="26" customHeight="1">
      <c r="A5" s="6" t="n">
        <v>454</v>
      </c>
      <c r="B5" s="7" t="inlineStr">
        <is>
          <t>노력 투입</t>
        </is>
      </c>
      <c r="C5" s="8" t="inlineStr">
        <is>
          <t>put effort into</t>
        </is>
      </c>
      <c r="D5" s="12" t="inlineStr">
        <is>
          <t>~에 성심성의껏 노력과 공을 쏟다</t>
        </is>
      </c>
      <c r="E5" s="12" t="inlineStr">
        <is>
          <t>She put a lot of effort into this presentation.</t>
        </is>
      </c>
      <c r="F5" s="12" t="inlineStr">
        <is>
          <t>그녀는 이번 발표 준비에 정말 많은 공을 들였어.</t>
        </is>
      </c>
      <c r="G5" s="9">
        <f>HYPERLINK("https://www.youtube.com/watch?v=GA7NIKxDZB4", "영상 보기 ▶")</f>
        <v/>
      </c>
    </row>
    <row r="6" ht="26" customHeight="1">
      <c r="A6" s="2" t="n">
        <v>455</v>
      </c>
      <c r="B6" s="3" t="inlineStr">
        <is>
          <t>착용 동사</t>
        </is>
      </c>
      <c r="C6" s="4" t="inlineStr">
        <is>
          <t>put on</t>
        </is>
      </c>
      <c r="D6" s="11" t="inlineStr">
        <is>
          <t>(옷, 신발, 향수 등을) 착용하다, 바르다</t>
        </is>
      </c>
      <c r="E6" s="11" t="inlineStr">
        <is>
          <t>Put on a warm coat, it's cold outside.</t>
        </is>
      </c>
      <c r="F6" s="11" t="inlineStr">
        <is>
          <t>밖에 추우니까 따뜻한 코트 챙겨 입어.</t>
        </is>
      </c>
      <c r="G6" s="5">
        <f>HYPERLINK("https://www.youtube.com/watch?v=GA7NIKxDZB4", "영상 보기 ▶")</f>
        <v/>
      </c>
    </row>
    <row r="7" ht="26" customHeight="1">
      <c r="A7" s="6" t="n">
        <v>456</v>
      </c>
      <c r="B7" s="7" t="inlineStr">
        <is>
          <t>전화 매너</t>
        </is>
      </c>
      <c r="C7" s="8" t="inlineStr">
        <is>
          <t>put (sb) on hold</t>
        </is>
      </c>
      <c r="D7" s="12" t="inlineStr">
        <is>
          <t>(전화 통화 중에) 잠시 대기하게 하다</t>
        </is>
      </c>
      <c r="E7" s="12" t="inlineStr">
        <is>
          <t>Can I put you on hold for a brief moment?</t>
        </is>
      </c>
      <c r="F7" s="12" t="inlineStr">
        <is>
          <t>잠시만 전화 끊지 말고 대기해 주시겠어요?</t>
        </is>
      </c>
      <c r="G7" s="9">
        <f>HYPERLINK("https://www.youtube.com/watch?v=GA7NIKxDZB4", "영상 보기 ▶")</f>
        <v/>
      </c>
    </row>
    <row r="8" ht="26" customHeight="1">
      <c r="A8" s="2" t="n">
        <v>457</v>
      </c>
      <c r="B8" s="3" t="inlineStr">
        <is>
          <t>사전 공유</t>
        </is>
      </c>
      <c r="C8" s="4" t="inlineStr">
        <is>
          <t>Just so you know</t>
        </is>
      </c>
      <c r="D8" s="11" t="inlineStr">
        <is>
          <t>참고로 미리 알려두는데, 귀띔하자면</t>
        </is>
      </c>
      <c r="E8" s="11" t="inlineStr">
        <is>
          <t>Just so you know, the boss is in a bad mood.</t>
        </is>
      </c>
      <c r="F8" s="11" t="inlineStr">
        <is>
          <t>참고로 알아둬, 오늘 부장님 기분 안 좋으셔.</t>
        </is>
      </c>
      <c r="G8" s="5">
        <f>HYPERLINK("https://www.youtube.com/watch?v=GA7NIKxDZB4", "영상 보기 ▶")</f>
        <v/>
      </c>
    </row>
    <row r="9" ht="26" customHeight="1">
      <c r="A9" s="6" t="n">
        <v>458</v>
      </c>
      <c r="B9" s="7" t="inlineStr">
        <is>
          <t>전화 연결</t>
        </is>
      </c>
      <c r="C9" s="8" t="inlineStr">
        <is>
          <t>put (sb) through to</t>
        </is>
      </c>
      <c r="D9" s="12" t="inlineStr">
        <is>
          <t>(전화를 담당자에게) 연결해 주다</t>
        </is>
      </c>
      <c r="E9" s="12" t="inlineStr">
        <is>
          <t>Please hold while I put you through to sales.</t>
        </is>
      </c>
      <c r="F9" s="12" t="inlineStr">
        <is>
          <t>영업부로 전화 연결해 드릴 테니 잠시만 기다려 주세요.</t>
        </is>
      </c>
      <c r="G9" s="9">
        <f>HYPERLINK("https://www.youtube.com/watch?v=GA7NIKxDZB4", "영상 보기 ▶")</f>
        <v/>
      </c>
    </row>
    <row r="10" ht="26" customHeight="1">
      <c r="A10" s="2" t="n">
        <v>459</v>
      </c>
      <c r="B10" s="3" t="inlineStr">
        <is>
          <t>자원 투입</t>
        </is>
      </c>
      <c r="C10" s="4" t="inlineStr">
        <is>
          <t>put into</t>
        </is>
      </c>
      <c r="D10" s="11" t="inlineStr">
        <is>
          <t>시간, 돈, 자원을 쏟아붓다</t>
        </is>
      </c>
      <c r="E10" s="11" t="inlineStr">
        <is>
          <t>He put his heart and soul into the project.</t>
        </is>
      </c>
      <c r="F10" s="11" t="inlineStr">
        <is>
          <t>그는 그 프로젝트에 자신의 온 영혼과 열정을 쏟아부었어.</t>
        </is>
      </c>
      <c r="G10" s="5">
        <f>HYPERLINK("https://www.youtube.com/watch?v=GA7NIKxDZB4", "영상 보기 ▶")</f>
        <v/>
      </c>
    </row>
    <row r="11" ht="26" customHeight="1">
      <c r="A11" s="6" t="n">
        <v>460</v>
      </c>
      <c r="B11" s="7" t="inlineStr">
        <is>
          <t>자료 준비</t>
        </is>
      </c>
      <c r="C11" s="8" t="inlineStr">
        <is>
          <t>put together</t>
        </is>
      </c>
      <c r="D11" s="12" t="inlineStr">
        <is>
          <t>(자료나 문서를) 일목요연하게 취합/정리하다</t>
        </is>
      </c>
      <c r="E11" s="12" t="inlineStr">
        <is>
          <t>I put together a brief summary for you.</t>
        </is>
      </c>
      <c r="F11" s="12" t="inlineStr">
        <is>
          <t>당신을 위해 간단한 요약본을 정리해 두었습니다.</t>
        </is>
      </c>
      <c r="G11" s="9">
        <f>HYPERLINK("https://www.youtube.com/watch?v=GA7NIKxDZB4", "영상 보기 ▶")</f>
        <v/>
      </c>
    </row>
    <row r="12" ht="26" customHeight="1">
      <c r="A12" s="2" t="n">
        <v>461</v>
      </c>
      <c r="B12" s="3" t="inlineStr">
        <is>
          <t>찬사/칭찬</t>
        </is>
      </c>
      <c r="C12" s="4" t="inlineStr">
        <is>
          <t>Kudos to ~</t>
        </is>
      </c>
      <c r="D12" s="11" t="inlineStr">
        <is>
          <t>~에게 큰 박수를 보냅니다, 찬사를 보냅니다</t>
        </is>
      </c>
      <c r="E12" s="11" t="inlineStr">
        <is>
          <t>Kudos to everyone who organized the event!</t>
        </is>
      </c>
      <c r="F12" s="11" t="inlineStr">
        <is>
          <t>이번 행사를 기획하고 준비한 모든 분께 박수를 보냅니다!</t>
        </is>
      </c>
      <c r="G12" s="5">
        <f>HYPERLINK("https://www.youtube.com/watch?v=GA7NIKxDZB4", "영상 보기 ▶")</f>
        <v/>
      </c>
    </row>
    <row r="13" ht="26" customHeight="1">
      <c r="A13" s="6" t="n">
        <v>462</v>
      </c>
      <c r="B13" s="7" t="inlineStr">
        <is>
          <t>대성공 칭찬</t>
        </is>
      </c>
      <c r="C13" s="8" t="inlineStr">
        <is>
          <t>hit another home run</t>
        </is>
      </c>
      <c r="D13" s="12" t="inlineStr">
        <is>
          <t>또 한 번 대박을 치다, 멋진 성공을 거두다</t>
        </is>
      </c>
      <c r="E13" s="12" t="inlineStr">
        <is>
          <t>Your new design hit another home run.</t>
        </is>
      </c>
      <c r="F13" s="12" t="inlineStr">
        <is>
          <t>이번 신규 디자인도 완전 대박 성공을 거뒀어.</t>
        </is>
      </c>
      <c r="G13" s="9">
        <f>HYPERLINK("https://www.youtube.com/watch?v=GA7NIKxDZB4", "영상 보기 ▶")</f>
        <v/>
      </c>
    </row>
    <row r="14" ht="26" customHeight="1">
      <c r="A14" s="2" t="n">
        <v>463</v>
      </c>
      <c r="B14" s="3" t="inlineStr">
        <is>
          <t>곤란한 입장</t>
        </is>
      </c>
      <c r="C14" s="4" t="inlineStr">
        <is>
          <t>put (sb) in a tough position</t>
        </is>
      </c>
      <c r="D14" s="11" t="inlineStr">
        <is>
          <t>~를 난처하고 곤란한 처지에 빠뜨리다</t>
        </is>
      </c>
      <c r="E14" s="11" t="inlineStr">
        <is>
          <t>Don't put me in a tough position like this.</t>
        </is>
      </c>
      <c r="F14" s="11" t="inlineStr">
        <is>
          <t>날 이런 난처한 입장에 처하게 만들지 마.</t>
        </is>
      </c>
      <c r="G14" s="5">
        <f>HYPERLINK("https://www.youtube.com/watch?v=GA7NIKxDZB4", "영상 보기 ▶")</f>
        <v/>
      </c>
    </row>
    <row r="15" ht="26" customHeight="1">
      <c r="A15" s="6" t="n">
        <v>464</v>
      </c>
      <c r="B15" s="7" t="inlineStr">
        <is>
          <t>갈등 유보</t>
        </is>
      </c>
      <c r="C15" s="8" t="inlineStr">
        <is>
          <t>put aside</t>
        </is>
      </c>
      <c r="D15" s="12" t="inlineStr">
        <is>
          <t>(사소한 차이나 편견을) 잠시 제쳐두다</t>
        </is>
      </c>
      <c r="E15" s="12" t="inlineStr">
        <is>
          <t>Let's put our differences aside and cooperate.</t>
        </is>
      </c>
      <c r="F15" s="12" t="inlineStr">
        <is>
          <t>우리 의견 차이는 잠시 접어두고 협력합시다.</t>
        </is>
      </c>
      <c r="G15" s="9">
        <f>HYPERLINK("https://www.youtube.com/watch?v=GA7NIKxDZB4", "영상 보기 ▶")</f>
        <v/>
      </c>
    </row>
    <row r="16" ht="26" customHeight="1">
      <c r="A16" s="2" t="n">
        <v>465</v>
      </c>
      <c r="B16" s="3" t="inlineStr">
        <is>
          <t>과거 극복</t>
        </is>
      </c>
      <c r="C16" s="4" t="inlineStr">
        <is>
          <t>put (sth) behind</t>
        </is>
      </c>
      <c r="D16" s="11" t="inlineStr">
        <is>
          <t>(불쾌한 일을) 훌훌 털어버리고 뒤로 넘기다</t>
        </is>
      </c>
      <c r="E16" s="11" t="inlineStr">
        <is>
          <t>I'm ready to put this whole incident behind me.</t>
        </is>
      </c>
      <c r="F16" s="11" t="inlineStr">
        <is>
          <t>난 이제 이 일 전체를 훌훌 털어버릴 준비가 됐어.</t>
        </is>
      </c>
      <c r="G16" s="5">
        <f>HYPERLINK("https://www.youtube.com/watch?v=GA7NIKxDZB4", "영상 보기 ▶")</f>
        <v/>
      </c>
    </row>
    <row r="17" ht="26" customHeight="1">
      <c r="A17" s="6" t="n">
        <v>466</v>
      </c>
      <c r="B17" s="7" t="inlineStr">
        <is>
          <t>인내/참음</t>
        </is>
      </c>
      <c r="C17" s="8" t="inlineStr">
        <is>
          <t>put up with</t>
        </is>
      </c>
      <c r="D17" s="12" t="inlineStr">
        <is>
          <t>(짜증 나는 상황이나 사람을) 꾹 참고 견디다</t>
        </is>
      </c>
      <c r="E17" s="12" t="inlineStr">
        <is>
          <t>I can't put up with his rude behavior anymore.</t>
        </is>
      </c>
      <c r="F17" s="12" t="inlineStr">
        <is>
          <t>그의 무례한 행동을 더 이상은 꾹 참고 견딜 수가 없어.</t>
        </is>
      </c>
      <c r="G17" s="9">
        <f>HYPERLINK("https://www.youtube.com/watch?v=GA7NIKxDZB4", "영상 보기 ▶")</f>
        <v/>
      </c>
    </row>
    <row r="18" ht="26" customHeight="1">
      <c r="A18" s="2" t="n">
        <v>467</v>
      </c>
      <c r="B18" s="3" t="inlineStr">
        <is>
          <t>일정 지연</t>
        </is>
      </c>
      <c r="C18" s="4" t="inlineStr">
        <is>
          <t>put off</t>
        </is>
      </c>
      <c r="D18" s="11" t="inlineStr">
        <is>
          <t>뒤로 미루다, 연기하다 (= postpone)</t>
        </is>
      </c>
      <c r="E18" s="11" t="inlineStr">
        <is>
          <t>Never put off until tomorrow what you can do today.</t>
        </is>
      </c>
      <c r="F18" s="11" t="inlineStr">
        <is>
          <t>오늘 할 수 있는 일을 내일로 미루지 마라.</t>
        </is>
      </c>
      <c r="G18" s="5">
        <f>HYPERLINK("https://www.youtube.com/watch?v=GA7NIKxDZB4", "영상 보기 ▶")</f>
        <v/>
      </c>
    </row>
    <row r="19" ht="26" customHeight="1">
      <c r="A19" s="6" t="n">
        <v>468</v>
      </c>
      <c r="B19" s="7" t="inlineStr">
        <is>
          <t>최종 승인</t>
        </is>
      </c>
      <c r="C19" s="8" t="inlineStr">
        <is>
          <t>sign off on</t>
        </is>
      </c>
      <c r="D19" s="12" t="inlineStr">
        <is>
          <t>(결재 서류에) 최종 승인/서명하다</t>
        </is>
      </c>
      <c r="E19" s="12" t="inlineStr">
        <is>
          <t>Has the director signed off on the budget?</t>
        </is>
      </c>
      <c r="F19" s="12" t="inlineStr">
        <is>
          <t>이사님께서 예산안에 최종 승인해 주셨나요?</t>
        </is>
      </c>
      <c r="G19" s="9">
        <f>HYPERLINK("https://www.youtube.com/watch?v=GA7NIKxDZB4", "영상 보기 ▶")</f>
        <v/>
      </c>
    </row>
    <row r="20" ht="26" customHeight="1">
      <c r="A20" s="2" t="n">
        <v>469</v>
      </c>
      <c r="B20" s="3" t="inlineStr">
        <is>
          <t>승인/찬성</t>
        </is>
      </c>
      <c r="C20" s="4" t="inlineStr">
        <is>
          <t>approve</t>
        </is>
      </c>
      <c r="D20" s="11" t="inlineStr">
        <is>
          <t>공식적으로 인가/승인하다</t>
        </is>
      </c>
      <c r="E20" s="11" t="inlineStr">
        <is>
          <t>The board approved our proposal.</t>
        </is>
      </c>
      <c r="F20" s="11" t="inlineStr">
        <is>
          <t>이사회에서 우리 제안서를 최종 승인했습니다.</t>
        </is>
      </c>
      <c r="G20" s="5">
        <f>HYPERLINK("https://www.youtube.com/watch?v=GA7NIKxDZB4", "영상 보기 ▶")</f>
        <v/>
      </c>
    </row>
    <row r="21" ht="26" customHeight="1">
      <c r="A21" s="6" t="n">
        <v>470</v>
      </c>
      <c r="B21" s="7" t="inlineStr">
        <is>
          <t>흔쾌한 허락</t>
        </is>
      </c>
      <c r="C21" s="8" t="inlineStr">
        <is>
          <t>You have my blessing</t>
        </is>
      </c>
      <c r="D21" s="12" t="inlineStr">
        <is>
          <t>난 적극 찬성해, 얼마든지 기꺼이 허락할게</t>
        </is>
      </c>
      <c r="E21" s="12" t="inlineStr">
        <is>
          <t>If you want to transfer, you have my blessing.</t>
        </is>
      </c>
      <c r="F21" s="12" t="inlineStr">
        <is>
          <t>부서 이동을 원한다면 난 얼마든지 기쁜 마음으로 응원할게.</t>
        </is>
      </c>
      <c r="G21" s="9">
        <f>HYPERLINK("https://www.youtube.com/watch?v=GA7NIKxDZB4", "영상 보기 ▶")</f>
        <v/>
      </c>
    </row>
    <row r="22" ht="26" customHeight="1">
      <c r="A22" s="2" t="n">
        <v>471</v>
      </c>
      <c r="B22" s="3" t="inlineStr">
        <is>
          <t>빈말 의심</t>
        </is>
      </c>
      <c r="C22" s="4" t="inlineStr">
        <is>
          <t>You're just saying that</t>
        </is>
      </c>
      <c r="D22" s="11" t="inlineStr">
        <is>
          <t>빈말이지? 그냥 듣기 좋으라고 하는 소리지?</t>
        </is>
      </c>
      <c r="E22" s="11" t="inlineStr">
        <is>
          <t>You look great! - Aw, you're just saying that.</t>
        </is>
      </c>
      <c r="F22" s="11" t="inlineStr">
        <is>
          <t>너 오늘 멋지다! - 에이, 그냥 듣기 좋으라고 하는 소리지?</t>
        </is>
      </c>
      <c r="G22" s="5">
        <f>HYPERLINK("https://www.youtube.com/watch?v=GA7NIKxDZB4", "영상 보기 ▶")</f>
        <v/>
      </c>
    </row>
    <row r="23" ht="26" customHeight="1">
      <c r="A23" s="6" t="n">
        <v>472</v>
      </c>
      <c r="B23" s="7" t="inlineStr">
        <is>
          <t>최고의 칭찬</t>
        </is>
      </c>
      <c r="C23" s="8" t="inlineStr">
        <is>
          <t>the best ~ I know</t>
        </is>
      </c>
      <c r="D23" s="12" t="inlineStr">
        <is>
          <t>내가 아는 사람 중에 가장 뛰어난 ~야</t>
        </is>
      </c>
      <c r="E23" s="12" t="inlineStr">
        <is>
          <t>You're the best problem solver I know.</t>
        </is>
      </c>
      <c r="F23" s="12" t="inlineStr">
        <is>
          <t>너는 내가 아는 사람 중에 문제 해결 능력이 제일 뛰어난 사람이야.</t>
        </is>
      </c>
      <c r="G23" s="9">
        <f>HYPERLINK("https://www.youtube.com/watch?v=GA7NIKxDZB4", "영상 보기 ▶")</f>
        <v/>
      </c>
    </row>
    <row r="24" ht="26" customHeight="1">
      <c r="A24" s="2" t="n">
        <v>473</v>
      </c>
      <c r="B24" s="3" t="inlineStr">
        <is>
          <t>자질/인재</t>
        </is>
      </c>
      <c r="C24" s="4" t="inlineStr">
        <is>
          <t>material</t>
        </is>
      </c>
      <c r="D24" s="11" t="inlineStr">
        <is>
          <t>(특정 직책이나 역할에 걸맞은) 자질, 그릇</t>
        </is>
      </c>
      <c r="E24" s="11" t="inlineStr">
        <is>
          <t>She is definitely leadership material.</t>
        </is>
      </c>
      <c r="F24" s="11" t="inlineStr">
        <is>
          <t>그녀는 분명 리더로서의 자질과 그릇을 갖추고 있어.</t>
        </is>
      </c>
      <c r="G24" s="5">
        <f>HYPERLINK("https://www.youtube.com/watch?v=GA7NIKxDZB4", "영상 보기 ▶")</f>
        <v/>
      </c>
    </row>
    <row r="25" ht="26" customHeight="1">
      <c r="A25" s="6" t="n">
        <v>474</v>
      </c>
      <c r="B25" s="7" t="inlineStr">
        <is>
          <t>후속 논의</t>
        </is>
      </c>
      <c r="C25" s="8" t="inlineStr">
        <is>
          <t>circle back to</t>
        </is>
      </c>
      <c r="D25" s="12" t="inlineStr">
        <is>
          <t>나중에 다시 그 사안으로 돌아와 얘기하다</t>
        </is>
      </c>
      <c r="E25" s="12" t="inlineStr">
        <is>
          <t>Let's circle back to this after lunch.</t>
        </is>
      </c>
      <c r="F25" s="12" t="inlineStr">
        <is>
          <t>점심 먹고 나서 이 사안으로 다시 돌아와 얘기합시다.</t>
        </is>
      </c>
      <c r="G25" s="9">
        <f>HYPERLINK("https://www.youtube.com/watch?v=GA7NIKxDZB4", "영상 보기 ▶")</f>
        <v/>
      </c>
    </row>
    <row r="26" ht="26" customHeight="1">
      <c r="A26" s="2" t="n">
        <v>475</v>
      </c>
      <c r="B26" s="3" t="inlineStr">
        <is>
          <t>발언권 부여</t>
        </is>
      </c>
      <c r="C26" s="4" t="inlineStr">
        <is>
          <t>have the floor</t>
        </is>
      </c>
      <c r="D26" s="11" t="inlineStr">
        <is>
          <t>(회의에서) 발언권을 갖다</t>
        </is>
      </c>
      <c r="E26" s="11" t="inlineStr">
        <is>
          <t>The floor is yours, please begin.</t>
        </is>
      </c>
      <c r="F26" s="11" t="inlineStr">
        <is>
          <t>발언권이 주어졌으니 발표를 시작해 주세요.</t>
        </is>
      </c>
      <c r="G26" s="5">
        <f>HYPERLINK("https://www.youtube.com/watch?v=GA7NIKxDZB4", "영상 보기 ▶")</f>
        <v/>
      </c>
    </row>
    <row r="27" ht="26" customHeight="1">
      <c r="A27" s="6" t="n">
        <v>476</v>
      </c>
      <c r="B27" s="7" t="inlineStr">
        <is>
          <t>순서 양보</t>
        </is>
      </c>
      <c r="C27" s="8" t="inlineStr">
        <is>
          <t>It's all yours</t>
        </is>
      </c>
      <c r="D27" s="12" t="inlineStr">
        <is>
          <t>이제 네 차례야, 마이크 넘길게</t>
        </is>
      </c>
      <c r="E27" s="12" t="inlineStr">
        <is>
          <t>Here's the microphone, it's all yours.</t>
        </is>
      </c>
      <c r="F27" s="12" t="inlineStr">
        <is>
          <t>여기 마이크 받을래, 이제 네 무대야.</t>
        </is>
      </c>
      <c r="G27" s="9">
        <f>HYPERLINK("https://www.youtube.com/watch?v=GA7NIKxDZB4", "영상 보기 ▶")</f>
        <v/>
      </c>
    </row>
    <row r="28" ht="26" customHeight="1">
      <c r="A28" s="2" t="n">
        <v>477</v>
      </c>
      <c r="B28" s="3" t="inlineStr">
        <is>
          <t>고집/양보</t>
        </is>
      </c>
      <c r="C28" s="4" t="inlineStr">
        <is>
          <t>budge</t>
        </is>
      </c>
      <c r="D28" s="11" t="inlineStr">
        <is>
          <t>(양보하여 생각을) 조금이라도 바꾸다</t>
        </is>
      </c>
      <c r="E28" s="11" t="inlineStr">
        <is>
          <t>He won't budge on the price.</t>
        </is>
      </c>
      <c r="F28" s="11" t="inlineStr">
        <is>
          <t>그는 가격에 대해선 일절 양보할 기색이 없어.</t>
        </is>
      </c>
      <c r="G28" s="5">
        <f>HYPERLINK("https://www.youtube.com/watch?v=GA7NIKxDZB4", "영상 보기 ▶")</f>
        <v/>
      </c>
    </row>
    <row r="29" ht="26" customHeight="1">
      <c r="A29" s="6" t="n">
        <v>478</v>
      </c>
      <c r="B29" s="7" t="inlineStr">
        <is>
          <t>마감 촉박</t>
        </is>
      </c>
      <c r="C29" s="8" t="inlineStr">
        <is>
          <t>on a deadline</t>
        </is>
      </c>
      <c r="D29" s="12" t="inlineStr">
        <is>
          <t>마감 기한에 쫓기고 있는</t>
        </is>
      </c>
      <c r="E29" s="12" t="inlineStr">
        <is>
          <t>I'm on a tight deadline this week.</t>
        </is>
      </c>
      <c r="F29" s="12" t="inlineStr">
        <is>
          <t>나 이번 주에 촉박한 마감에 쫓기고 있어.</t>
        </is>
      </c>
      <c r="G29" s="9">
        <f>HYPERLINK("https://www.youtube.com/watch?v=GA7NIKxDZB4", "영상 보기 ▶")</f>
        <v/>
      </c>
    </row>
    <row r="30" ht="26" customHeight="1">
      <c r="A30" s="2" t="n">
        <v>479</v>
      </c>
      <c r="B30" s="3" t="inlineStr">
        <is>
          <t>엄격한 마감</t>
        </is>
      </c>
      <c r="C30" s="4" t="inlineStr">
        <is>
          <t>hard deadline</t>
        </is>
      </c>
      <c r="D30" s="11" t="inlineStr">
        <is>
          <t>절대 변경할 수 없는 엄격한 마감 기한</t>
        </is>
      </c>
      <c r="E30" s="11" t="inlineStr">
        <is>
          <t>Tomorrow at noon is a hard deadline.</t>
        </is>
      </c>
      <c r="F30" s="11" t="inlineStr">
        <is>
          <t>내일 정오는 타협할 수 없는 절대적인 마감 시간입니다.</t>
        </is>
      </c>
      <c r="G30" s="5">
        <f>HYPERLINK("https://www.youtube.com/watch?v=GA7NIKxDZB4", "영상 보기 ▶")</f>
        <v/>
      </c>
    </row>
    <row r="31" ht="26" customHeight="1">
      <c r="A31" s="6" t="n">
        <v>480</v>
      </c>
      <c r="B31" s="7" t="inlineStr">
        <is>
          <t>불쾌한 태도</t>
        </is>
      </c>
      <c r="C31" s="8" t="inlineStr">
        <is>
          <t>I don't appreciate your tone</t>
        </is>
      </c>
      <c r="D31" s="12" t="inlineStr">
        <is>
          <t>그런 무례한 말투와 태도는 정중히 사양하겠습니다</t>
        </is>
      </c>
      <c r="E31" s="12" t="inlineStr">
        <is>
          <t>I don't appreciate your tone with me.</t>
        </is>
      </c>
      <c r="F31" s="12" t="inlineStr">
        <is>
          <t>저에게 그런 무례한 말투로 말씀하시는 건 불쾌합니다.</t>
        </is>
      </c>
      <c r="G31" s="9">
        <f>HYPERLINK("https://www.youtube.com/watch?v=GA7NIKxDZB4", "영상 보기 ▶")</f>
        <v/>
      </c>
    </row>
    <row r="32" ht="26" customHeight="1">
      <c r="A32" s="2" t="n">
        <v>481</v>
      </c>
      <c r="B32" s="3" t="inlineStr">
        <is>
          <t>양면성</t>
        </is>
      </c>
      <c r="C32" s="4" t="inlineStr">
        <is>
          <t>two sides to every story</t>
        </is>
      </c>
      <c r="D32" s="11" t="inlineStr">
        <is>
          <t>어떤 일이든 양쪽의 입장을 다 들어봐야 한다</t>
        </is>
      </c>
      <c r="E32" s="11" t="inlineStr">
        <is>
          <t>Remember, there are two sides to every story.</t>
        </is>
      </c>
      <c r="F32" s="11" t="inlineStr">
        <is>
          <t>기억해, 어떤 일이든 양쪽 말을 다 들어봐야 하는 법이야.</t>
        </is>
      </c>
      <c r="G32" s="5">
        <f>HYPERLINK("https://www.youtube.com/watch?v=GA7NIKxDZB4", "영상 보기 ▶")</f>
        <v/>
      </c>
    </row>
    <row r="33" ht="26" customHeight="1">
      <c r="A33" s="6" t="n">
        <v>482</v>
      </c>
      <c r="B33" s="7" t="inlineStr">
        <is>
          <t>숨은 사정</t>
        </is>
      </c>
      <c r="C33" s="8" t="inlineStr">
        <is>
          <t>more to the story</t>
        </is>
      </c>
      <c r="D33" s="12" t="inlineStr">
        <is>
          <t>그게 다가 아님, 이면에 더 많은 사정이 있음</t>
        </is>
      </c>
      <c r="E33" s="12" t="inlineStr">
        <is>
          <t>I feel like there has to be more to the story.</t>
        </is>
      </c>
      <c r="F33" s="12" t="inlineStr">
        <is>
          <t>이 일에는 분명 우리가 모르는 숨은 내막이 더 있을 거야.</t>
        </is>
      </c>
      <c r="G33" s="9">
        <f>HYPERLINK("https://www.youtube.com/watch?v=GA7NIKxDZB4", "영상 보기 ▶")</f>
        <v/>
      </c>
    </row>
    <row r="34" ht="26" customHeight="1">
      <c r="A34" s="2" t="n">
        <v>483</v>
      </c>
      <c r="B34" s="3" t="inlineStr">
        <is>
          <t>간결 요구</t>
        </is>
      </c>
      <c r="C34" s="4" t="inlineStr">
        <is>
          <t>make it short and sweet</t>
        </is>
      </c>
      <c r="D34" s="11" t="inlineStr">
        <is>
          <t>지루하게 늘어놓지 말고 간단명료하게 해줘</t>
        </is>
      </c>
      <c r="E34" s="11" t="inlineStr">
        <is>
          <t>We don't have much time, make it short and sweet.</t>
        </is>
      </c>
      <c r="F34" s="11" t="inlineStr">
        <is>
          <t>우리 시간 별로 없으니 요점만 간단명료하게 해줘.</t>
        </is>
      </c>
      <c r="G34" s="5">
        <f>HYPERLINK("https://www.youtube.com/watch?v=GA7NIKxDZB4", "영상 보기 ▶")</f>
        <v/>
      </c>
    </row>
    <row r="35" ht="26" customHeight="1">
      <c r="A35" s="6" t="n">
        <v>484</v>
      </c>
      <c r="B35" s="7" t="inlineStr">
        <is>
          <t>본론 직행</t>
        </is>
      </c>
      <c r="C35" s="8" t="inlineStr">
        <is>
          <t>cut to the chase</t>
        </is>
      </c>
      <c r="D35" s="12" t="inlineStr">
        <is>
          <t>서론은 건너뛰고 곧바로 본론으로 들어가다</t>
        </is>
      </c>
      <c r="E35" s="12" t="inlineStr">
        <is>
          <t>Let's cut to the chase: how much will it cost?</t>
        </is>
      </c>
      <c r="F35" s="12" t="inlineStr">
        <is>
          <t>서론은 건너뛰고 본론으로 들어갑시다, 비용이 얼마인가요?</t>
        </is>
      </c>
      <c r="G35" s="9">
        <f>HYPERLINK("https://www.youtube.com/watch?v=GA7NIKxDZB4", "영상 보기 ▶")</f>
        <v/>
      </c>
    </row>
    <row r="36" ht="26" customHeight="1">
      <c r="A36" s="2" t="n">
        <v>485</v>
      </c>
      <c r="B36" s="3" t="inlineStr">
        <is>
          <t>의견 공유</t>
        </is>
      </c>
      <c r="C36" s="4" t="inlineStr">
        <is>
          <t>share one's thoughts</t>
        </is>
      </c>
      <c r="D36" s="11" t="inlineStr">
        <is>
          <t>자신의 생각과 소견을 허심탄회하게 밝히다</t>
        </is>
      </c>
      <c r="E36" s="11" t="inlineStr">
        <is>
          <t>Would anyone like to share their thoughts?</t>
        </is>
      </c>
      <c r="F36" s="11" t="inlineStr">
        <is>
          <t>자신의 의견이나 생각을 공유해 주실 분 계신가요?</t>
        </is>
      </c>
      <c r="G36" s="5">
        <f>HYPERLINK("https://www.youtube.com/watch?v=GA7NIKxDZB4", "영상 보기 ▶")</f>
        <v/>
      </c>
    </row>
    <row r="37" ht="26" customHeight="1">
      <c r="A37" s="6" t="n">
        <v>486</v>
      </c>
      <c r="B37" s="7" t="inlineStr">
        <is>
          <t>반문 화법</t>
        </is>
      </c>
      <c r="C37" s="8" t="inlineStr">
        <is>
          <t>rhetorical question</t>
        </is>
      </c>
      <c r="D37" s="12" t="inlineStr">
        <is>
          <t>답변을 바라는 게 아닌 강조를 위한 반문/수사의문</t>
        </is>
      </c>
      <c r="E37" s="12" t="inlineStr">
        <is>
          <t>Don't answer that, it was a rhetorical question.</t>
        </is>
      </c>
      <c r="F37" s="12" t="inlineStr">
        <is>
          <t>대답 안 해도 돼, 그냥 강조하려고 던진 반문이었어.</t>
        </is>
      </c>
      <c r="G37" s="9">
        <f>HYPERLINK("https://www.youtube.com/watch?v=GA7NIKxDZB4", "영상 보기 ▶")</f>
        <v/>
      </c>
    </row>
    <row r="38" ht="26" customHeight="1">
      <c r="A38" s="2" t="n">
        <v>487</v>
      </c>
      <c r="B38" s="3" t="inlineStr">
        <is>
          <t>서론 생략</t>
        </is>
      </c>
      <c r="C38" s="4" t="inlineStr">
        <is>
          <t>Without further ado,</t>
        </is>
      </c>
      <c r="D38" s="11" t="inlineStr">
        <is>
          <t>더 이상의 군더더기 서론 없이 곧바로</t>
        </is>
      </c>
      <c r="E38" s="11" t="inlineStr">
        <is>
          <t>Without further ado, let's welcome our keynote speaker.</t>
        </is>
      </c>
      <c r="F38" s="11" t="inlineStr">
        <is>
          <t>더 이상의 긴 설명 없이 바로 기조 연설자분을 모시겠습니다.</t>
        </is>
      </c>
      <c r="G38" s="5">
        <f>HYPERLINK("https://www.youtube.com/watch?v=GA7NIKxDZB4", "영상 보기 ▶")</f>
        <v/>
      </c>
    </row>
    <row r="39" ht="26" customHeight="1">
      <c r="A39" s="6" t="n">
        <v>488</v>
      </c>
      <c r="B39" s="7" t="inlineStr">
        <is>
          <t>도움 자부심</t>
        </is>
      </c>
      <c r="C39" s="8" t="inlineStr">
        <is>
          <t>That's what I'm here for</t>
        </is>
      </c>
      <c r="D39" s="12" t="inlineStr">
        <is>
          <t>그게 제가 있는 이유인걸요 (당연히 도와드려야죠)</t>
        </is>
      </c>
      <c r="E39" s="12" t="inlineStr">
        <is>
          <t>Thank you for the advice! - That's what I'm here for.</t>
        </is>
      </c>
      <c r="F39" s="12" t="inlineStr">
        <is>
          <t>조언 감사해요! - 에이, 언제든 도우려고 제가 여기 있는걸요.</t>
        </is>
      </c>
      <c r="G39" s="9">
        <f>HYPERLINK("https://www.youtube.com/watch?v=GA7NIKxDZB4", "영상 보기 ▶")</f>
        <v/>
      </c>
    </row>
    <row r="40" ht="26" customHeight="1">
      <c r="A40" s="2" t="n">
        <v>489</v>
      </c>
      <c r="B40" s="3" t="inlineStr">
        <is>
          <t>두 번째 기회</t>
        </is>
      </c>
      <c r="C40" s="4" t="inlineStr">
        <is>
          <t>second chance</t>
        </is>
      </c>
      <c r="D40" s="11" t="inlineStr">
        <is>
          <t>만회할 수 있는 두 번째 기회</t>
        </is>
      </c>
      <c r="E40" s="11" t="inlineStr">
        <is>
          <t>Everyone deserves a second chance.</t>
        </is>
      </c>
      <c r="F40" s="11" t="inlineStr">
        <is>
          <t>누구에게나 만회할 수 있는 두 번째 기회는 주어져야 해.</t>
        </is>
      </c>
      <c r="G40" s="5">
        <f>HYPERLINK("https://www.youtube.com/watch?v=GA7NIKxDZB4", "영상 보기 ▶")</f>
        <v/>
      </c>
    </row>
    <row r="41" ht="26" customHeight="1">
      <c r="A41" s="6" t="n">
        <v>490</v>
      </c>
      <c r="B41" s="7" t="inlineStr">
        <is>
          <t>설레발 금지</t>
        </is>
      </c>
      <c r="C41" s="8" t="inlineStr">
        <is>
          <t>Don't get your hopes up</t>
        </is>
      </c>
      <c r="D41" s="12" t="inlineStr">
        <is>
          <t>너무 기대하지 마, 미리 김칫국 마시지 마</t>
        </is>
      </c>
      <c r="E41" s="12" t="inlineStr">
        <is>
          <t>It's not official yet, so don't get your hopes up.</t>
        </is>
      </c>
      <c r="F41" s="12" t="inlineStr">
        <is>
          <t>아직 확정된 건 아니니까 너무 설레발치지 마.</t>
        </is>
      </c>
      <c r="G41" s="9">
        <f>HYPERLINK("https://www.youtube.com/watch?v=GA7NIKxDZB4", "영상 보기 ▶")</f>
        <v/>
      </c>
    </row>
    <row r="42" ht="26" customHeight="1">
      <c r="A42" s="2" t="n">
        <v>491</v>
      </c>
      <c r="B42" s="3" t="inlineStr">
        <is>
          <t>손해 없음</t>
        </is>
      </c>
      <c r="C42" s="4" t="inlineStr">
        <is>
          <t>nothing to lose</t>
        </is>
      </c>
      <c r="D42" s="11" t="inlineStr">
        <is>
          <t>밑져야 본전이다, 잃을 게 전혀 없다</t>
        </is>
      </c>
      <c r="E42" s="11" t="inlineStr">
        <is>
          <t>Just apply for it, you have nothing to lose.</t>
        </is>
      </c>
      <c r="F42" s="11" t="inlineStr">
        <is>
          <t>그냥 지원이라도 해봐, 밑져야 본전이잖아.</t>
        </is>
      </c>
      <c r="G42" s="5">
        <f>HYPERLINK("https://www.youtube.com/watch?v=GA7NIKxDZB4", "영상 보기 ▶")</f>
        <v/>
      </c>
    </row>
    <row r="43" ht="26" customHeight="1">
      <c r="A43" s="6" t="n">
        <v>492</v>
      </c>
      <c r="B43" s="7" t="inlineStr">
        <is>
          <t>깊은 울림</t>
        </is>
      </c>
      <c r="C43" s="8" t="inlineStr">
        <is>
          <t>resonate with</t>
        </is>
      </c>
      <c r="D43" s="12" t="inlineStr">
        <is>
          <t>가슴에 와닿다, 깊은 공감을 불러일으키다</t>
        </is>
      </c>
      <c r="E43" s="12" t="inlineStr">
        <is>
          <t>Her speech really resonated with the audience.</t>
        </is>
      </c>
      <c r="F43" s="12" t="inlineStr">
        <is>
          <t>그녀의 연설은 청중들에게 깊은 울림과 공감을 주었어.</t>
        </is>
      </c>
      <c r="G43" s="9">
        <f>HYPERLINK("https://www.youtube.com/watch?v=GA7NIKxDZB4", "영상 보기 ▶")</f>
        <v/>
      </c>
    </row>
    <row r="44" ht="26" customHeight="1">
      <c r="A44" s="2" t="n">
        <v>493</v>
      </c>
      <c r="B44" s="3" t="inlineStr">
        <is>
          <t>찰떡궁합</t>
        </is>
      </c>
      <c r="C44" s="4" t="inlineStr">
        <is>
          <t>compatible</t>
        </is>
      </c>
      <c r="D44" s="11" t="inlineStr">
        <is>
          <t>성격이나 가치관이 잘 맞는, 호환성이 좋은</t>
        </is>
      </c>
      <c r="E44" s="11" t="inlineStr">
        <is>
          <t>They have very compatible personalities.</t>
        </is>
      </c>
      <c r="F44" s="11" t="inlineStr">
        <is>
          <t>그들은 서로 성격이 정말 찰떡처럼 잘 맞아.</t>
        </is>
      </c>
      <c r="G44" s="5">
        <f>HYPERLINK("https://www.youtube.com/watch?v=GA7NIKxDZB4", "영상 보기 ▶")</f>
        <v/>
      </c>
    </row>
    <row r="45" ht="26" customHeight="1">
      <c r="A45" s="6" t="n">
        <v>494</v>
      </c>
      <c r="B45" s="7" t="inlineStr">
        <is>
          <t>산책 여유</t>
        </is>
      </c>
      <c r="C45" s="8" t="inlineStr">
        <is>
          <t>stroll</t>
        </is>
      </c>
      <c r="D45" s="12" t="inlineStr">
        <is>
          <t>여유롭게 한가로이 거닐다, 산책하다</t>
        </is>
      </c>
      <c r="E45" s="12" t="inlineStr">
        <is>
          <t>We took a peaceful evening stroll in the park.</t>
        </is>
      </c>
      <c r="F45" s="12" t="inlineStr">
        <is>
          <t>우리는 저녁에 공원을 평화롭게 한가로이 거닐었어.</t>
        </is>
      </c>
      <c r="G45" s="9">
        <f>HYPERLINK("https://www.youtube.com/watch?v=GA7NIKxDZB4", "영상 보기 ▶")</f>
        <v/>
      </c>
    </row>
    <row r="46" ht="26" customHeight="1">
      <c r="A46" s="2" t="n">
        <v>495</v>
      </c>
      <c r="B46" s="3" t="inlineStr">
        <is>
          <t>백미/최고</t>
        </is>
      </c>
      <c r="C46" s="4" t="inlineStr">
        <is>
          <t>highlight of the day</t>
        </is>
      </c>
      <c r="D46" s="11" t="inlineStr">
        <is>
          <t>오늘 하루 중 가장 인상적이고 빛난 순간</t>
        </is>
      </c>
      <c r="E46" s="11" t="inlineStr">
        <is>
          <t>Meeting you was the highlight of my day.</t>
        </is>
      </c>
      <c r="F46" s="11" t="inlineStr">
        <is>
          <t>당신을 만난 게 오늘 하루 중 최고의 순간이었어요.</t>
        </is>
      </c>
      <c r="G46" s="5">
        <f>HYPERLINK("https://www.youtube.com/watch?v=GA7NIKxDZB4", "영상 보기 ▶")</f>
        <v/>
      </c>
    </row>
    <row r="47" ht="26" customHeight="1">
      <c r="A47" s="6" t="n">
        <v>496</v>
      </c>
      <c r="B47" s="7" t="inlineStr">
        <is>
          <t>성공 완수</t>
        </is>
      </c>
      <c r="C47" s="8" t="inlineStr">
        <is>
          <t>pull off</t>
        </is>
      </c>
      <c r="D47" s="12" t="inlineStr">
        <is>
          <t>어려운 과제를 기어코 성사시키다/해내다</t>
        </is>
      </c>
      <c r="E47" s="12" t="inlineStr">
        <is>
          <t>I can't believe we pulled it off!</t>
        </is>
      </c>
      <c r="F47" s="12" t="inlineStr">
        <is>
          <t>우리가 이걸 기어코 해내다니 믿기지가 않아!</t>
        </is>
      </c>
      <c r="G47" s="9">
        <f>HYPERLINK("https://www.youtube.com/watch?v=GA7NIKxDZB4", "영상 보기 ▶")</f>
        <v/>
      </c>
    </row>
    <row r="48" ht="26" customHeight="1">
      <c r="A48" s="2" t="n">
        <v>497</v>
      </c>
      <c r="B48" s="3" t="inlineStr">
        <is>
          <t>밀린 소통</t>
        </is>
      </c>
      <c r="C48" s="4" t="inlineStr">
        <is>
          <t>catch up on</t>
        </is>
      </c>
      <c r="D48" s="11" t="inlineStr">
        <is>
          <t>(밀린 일이나 대화를) 따라잡다, 회포를 풀다</t>
        </is>
      </c>
      <c r="E48" s="11" t="inlineStr">
        <is>
          <t>Let's grab a coffee and catch up.</t>
        </is>
      </c>
      <c r="F48" s="11" t="inlineStr">
        <is>
          <t>커피 한잔하면서 밀린 회포 좀 풀자.</t>
        </is>
      </c>
      <c r="G48" s="5">
        <f>HYPERLINK("https://www.youtube.com/watch?v=GA7NIKxDZB4", "영상 보기 ▶")</f>
        <v/>
      </c>
    </row>
    <row r="49" ht="26" customHeight="1">
      <c r="A49" s="6" t="n">
        <v>498</v>
      </c>
      <c r="B49" s="7" t="inlineStr">
        <is>
          <t>일정 문의</t>
        </is>
      </c>
      <c r="C49" s="8" t="inlineStr">
        <is>
          <t>What's your schedule like ~?</t>
        </is>
      </c>
      <c r="D49" s="12" t="inlineStr">
        <is>
          <t>~ 일정이 대략 어떠신가요?</t>
        </is>
      </c>
      <c r="E49" s="12" t="inlineStr">
        <is>
          <t>What's your schedule like next Wednesday?</t>
        </is>
      </c>
      <c r="F49" s="12" t="inlineStr">
        <is>
          <t>다음 주 수요일 일정 형편이 대략 어떠세요?</t>
        </is>
      </c>
      <c r="G49" s="9">
        <f>HYPERLINK("https://www.youtube.com/watch?v=GA7NIKxDZB4", "영상 보기 ▶")</f>
        <v/>
      </c>
    </row>
    <row r="50" ht="26" customHeight="1">
      <c r="A50" s="2" t="n">
        <v>499</v>
      </c>
      <c r="B50" s="3" t="inlineStr">
        <is>
          <t>인사 마무리</t>
        </is>
      </c>
      <c r="C50" s="4" t="inlineStr">
        <is>
          <t>I'll catch up with you later</t>
        </is>
      </c>
      <c r="D50" s="11" t="inlineStr">
        <is>
          <t>이따가 다시 얘기 나눠, 나중에 봐</t>
        </is>
      </c>
      <c r="E50" s="11" t="inlineStr">
        <is>
          <t>I have to jump on a call, I'll catch up with you later.</t>
        </is>
      </c>
      <c r="F50" s="11" t="inlineStr">
        <is>
          <t>나 지금 회의 들어가야 해서 이따가 다시 얘기 나누자.</t>
        </is>
      </c>
      <c r="G50" s="5">
        <f>HYPERLINK("https://www.youtube.com/watch?v=GA7NIKxDZB4", "영상 보기 ▶")</f>
        <v/>
      </c>
    </row>
    <row r="51" ht="26" customHeight="1">
      <c r="A51" s="6" t="n">
        <v>500</v>
      </c>
      <c r="B51" s="7" t="inlineStr">
        <is>
          <t>다의어 miss</t>
        </is>
      </c>
      <c r="C51" s="8" t="inlineStr">
        <is>
          <t>miss</t>
        </is>
      </c>
      <c r="D51" s="12" t="inlineStr">
        <is>
          <t>① 놓치다 ② 그리워하다 ③ 빠뜨리다/누락하다</t>
        </is>
      </c>
      <c r="E51" s="12" t="inlineStr">
        <is>
          <t>Make sure you don't miss any details.</t>
        </is>
      </c>
      <c r="F51" s="12" t="inlineStr">
        <is>
          <t>어떤 세부 사항도 절대 누락하지 않도록 주의해.</t>
        </is>
      </c>
      <c r="G51" s="9">
        <f>HYPERLINK("https://www.youtube.com/watch?v=GA7NIKxDZB4", "영상 보기 ▶")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8" customWidth="1" min="3" max="3"/>
    <col width="47" customWidth="1" min="4" max="4"/>
    <col width="75" customWidth="1" min="5" max="5"/>
    <col width="72.7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501</v>
      </c>
      <c r="B2" s="3" t="inlineStr">
        <is>
          <t>업무 지원</t>
        </is>
      </c>
      <c r="C2" s="4" t="inlineStr">
        <is>
          <t>fill in</t>
        </is>
      </c>
      <c r="D2" s="11" t="inlineStr">
        <is>
          <t>(세부사항을) 알려주다 / (부재중인 사람을) 대신하다</t>
        </is>
      </c>
      <c r="E2" s="11" t="inlineStr">
        <is>
          <t>Can you fill in for me while I'm away? / Let me fill you in on what happened.</t>
        </is>
      </c>
      <c r="F2" s="11" t="inlineStr">
        <is>
          <t>나 부재중에 내 일 좀 대신 맡아줄 수 있어? / 무슨 일이 있었는지 자세히 알려줄게.</t>
        </is>
      </c>
      <c r="G2" s="5">
        <f>HYPERLINK("https://www.youtube.com/watch?v=HTed60y_wXc", "영상 보기 ▶")</f>
        <v/>
      </c>
    </row>
    <row r="3" ht="26" customHeight="1">
      <c r="A3" s="6" t="n">
        <v>502</v>
      </c>
      <c r="B3" s="7" t="inlineStr">
        <is>
          <t>동의/합류</t>
        </is>
      </c>
      <c r="C3" s="8" t="inlineStr">
        <is>
          <t>on board</t>
        </is>
      </c>
      <c r="D3" s="12" t="inlineStr">
        <is>
          <t>팀/계획에 동의하는, 동참하는</t>
        </is>
      </c>
      <c r="E3" s="12" t="inlineStr">
        <is>
          <t>Are you on board with the new strategy?</t>
        </is>
      </c>
      <c r="F3" s="12" t="inlineStr">
        <is>
          <t>새로운 전략 방향에 동의하시나요?</t>
        </is>
      </c>
      <c r="G3" s="9">
        <f>HYPERLINK("https://www.youtube.com/watch?v=HTed60y_wXc", "영상 보기 ▶")</f>
        <v/>
      </c>
    </row>
    <row r="4" ht="26" customHeight="1">
      <c r="A4" s="2" t="n">
        <v>503</v>
      </c>
      <c r="B4" s="3" t="inlineStr">
        <is>
          <t>속임/호감</t>
        </is>
      </c>
      <c r="C4" s="4" t="inlineStr">
        <is>
          <t>fall for</t>
        </is>
      </c>
      <c r="D4" s="11" t="inlineStr">
        <is>
          <t>① ~에 속아 넘어가다 ② ~에게 홀딱 반하다</t>
        </is>
      </c>
      <c r="E4" s="11" t="inlineStr">
        <is>
          <t>Don't fall for their marketing tricks. / He fell for her immediately.</t>
        </is>
      </c>
      <c r="F4" s="11" t="inlineStr">
        <is>
          <t>그들의 마케팅 상술에 속지 마. / 그는 그녀에게 첫눈에 반했어.</t>
        </is>
      </c>
      <c r="G4" s="5">
        <f>HYPERLINK("https://www.youtube.com/watch?v=HTed60y_wXc", "영상 보기 ▶")</f>
        <v/>
      </c>
    </row>
    <row r="5" ht="26" customHeight="1">
      <c r="A5" s="6" t="n">
        <v>504</v>
      </c>
      <c r="B5" s="7" t="inlineStr">
        <is>
          <t>일정 지연</t>
        </is>
      </c>
      <c r="C5" s="8" t="inlineStr">
        <is>
          <t>fall behind</t>
        </is>
      </c>
      <c r="D5" s="12" t="inlineStr">
        <is>
          <t>(진도/일정/납부 등에서) 뒤처지다, 밀리다</t>
        </is>
      </c>
      <c r="E5" s="12" t="inlineStr">
        <is>
          <t>We can't afford to fall behind schedule.</t>
        </is>
      </c>
      <c r="F5" s="12" t="inlineStr">
        <is>
          <t>우리는 일정에서 뒤처질 여유가 없습니다.</t>
        </is>
      </c>
      <c r="G5" s="9">
        <f>HYPERLINK("https://www.youtube.com/watch?v=HTed60y_wXc", "영상 보기 ▶")</f>
        <v/>
      </c>
    </row>
    <row r="6" ht="26" customHeight="1">
      <c r="A6" s="2" t="n">
        <v>505</v>
      </c>
      <c r="B6" s="3" t="inlineStr">
        <is>
          <t>비상 대책</t>
        </is>
      </c>
      <c r="C6" s="4" t="inlineStr">
        <is>
          <t>fall back on</t>
        </is>
      </c>
      <c r="D6" s="11" t="inlineStr">
        <is>
          <t>(곤경에 처했을 때) 의지하다, 기댈 곳을 찾다</t>
        </is>
      </c>
      <c r="E6" s="11" t="inlineStr">
        <is>
          <t>It's always good to have some savings to fall back on.</t>
        </is>
      </c>
      <c r="F6" s="11" t="inlineStr">
        <is>
          <t>비상시에 기댈 수 있는 저축이 좀 있는 게 늘 좋죠.</t>
        </is>
      </c>
      <c r="G6" s="5">
        <f>HYPERLINK("https://www.youtube.com/watch?v=HTed60y_wXc", "영상 보기 ▶")</f>
        <v/>
      </c>
    </row>
    <row r="7" ht="26" customHeight="1">
      <c r="A7" s="6" t="n">
        <v>506</v>
      </c>
      <c r="B7" s="7" t="inlineStr">
        <is>
          <t>관계 악화</t>
        </is>
      </c>
      <c r="C7" s="8" t="inlineStr">
        <is>
          <t>fall out</t>
        </is>
      </c>
      <c r="D7" s="12" t="inlineStr">
        <is>
          <t>(싸우고) 사이가 틀어지다, 소원해지다</t>
        </is>
      </c>
      <c r="E7" s="12" t="inlineStr">
        <is>
          <t>They fell out over a misunderstanding at work.</t>
        </is>
      </c>
      <c r="F7" s="12" t="inlineStr">
        <is>
          <t>그들은 직장에서의 오해로 인해 사이가 틀어졌어.</t>
        </is>
      </c>
      <c r="G7" s="9">
        <f>HYPERLINK("https://www.youtube.com/watch?v=HTed60y_wXc", "영상 보기 ▶")</f>
        <v/>
      </c>
    </row>
    <row r="8" ht="26" customHeight="1">
      <c r="A8" s="2" t="n">
        <v>507</v>
      </c>
      <c r="B8" s="3" t="inlineStr">
        <is>
          <t>계획 무산</t>
        </is>
      </c>
      <c r="C8" s="4" t="inlineStr">
        <is>
          <t>fall through</t>
        </is>
      </c>
      <c r="D8" s="11" t="inlineStr">
        <is>
          <t>(계약/계획이) 수포로 돌아가다, 무산되다</t>
        </is>
      </c>
      <c r="E8" s="11" t="inlineStr">
        <is>
          <t>The partnership deal fell through at the last minute.</t>
        </is>
      </c>
      <c r="F8" s="11" t="inlineStr">
        <is>
          <t>그 제휴 계약은 마지막 순간에 무산되었습니다.</t>
        </is>
      </c>
      <c r="G8" s="5">
        <f>HYPERLINK("https://www.youtube.com/watch?v=HTed60y_wXc", "영상 보기 ▶")</f>
        <v/>
      </c>
    </row>
    <row r="9" ht="26" customHeight="1">
      <c r="A9" s="6" t="n">
        <v>508</v>
      </c>
      <c r="B9" s="7" t="inlineStr">
        <is>
          <t>붕괴/파탄</t>
        </is>
      </c>
      <c r="C9" s="8" t="inlineStr">
        <is>
          <t>fall apart</t>
        </is>
      </c>
      <c r="D9" s="12" t="inlineStr">
        <is>
          <t>산산이 부서지다, 무너지다, 멘붕 오다</t>
        </is>
      </c>
      <c r="E9" s="12" t="inlineStr">
        <is>
          <t>Without proper management, everything will fall apart.</t>
        </is>
      </c>
      <c r="F9" s="12" t="inlineStr">
        <is>
          <t>제대로 된 관리가 없으면 모든 게 와르르 무너질 거예요.</t>
        </is>
      </c>
      <c r="G9" s="9">
        <f>HYPERLINK("https://www.youtube.com/watch?v=HTed60y_wXc", "영상 보기 ▶")</f>
        <v/>
      </c>
    </row>
    <row r="10" ht="26" customHeight="1">
      <c r="A10" s="2" t="n">
        <v>509</v>
      </c>
      <c r="B10" s="3" t="inlineStr">
        <is>
          <t>목표 미달</t>
        </is>
      </c>
      <c r="C10" s="4" t="inlineStr">
        <is>
          <t>fall short</t>
        </is>
      </c>
      <c r="D10" s="11" t="inlineStr">
        <is>
          <t>(기대나 목표치에) 미치지 못하다, 미달하다</t>
        </is>
      </c>
      <c r="E10" s="11" t="inlineStr">
        <is>
          <t>Our quarterly revenue fell short of expectations.</t>
        </is>
      </c>
      <c r="F10" s="11" t="inlineStr">
        <is>
          <t>우리 분기 매출이 기대치에 미치지 못했습니다.</t>
        </is>
      </c>
      <c r="G10" s="5">
        <f>HYPERLINK("https://www.youtube.com/watch?v=HTed60y_wXc", "영상 보기 ▶")</f>
        <v/>
      </c>
    </row>
    <row r="11" ht="26" customHeight="1">
      <c r="A11" s="6" t="n">
        <v>510</v>
      </c>
      <c r="B11" s="7" t="inlineStr">
        <is>
          <t>과부하</t>
        </is>
      </c>
      <c r="C11" s="8" t="inlineStr">
        <is>
          <t>My brain is fried</t>
        </is>
      </c>
      <c r="D11" s="12" t="inlineStr">
        <is>
          <t>머리에 과부하가 걸렸어, 머리가 멍해</t>
        </is>
      </c>
      <c r="E11" s="12" t="inlineStr">
        <is>
          <t>I've been staring at spreadsheets all day; my brain is fried.</t>
        </is>
      </c>
      <c r="F11" s="12" t="inlineStr">
        <is>
          <t>하루 종일 엑셀 시트만 쳐다봤더니 머리에 쥐가 날 것 같아.</t>
        </is>
      </c>
      <c r="G11" s="9">
        <f>HYPERLINK("https://www.youtube.com/watch?v=HTed60y_wXc", "영상 보기 ▶")</f>
        <v/>
      </c>
    </row>
    <row r="12" ht="26" customHeight="1">
      <c r="A12" s="2" t="n">
        <v>511</v>
      </c>
      <c r="B12" s="3" t="inlineStr">
        <is>
          <t>상태 해명</t>
        </is>
      </c>
      <c r="C12" s="4" t="inlineStr">
        <is>
          <t>Sorry. I haven't had (my) coffee yet</t>
        </is>
      </c>
      <c r="D12" s="11" t="inlineStr">
        <is>
          <t>미안, 아직 모닝커피를 못 마셔서 정신이 멍하네</t>
        </is>
      </c>
      <c r="E12" s="11" t="inlineStr">
        <is>
          <t>Sorry, what did you say? I haven't had my coffee yet.</t>
        </is>
      </c>
      <c r="F12" s="11" t="inlineStr">
        <is>
          <t>미안, 뭐라고 했어? 아직 커피를 못 마셔서 제정신이 아니네.</t>
        </is>
      </c>
      <c r="G12" s="5">
        <f>HYPERLINK("https://www.youtube.com/watch?v=HTed60y_wXc", "영상 보기 ▶")</f>
        <v/>
      </c>
    </row>
    <row r="13" ht="26" customHeight="1">
      <c r="A13" s="6" t="n">
        <v>512</v>
      </c>
      <c r="B13" s="7" t="inlineStr">
        <is>
          <t>경험/눈치</t>
        </is>
      </c>
      <c r="C13" s="8" t="inlineStr">
        <is>
          <t>I wasn't born yesterday</t>
        </is>
      </c>
      <c r="D13" s="12" t="inlineStr">
        <is>
          <t>나도 알 건 다 알아, 나 그렇게 호락호락하지 않아</t>
        </is>
      </c>
      <c r="E13" s="12" t="inlineStr">
        <is>
          <t>You don't need to lie to me; I wasn't born yesterday.</t>
        </is>
      </c>
      <c r="F13" s="12" t="inlineStr">
        <is>
          <t>나한테 거짓말할 필요 없어, 나도 세상 물정 모르는 바보 아니야.</t>
        </is>
      </c>
      <c r="G13" s="9">
        <f>HYPERLINK("https://www.youtube.com/watch?v=HTed60y_wXc", "영상 보기 ▶")</f>
        <v/>
      </c>
    </row>
    <row r="14" ht="26" customHeight="1">
      <c r="A14" s="2" t="n">
        <v>513</v>
      </c>
      <c r="B14" s="3" t="inlineStr">
        <is>
          <t>미숙함</t>
        </is>
      </c>
      <c r="C14" s="4" t="inlineStr">
        <is>
          <t>rookie</t>
        </is>
      </c>
      <c r="D14" s="11" t="inlineStr">
        <is>
          <t>신참, 초보 (rookie mistake: 초보적인 실수)</t>
        </is>
      </c>
      <c r="E14" s="11" t="inlineStr">
        <is>
          <t>Don't beat yourself up; it was just a rookie mistake.</t>
        </is>
      </c>
      <c r="F14" s="11" t="inlineStr">
        <is>
          <t>너무 자책하지 마, 그건 그냥 초보적인 실수였어.</t>
        </is>
      </c>
      <c r="G14" s="5">
        <f>HYPERLINK("https://www.youtube.com/watch?v=HTed60y_wXc", "영상 보기 ▶")</f>
        <v/>
      </c>
    </row>
    <row r="15" ht="26" customHeight="1">
      <c r="A15" s="6" t="n">
        <v>514</v>
      </c>
      <c r="B15" s="7" t="inlineStr">
        <is>
          <t>책임 전가</t>
        </is>
      </c>
      <c r="C15" s="8" t="inlineStr">
        <is>
          <t>point fingers</t>
        </is>
      </c>
      <c r="D15" s="12" t="inlineStr">
        <is>
          <t>(잘못에 대해) 남 탓을 하다, 손가락질하다</t>
        </is>
      </c>
      <c r="E15" s="12" t="inlineStr">
        <is>
          <t>Now is not the time to point fingers; let's fix the problem.</t>
        </is>
      </c>
      <c r="F15" s="12" t="inlineStr">
        <is>
          <t>지금은 남 탓할 때가 아닙니다, 문제 해결부터 합시다.</t>
        </is>
      </c>
      <c r="G15" s="9">
        <f>HYPERLINK("https://www.youtube.com/watch?v=HTed60y_wXc", "영상 보기 ▶")</f>
        <v/>
      </c>
    </row>
    <row r="16" ht="26" customHeight="1">
      <c r="A16" s="2" t="n">
        <v>515</v>
      </c>
      <c r="B16" s="3" t="inlineStr">
        <is>
          <t>무의미함</t>
        </is>
      </c>
      <c r="C16" s="4" t="inlineStr">
        <is>
          <t>It's not going to get us anywhere</t>
        </is>
      </c>
      <c r="D16" s="11" t="inlineStr">
        <is>
          <t>그렇게 해봤자 아무런 도움/소용이 없어</t>
        </is>
      </c>
      <c r="E16" s="11" t="inlineStr">
        <is>
          <t>Arguing like this is not going to get us anywhere.</t>
        </is>
      </c>
      <c r="F16" s="11" t="inlineStr">
        <is>
          <t>이렇게 언쟁해 봤자 우리에게 아무런 득이 되지 않아.</t>
        </is>
      </c>
      <c r="G16" s="5">
        <f>HYPERLINK("https://www.youtube.com/watch?v=HTed60y_wXc", "영상 보기 ▶")</f>
        <v/>
      </c>
    </row>
    <row r="17" ht="26" customHeight="1">
      <c r="A17" s="6" t="n">
        <v>516</v>
      </c>
      <c r="B17" s="7" t="inlineStr">
        <is>
          <t>감사 표현</t>
        </is>
      </c>
      <c r="C17" s="8" t="inlineStr">
        <is>
          <t>What would I do without you?</t>
        </is>
      </c>
      <c r="D17" s="12" t="inlineStr">
        <is>
          <t>너 없었으면 내가 어쩔 뻔했니! (진심 어린 감사)</t>
        </is>
      </c>
      <c r="E17" s="12" t="inlineStr">
        <is>
          <t>Thank you so much for saving the presentation. What would I do without you?</t>
        </is>
      </c>
      <c r="F17" s="12" t="inlineStr">
        <is>
          <t>발표 자료 살려줘서 정말 고마워. 너 없었으면 어쩔 뻔했니!</t>
        </is>
      </c>
      <c r="G17" s="9">
        <f>HYPERLINK("https://www.youtube.com/watch?v=HTed60y_wXc", "영상 보기 ▶")</f>
        <v/>
      </c>
    </row>
    <row r="18" ht="26" customHeight="1">
      <c r="A18" s="2" t="n">
        <v>517</v>
      </c>
      <c r="B18" s="3" t="inlineStr">
        <is>
          <t>조심스런 제안</t>
        </is>
      </c>
      <c r="C18" s="4" t="inlineStr">
        <is>
          <t>I was thinking</t>
        </is>
      </c>
      <c r="D18" s="11" t="inlineStr">
        <is>
          <t>내 생각에는 말이지, 혹시 ~하면 어떨까 싶어서</t>
        </is>
      </c>
      <c r="E18" s="11" t="inlineStr">
        <is>
          <t>I was thinking we could reschedule our meeting to Thursday.</t>
        </is>
      </c>
      <c r="F18" s="11" t="inlineStr">
        <is>
          <t>우리 회의를 목요일로 조정하면 어떨까 생각 중이었어요.</t>
        </is>
      </c>
      <c r="G18" s="5">
        <f>HYPERLINK("https://www.youtube.com/watch?v=HTed60y_wXc", "영상 보기 ▶")</f>
        <v/>
      </c>
    </row>
    <row r="19" ht="26" customHeight="1">
      <c r="A19" s="6" t="n">
        <v>518</v>
      </c>
      <c r="B19" s="7" t="inlineStr">
        <is>
          <t>업무 장악</t>
        </is>
      </c>
      <c r="C19" s="8" t="inlineStr">
        <is>
          <t>I'm on top of it</t>
        </is>
      </c>
      <c r="D19" s="12" t="inlineStr">
        <is>
          <t>내가 완벽하게 챙겨서 처리 중이야 (걱정 마)</t>
        </is>
      </c>
      <c r="E19" s="12" t="inlineStr">
        <is>
          <t>Don't worry about the shipment issue; I'm completely on top of it.</t>
        </is>
      </c>
      <c r="F19" s="12" t="inlineStr">
        <is>
          <t>배송 문제 걱정 마세요, 제가 확실히 챙겨보고 있습니다.</t>
        </is>
      </c>
      <c r="G19" s="9">
        <f>HYPERLINK("https://www.youtube.com/watch?v=HTed60y_wXc", "영상 보기 ▶")</f>
        <v/>
      </c>
    </row>
    <row r="20" ht="26" customHeight="1">
      <c r="A20" s="2" t="n">
        <v>519</v>
      </c>
      <c r="B20" s="3" t="inlineStr">
        <is>
          <t>처리 완료</t>
        </is>
      </c>
      <c r="C20" s="4" t="inlineStr">
        <is>
          <t>It's already been taken care of</t>
        </is>
      </c>
      <c r="D20" s="11" t="inlineStr">
        <is>
          <t>그건 이미 다 처리되었습니다</t>
        </is>
      </c>
      <c r="E20" s="11" t="inlineStr">
        <is>
          <t>You don't need to book the tickets; it's already been taken care of.</t>
        </is>
      </c>
      <c r="F20" s="11" t="inlineStr">
        <is>
          <t>티켓 예매하실 필요 없어요, 이미 처리 완료되었습니다.</t>
        </is>
      </c>
      <c r="G20" s="5">
        <f>HYPERLINK("https://www.youtube.com/watch?v=HTed60y_wXc", "영상 보기 ▶")</f>
        <v/>
      </c>
    </row>
    <row r="21" ht="26" customHeight="1">
      <c r="A21" s="6" t="n">
        <v>520</v>
      </c>
      <c r="B21" s="7" t="inlineStr">
        <is>
          <t>선의 해석</t>
        </is>
      </c>
      <c r="C21" s="8" t="inlineStr">
        <is>
          <t>Give (대상) the benefit of the doubt</t>
        </is>
      </c>
      <c r="D21" s="12" t="inlineStr">
        <is>
          <t>의심스럽더라도 일단 악의는 아닐 거라고 믿어주다</t>
        </is>
      </c>
      <c r="E21" s="12" t="inlineStr">
        <is>
          <t>Let's give him the benefit of the doubt until we hear his side.</t>
        </is>
      </c>
      <c r="F21" s="12" t="inlineStr">
        <is>
          <t>그 사람 입장도 들어볼 때까지는 일단 좋게 믿어줍시다.</t>
        </is>
      </c>
      <c r="G21" s="9">
        <f>HYPERLINK("https://www.youtube.com/watch?v=HTed60y_wXc", "영상 보기 ▶")</f>
        <v/>
      </c>
    </row>
    <row r="22" ht="26" customHeight="1">
      <c r="A22" s="2" t="n">
        <v>521</v>
      </c>
      <c r="B22" s="3" t="inlineStr">
        <is>
          <t>품질/인성</t>
        </is>
      </c>
      <c r="C22" s="4" t="inlineStr">
        <is>
          <t>decent</t>
        </is>
      </c>
      <c r="D22" s="11" t="inlineStr">
        <is>
          <t>꽤 괜찮은, 수준급의, 품위 있는</t>
        </is>
      </c>
      <c r="E22" s="11" t="inlineStr">
        <is>
          <t>He offered me a decent salary and great benefits.</t>
        </is>
      </c>
      <c r="F22" s="11" t="inlineStr">
        <is>
          <t>그는 나에게 꽤 괜찮은 급여와 훌륭한 복지를 제안했어.</t>
        </is>
      </c>
      <c r="G22" s="5">
        <f>HYPERLINK("https://www.youtube.com/watch?v=HTed60y_wXc", "영상 보기 ▶")</f>
        <v/>
      </c>
    </row>
    <row r="23" ht="26" customHeight="1">
      <c r="A23" s="6" t="n">
        <v>522</v>
      </c>
      <c r="B23" s="7" t="inlineStr">
        <is>
          <t>인간 도리</t>
        </is>
      </c>
      <c r="C23" s="8" t="inlineStr">
        <is>
          <t>It's only decent</t>
        </is>
      </c>
      <c r="D23" s="12" t="inlineStr">
        <is>
          <t>그게 사람 된 도리/기본 예의지</t>
        </is>
      </c>
      <c r="E23" s="12" t="inlineStr">
        <is>
          <t>Calling them back to apologize is only decent.</t>
        </is>
      </c>
      <c r="F23" s="12" t="inlineStr">
        <is>
          <t>다시 전화해서 사과하는 게 최소한의 인간적 도리죠.</t>
        </is>
      </c>
      <c r="G23" s="9">
        <f>HYPERLINK("https://www.youtube.com/watch?v=HTed60y_wXc", "영상 보기 ▶")</f>
        <v/>
      </c>
    </row>
    <row r="24" ht="26" customHeight="1">
      <c r="A24" s="2" t="n">
        <v>523</v>
      </c>
      <c r="B24" s="3" t="inlineStr">
        <is>
          <t>성의 요구</t>
        </is>
      </c>
      <c r="C24" s="4" t="inlineStr">
        <is>
          <t>You could at least pretend ~</t>
        </is>
      </c>
      <c r="D24" s="11" t="inlineStr">
        <is>
          <t>적어도 ~하는 척이라도 할 수 있잖아</t>
        </is>
      </c>
      <c r="E24" s="11" t="inlineStr">
        <is>
          <t>You could at least pretend to be interested.</t>
        </is>
      </c>
      <c r="F24" s="11" t="inlineStr">
        <is>
          <t>적어도 관심 있는 척이라도 해줄 수 있잖아.</t>
        </is>
      </c>
      <c r="G24" s="5">
        <f>HYPERLINK("https://www.youtube.com/watch?v=HTed60y_wXc", "영상 보기 ▶")</f>
        <v/>
      </c>
    </row>
    <row r="25" ht="26" customHeight="1">
      <c r="A25" s="6" t="n">
        <v>524</v>
      </c>
      <c r="B25" s="7" t="inlineStr">
        <is>
          <t>우연/운명</t>
        </is>
      </c>
      <c r="C25" s="8" t="inlineStr">
        <is>
          <t>It's a sign!</t>
        </is>
      </c>
      <c r="D25" s="12" t="inlineStr">
        <is>
          <t>이건 운명의 계시/징조야!</t>
        </is>
      </c>
      <c r="E25" s="12" t="inlineStr">
        <is>
          <t>We ran into each other twice today; it's a sign!</t>
        </is>
      </c>
      <c r="F25" s="12" t="inlineStr">
        <is>
          <t>우리 오늘 두 번이나 마주쳤잖아, 이건 분명 계시야!</t>
        </is>
      </c>
      <c r="G25" s="9">
        <f>HYPERLINK("https://www.youtube.com/watch?v=HTed60y_wXc", "영상 보기 ▶")</f>
        <v/>
      </c>
    </row>
    <row r="26" ht="26" customHeight="1">
      <c r="A26" s="2" t="n">
        <v>525</v>
      </c>
      <c r="B26" s="3" t="inlineStr">
        <is>
          <t>핵심 수고</t>
        </is>
      </c>
      <c r="C26" s="4" t="inlineStr">
        <is>
          <t>heavy lifting</t>
        </is>
      </c>
      <c r="D26" s="11" t="inlineStr">
        <is>
          <t>가장 힘들고 고된 핵심 작업</t>
        </is>
      </c>
      <c r="E26" s="11" t="inlineStr">
        <is>
          <t>Thanks for doing all the heavy lifting on this report.</t>
        </is>
      </c>
      <c r="F26" s="11" t="inlineStr">
        <is>
          <t>이 보고서에서 가장 힘든 부분들을 다 도맡아 해줘서 고마워.</t>
        </is>
      </c>
      <c r="G26" s="5">
        <f>HYPERLINK("https://www.youtube.com/watch?v=HTed60y_wXc", "영상 보기 ▶")</f>
        <v/>
      </c>
    </row>
    <row r="27" ht="26" customHeight="1">
      <c r="A27" s="6" t="n">
        <v>526</v>
      </c>
      <c r="B27" s="7" t="inlineStr">
        <is>
          <t>가능성 탐색</t>
        </is>
      </c>
      <c r="C27" s="8" t="inlineStr">
        <is>
          <t>explore</t>
        </is>
      </c>
      <c r="D27" s="12" t="inlineStr">
        <is>
          <t>(가능성, 대안을) 알아보다, 모색하다</t>
        </is>
      </c>
      <c r="E27" s="12" t="inlineStr">
        <is>
          <t>We should explore alternative solutions before deciding.</t>
        </is>
      </c>
      <c r="F27" s="12" t="inlineStr">
        <is>
          <t>결정하기 전에 다른 대안들도 모색해봐야 합니다.</t>
        </is>
      </c>
      <c r="G27" s="9">
        <f>HYPERLINK("https://www.youtube.com/watch?v=HTed60y_wXc", "영상 보기 ▶")</f>
        <v/>
      </c>
    </row>
    <row r="28" ht="26" customHeight="1">
      <c r="A28" s="2" t="n">
        <v>527</v>
      </c>
      <c r="B28" s="3" t="inlineStr">
        <is>
          <t>주도성</t>
        </is>
      </c>
      <c r="C28" s="4" t="inlineStr">
        <is>
          <t>take the initiative</t>
        </is>
      </c>
      <c r="D28" s="11" t="inlineStr">
        <is>
          <t>주도권을 잡다, 솔선수범하다</t>
        </is>
      </c>
      <c r="E28" s="11" t="inlineStr">
        <is>
          <t>She took the initiative to organize the workshop.</t>
        </is>
      </c>
      <c r="F28" s="11" t="inlineStr">
        <is>
          <t>그녀가 솔선수범하여 워크숍 준비를 주도했어.</t>
        </is>
      </c>
      <c r="G28" s="5">
        <f>HYPERLINK("https://www.youtube.com/watch?v=HTed60y_wXc", "영상 보기 ▶")</f>
        <v/>
      </c>
    </row>
    <row r="29" ht="26" customHeight="1">
      <c r="A29" s="6" t="n">
        <v>528</v>
      </c>
      <c r="B29" s="7" t="inlineStr">
        <is>
          <t>능동적 태도</t>
        </is>
      </c>
      <c r="C29" s="8" t="inlineStr">
        <is>
          <t>show initiative</t>
        </is>
      </c>
      <c r="D29" s="12" t="inlineStr">
        <is>
          <t>스스로 솔선수범하는 적극적인 태도를 보이다</t>
        </is>
      </c>
      <c r="E29" s="12" t="inlineStr">
        <is>
          <t>Management loves employees who show initiative.</t>
        </is>
      </c>
      <c r="F29" s="12" t="inlineStr">
        <is>
          <t>경영진은 능동적으로 솔선수범하는 직원을 높이 평가해요.</t>
        </is>
      </c>
      <c r="G29" s="9">
        <f>HYPERLINK("https://www.youtube.com/watch?v=HTed60y_wXc", "영상 보기 ▶")</f>
        <v/>
      </c>
    </row>
    <row r="30" ht="26" customHeight="1">
      <c r="A30" s="2" t="n">
        <v>529</v>
      </c>
      <c r="B30" s="3" t="inlineStr">
        <is>
          <t>회복력</t>
        </is>
      </c>
      <c r="C30" s="4" t="inlineStr">
        <is>
          <t>resilient</t>
        </is>
      </c>
      <c r="D30" s="11" t="inlineStr">
        <is>
          <t>(시련에도 굴하지 않고) 회복력 있는, 꿋꿋한</t>
        </is>
      </c>
      <c r="E30" s="11" t="inlineStr">
        <is>
          <t>She is remarkably resilient, even during tough times.</t>
        </is>
      </c>
      <c r="F30" s="11" t="inlineStr">
        <is>
          <t>그녀는 힘든 시기에도 놀라울 정도로 꿋꿋하게 잘 이겨내요.</t>
        </is>
      </c>
      <c r="G30" s="5">
        <f>HYPERLINK("https://www.youtube.com/watch?v=HTed60y_wXc", "영상 보기 ▶")</f>
        <v/>
      </c>
    </row>
    <row r="31" ht="26" customHeight="1">
      <c r="A31" s="6" t="n">
        <v>530</v>
      </c>
      <c r="B31" s="7" t="inlineStr">
        <is>
          <t>칭찬/격려</t>
        </is>
      </c>
      <c r="C31" s="8" t="inlineStr">
        <is>
          <t>Loving the can-do spirit!</t>
        </is>
      </c>
      <c r="D31" s="12" t="inlineStr">
        <is>
          <t>하면 된다는 긍정적인 적극성 너무 마음에 든다!</t>
        </is>
      </c>
      <c r="E31" s="12" t="inlineStr">
        <is>
          <t>That's the attitude! Loving the can-do spirit!</t>
        </is>
      </c>
      <c r="F31" s="12" t="inlineStr">
        <is>
          <t>바로 그 자세야! 하면 된다는 그 긍정 마인드 너무 좋아!</t>
        </is>
      </c>
      <c r="G31" s="9">
        <f>HYPERLINK("https://www.youtube.com/watch?v=HTed60y_wXc", "영상 보기 ▶")</f>
        <v/>
      </c>
    </row>
    <row r="32" ht="26" customHeight="1">
      <c r="A32" s="2" t="n">
        <v>531</v>
      </c>
      <c r="B32" s="3" t="inlineStr">
        <is>
          <t>시간문제</t>
        </is>
      </c>
      <c r="C32" s="4" t="inlineStr">
        <is>
          <t>It's only/just a matter of time</t>
        </is>
      </c>
      <c r="D32" s="11" t="inlineStr">
        <is>
          <t>단지 시간문제일 뿐이야 (언젠가는 일어남)</t>
        </is>
      </c>
      <c r="E32" s="11" t="inlineStr">
        <is>
          <t>It's only a matter of time before electric cars dominate.</t>
        </is>
      </c>
      <c r="F32" s="11" t="inlineStr">
        <is>
          <t>전기차가 대세가 되는 것은 단지 시간문제일 뿐이야.</t>
        </is>
      </c>
      <c r="G32" s="5">
        <f>HYPERLINK("https://www.youtube.com/watch?v=HTed60y_wXc", "영상 보기 ▶")</f>
        <v/>
      </c>
    </row>
    <row r="33" ht="26" customHeight="1">
      <c r="A33" s="6" t="n">
        <v>532</v>
      </c>
      <c r="B33" s="7" t="inlineStr">
        <is>
          <t>사업 중단</t>
        </is>
      </c>
      <c r="C33" s="8" t="inlineStr">
        <is>
          <t>pull the plug</t>
        </is>
      </c>
      <c r="D33" s="12" t="inlineStr">
        <is>
          <t>(프로젝트 등의) 지원을 끊다, 중단하다</t>
        </is>
      </c>
      <c r="E33" s="12" t="inlineStr">
        <is>
          <t>The board decided to pull the plug on the new project.</t>
        </is>
      </c>
      <c r="F33" s="12" t="inlineStr">
        <is>
          <t>이사회는 신규 프로젝트를 전면 중단하기로 결정했습니다.</t>
        </is>
      </c>
      <c r="G33" s="9">
        <f>HYPERLINK("https://www.youtube.com/watch?v=HTed60y_wXc", "영상 보기 ▶")</f>
        <v/>
      </c>
    </row>
    <row r="34" ht="26" customHeight="1">
      <c r="A34" s="2" t="n">
        <v>533</v>
      </c>
      <c r="B34" s="3" t="inlineStr">
        <is>
          <t>예측</t>
        </is>
      </c>
      <c r="C34" s="4" t="inlineStr">
        <is>
          <t>I saw that coming a mile away</t>
        </is>
      </c>
      <c r="D34" s="11" t="inlineStr">
        <is>
          <t>난 그렇게 될 줄 진작부터 뻔히 알았어</t>
        </is>
      </c>
      <c r="E34" s="11" t="inlineStr">
        <is>
          <t>His resignation didn't surprise me; I saw that coming a mile away.</t>
        </is>
      </c>
      <c r="F34" s="11" t="inlineStr">
        <is>
          <t>그의 사직은 놀랍지도 않아, 진작부터 그렇게 될 줄 뻔히 보였거든.</t>
        </is>
      </c>
      <c r="G34" s="5">
        <f>HYPERLINK("https://www.youtube.com/watch?v=HTed60y_wXc", "영상 보기 ▶")</f>
        <v/>
      </c>
    </row>
    <row r="35" ht="26" customHeight="1">
      <c r="A35" s="6" t="n">
        <v>534</v>
      </c>
      <c r="B35" s="7" t="inlineStr">
        <is>
          <t>권한 밖</t>
        </is>
      </c>
      <c r="C35" s="8" t="inlineStr">
        <is>
          <t>It's above my pay grade</t>
        </is>
      </c>
      <c r="D35" s="12" t="inlineStr">
        <is>
          <t>내 권한/역할 밖의 일이야 (윗선에서 결정할 일)</t>
        </is>
      </c>
      <c r="E35" s="12" t="inlineStr">
        <is>
          <t>Whether we acquire that firm is way above my pay grade.</t>
        </is>
      </c>
      <c r="F35" s="12" t="inlineStr">
        <is>
          <t>그 기업을 인수할지 여부는 제 권한 밖의 일입니다.</t>
        </is>
      </c>
      <c r="G35" s="9">
        <f>HYPERLINK("https://www.youtube.com/watch?v=HTed60y_wXc", "영상 보기 ▶")</f>
        <v/>
      </c>
    </row>
    <row r="36" ht="26" customHeight="1">
      <c r="A36" s="2" t="n">
        <v>535</v>
      </c>
      <c r="B36" s="3" t="inlineStr">
        <is>
          <t>기습/당황</t>
        </is>
      </c>
      <c r="C36" s="4" t="inlineStr">
        <is>
          <t>It caught me off guard</t>
        </is>
      </c>
      <c r="D36" s="11" t="inlineStr">
        <is>
          <t>허를 찔렸다, 전혀 예상치 못해 허둥댔다</t>
        </is>
      </c>
      <c r="E36" s="11" t="inlineStr">
        <is>
          <t>His unexpected question caught everyone off guard.</t>
        </is>
      </c>
      <c r="F36" s="11" t="inlineStr">
        <is>
          <t>그의 뜻밖의 질문에 모두가 허를 찔려 당황했습니다.</t>
        </is>
      </c>
      <c r="G36" s="5">
        <f>HYPERLINK("https://www.youtube.com/watch?v=HTed60y_wXc", "영상 보기 ▶")</f>
        <v/>
      </c>
    </row>
    <row r="37" ht="26" customHeight="1">
      <c r="A37" s="6" t="n">
        <v>536</v>
      </c>
      <c r="B37" s="7" t="inlineStr">
        <is>
          <t>명확화</t>
        </is>
      </c>
      <c r="C37" s="8" t="inlineStr">
        <is>
          <t>clarify</t>
        </is>
      </c>
      <c r="D37" s="12" t="inlineStr">
        <is>
          <t>명확하게 설명하다, 분명히 밝히다</t>
        </is>
      </c>
      <c r="E37" s="12" t="inlineStr">
        <is>
          <t>Could you clarify the delivery timeline for us?</t>
        </is>
      </c>
      <c r="F37" s="12" t="inlineStr">
        <is>
          <t>배송 일정에 대해 좀 더 명확히 설명해 주시겠어요?</t>
        </is>
      </c>
      <c r="G37" s="9">
        <f>HYPERLINK("https://www.youtube.com/watch?v=HTed60y_wXc", "영상 보기 ▶")</f>
        <v/>
      </c>
    </row>
    <row r="38" ht="26" customHeight="1">
      <c r="A38" s="2" t="n">
        <v>537</v>
      </c>
      <c r="B38" s="3" t="inlineStr">
        <is>
          <t>적응/정착</t>
        </is>
      </c>
      <c r="C38" s="4" t="inlineStr">
        <is>
          <t>settle in</t>
        </is>
      </c>
      <c r="D38" s="11" t="inlineStr">
        <is>
          <t>(새로운 집/직장에) 자리를 잡다, 적응하다</t>
        </is>
      </c>
      <c r="E38" s="11" t="inlineStr">
        <is>
          <t>Take a few days to settle into your new office.</t>
        </is>
      </c>
      <c r="F38" s="11" t="inlineStr">
        <is>
          <t>새 사무실에 며칠 동안 편안하게 자리 잡으세요.</t>
        </is>
      </c>
      <c r="G38" s="5">
        <f>HYPERLINK("https://www.youtube.com/watch?v=HTed60y_wXc", "영상 보기 ▶")</f>
        <v/>
      </c>
    </row>
    <row r="39" ht="26" customHeight="1">
      <c r="A39" s="6" t="n">
        <v>538</v>
      </c>
      <c r="B39" s="7" t="inlineStr">
        <is>
          <t>약속 이행</t>
        </is>
      </c>
      <c r="C39" s="8" t="inlineStr">
        <is>
          <t>honor</t>
        </is>
      </c>
      <c r="D39" s="12" t="inlineStr">
        <is>
          <t>(약속, 계약, 가격을) 이행하다, 존중해 지키다</t>
        </is>
      </c>
      <c r="E39" s="12" t="inlineStr">
        <is>
          <t>We always honor our warranty commitments.</t>
        </is>
      </c>
      <c r="F39" s="12" t="inlineStr">
        <is>
          <t>저희는 보증 약속을 반드시 성실히 이행합니다.</t>
        </is>
      </c>
      <c r="G39" s="9">
        <f>HYPERLINK("https://www.youtube.com/watch?v=HTed60y_wXc", "영상 보기 ▶")</f>
        <v/>
      </c>
    </row>
    <row r="40" ht="26" customHeight="1">
      <c r="A40" s="2" t="n">
        <v>539</v>
      </c>
      <c r="B40" s="3" t="inlineStr">
        <is>
          <t>비즈니스 우려</t>
        </is>
      </c>
      <c r="C40" s="4" t="inlineStr">
        <is>
          <t>concern (명사)</t>
        </is>
      </c>
      <c r="D40" s="11" t="inlineStr">
        <is>
          <t>걱정거리, 우려 사항</t>
        </is>
      </c>
      <c r="E40" s="11" t="inlineStr">
        <is>
          <t>Our primary concern is ensuring product quality.</t>
        </is>
      </c>
      <c r="F40" s="11" t="inlineStr">
        <is>
          <t>저희의 최우선 관심사이자 우려는 제품 품질 확보입니다.</t>
        </is>
      </c>
      <c r="G40" s="5">
        <f>HYPERLINK("https://www.youtube.com/watch?v=HTed60y_wXc", "영상 보기 ▶")</f>
        <v/>
      </c>
    </row>
    <row r="41" ht="26" customHeight="1">
      <c r="A41" s="6" t="n">
        <v>540</v>
      </c>
      <c r="B41" s="7" t="inlineStr">
        <is>
          <t>비즈니스 우려</t>
        </is>
      </c>
      <c r="C41" s="8" t="inlineStr">
        <is>
          <t>concern (동사)</t>
        </is>
      </c>
      <c r="D41" s="12" t="inlineStr">
        <is>
          <t>~에게 영향을 미치다, 심려를 끼치다</t>
        </is>
      </c>
      <c r="E41" s="12" t="inlineStr">
        <is>
          <t>What concerns me is the rising shipping cost.</t>
        </is>
      </c>
      <c r="F41" s="12" t="inlineStr">
        <is>
          <t>저를 우려스럽게 만드는 점은 치솟는 운송 비용입니다.</t>
        </is>
      </c>
      <c r="G41" s="9">
        <f>HYPERLINK("https://www.youtube.com/watch?v=HTed60y_wXc", "영상 보기 ▶")</f>
        <v/>
      </c>
    </row>
    <row r="42" ht="26" customHeight="1">
      <c r="A42" s="2" t="n">
        <v>541</v>
      </c>
      <c r="B42" s="3" t="inlineStr">
        <is>
          <t>현시점</t>
        </is>
      </c>
      <c r="C42" s="4" t="inlineStr">
        <is>
          <t>at this point</t>
        </is>
      </c>
      <c r="D42" s="11" t="inlineStr">
        <is>
          <t>지금 이 시점에서는, 현재로서는</t>
        </is>
      </c>
      <c r="E42" s="11" t="inlineStr">
        <is>
          <t>There's really not much we can change at this point.</t>
        </is>
      </c>
      <c r="F42" s="11" t="inlineStr">
        <is>
          <t>현재 이 시점에서는 우리가 바꿀 수 있는 게 별로 없습니다.</t>
        </is>
      </c>
      <c r="G42" s="5">
        <f>HYPERLINK("https://www.youtube.com/watch?v=HTed60y_wXc", "영상 보기 ▶")</f>
        <v/>
      </c>
    </row>
    <row r="43" ht="26" customHeight="1">
      <c r="A43" s="6" t="n">
        <v>542</v>
      </c>
      <c r="B43" s="7" t="inlineStr">
        <is>
          <t>주관적 견해</t>
        </is>
      </c>
      <c r="C43" s="8" t="inlineStr">
        <is>
          <t>as far as I'm concerned</t>
        </is>
      </c>
      <c r="D43" s="12" t="inlineStr">
        <is>
          <t>내 생각으로는, 내 입장에서는</t>
        </is>
      </c>
      <c r="E43" s="12" t="inlineStr">
        <is>
          <t>As far as I'm concerned, you did the right thing.</t>
        </is>
      </c>
      <c r="F43" s="12" t="inlineStr">
        <is>
          <t>내 입장에서는 네가 올바른 행동을 했다고 생각해.</t>
        </is>
      </c>
      <c r="G43" s="9">
        <f>HYPERLINK("https://www.youtube.com/watch?v=HTed60y_wXc", "영상 보기 ▶")</f>
        <v/>
      </c>
    </row>
    <row r="44" ht="26" customHeight="1">
      <c r="A44" s="2" t="n">
        <v>543</v>
      </c>
      <c r="B44" s="3" t="inlineStr">
        <is>
          <t>정보 확인</t>
        </is>
      </c>
      <c r="C44" s="4" t="inlineStr">
        <is>
          <t>as far as I know</t>
        </is>
      </c>
      <c r="D44" s="11" t="inlineStr">
        <is>
          <t>내가 아는 바로는</t>
        </is>
      </c>
      <c r="E44" s="11" t="inlineStr">
        <is>
          <t>As far as I know, the client approved the draft.</t>
        </is>
      </c>
      <c r="F44" s="11" t="inlineStr">
        <is>
          <t>내가 아는 바로는 고객사에서 초안을 승인했어.</t>
        </is>
      </c>
      <c r="G44" s="5">
        <f>HYPERLINK("https://www.youtube.com/watch?v=HTed60y_wXc", "영상 보기 ▶")</f>
        <v/>
      </c>
    </row>
    <row r="45" ht="26" customHeight="1">
      <c r="A45" s="6" t="n">
        <v>544</v>
      </c>
      <c r="B45" s="7" t="inlineStr">
        <is>
          <t>조건 부사</t>
        </is>
      </c>
      <c r="C45" s="8" t="inlineStr">
        <is>
          <t>as long as</t>
        </is>
      </c>
      <c r="D45" s="12" t="inlineStr">
        <is>
          <t>~하는 한, ~하기만 하면</t>
        </is>
      </c>
      <c r="E45" s="12" t="inlineStr">
        <is>
          <t>I don't mind staying late as long as we finish the task.</t>
        </is>
      </c>
      <c r="F45" s="12" t="inlineStr">
        <is>
          <t>일만 끝낼 수 있다면 야근하는 것도 상관없어요.</t>
        </is>
      </c>
      <c r="G45" s="9">
        <f>HYPERLINK("https://www.youtube.com/watch?v=HTed60y_wXc", "영상 보기 ▶")</f>
        <v/>
      </c>
    </row>
    <row r="46" ht="26" customHeight="1">
      <c r="A46" s="2" t="n">
        <v>545</v>
      </c>
      <c r="B46" s="3" t="inlineStr">
        <is>
          <t>만족 표현</t>
        </is>
      </c>
      <c r="C46" s="4" t="inlineStr">
        <is>
          <t>That's all I can ask for</t>
        </is>
      </c>
      <c r="D46" s="11" t="inlineStr">
        <is>
          <t>그 이상 더 바랄 게 없죠, 그것만으로 충분해요</t>
        </is>
      </c>
      <c r="E46" s="11" t="inlineStr">
        <is>
          <t>You did your best, and that's all I can ask for.</t>
        </is>
      </c>
      <c r="F46" s="11" t="inlineStr">
        <is>
          <t>최선을 다해줬으니, 저로선 그 이상 바랄 게 없습니다.</t>
        </is>
      </c>
      <c r="G46" s="5">
        <f>HYPERLINK("https://www.youtube.com/watch?v=HTed60y_wXc", "영상 보기 ▶")</f>
        <v/>
      </c>
    </row>
    <row r="47" ht="26" customHeight="1">
      <c r="A47" s="6" t="n">
        <v>546</v>
      </c>
      <c r="B47" s="7" t="inlineStr">
        <is>
          <t>간곡한 바람</t>
        </is>
      </c>
      <c r="C47" s="8" t="inlineStr">
        <is>
          <t>All I ask is that ~</t>
        </is>
      </c>
      <c r="D47" s="12" t="inlineStr">
        <is>
          <t>내가 바라는 것은 오직 ~뿐이다</t>
        </is>
      </c>
      <c r="E47" s="12" t="inlineStr">
        <is>
          <t>All I ask is that you give it a fair chance.</t>
        </is>
      </c>
      <c r="F47" s="12" t="inlineStr">
        <is>
          <t>내가 바라는 건 네가 공평하게 기회를 한 번 줘보는 것뿐이야.</t>
        </is>
      </c>
      <c r="G47" s="9">
        <f>HYPERLINK("https://www.youtube.com/watch?v=HTed60y_wXc", "영상 보기 ▶")</f>
        <v/>
      </c>
    </row>
    <row r="48" ht="26" customHeight="1">
      <c r="A48" s="2" t="n">
        <v>547</v>
      </c>
      <c r="B48" s="3" t="inlineStr">
        <is>
          <t>안도/기쁨</t>
        </is>
      </c>
      <c r="C48" s="4" t="inlineStr">
        <is>
          <t>Glad to hear that</t>
        </is>
      </c>
      <c r="D48" s="11" t="inlineStr">
        <is>
          <t>그 말을 들으니 정말 다행이고 기쁘네요</t>
        </is>
      </c>
      <c r="E48" s="11" t="inlineStr">
        <is>
          <t>You passed the exam? I'm so glad to hear that!</t>
        </is>
      </c>
      <c r="F48" s="11" t="inlineStr">
        <is>
          <t>시험에 합격했어? 그 소식 들으니 정말 기쁘다!</t>
        </is>
      </c>
      <c r="G48" s="5">
        <f>HYPERLINK("https://www.youtube.com/watch?v=HTed60y_wXc", "영상 보기 ▶")</f>
        <v/>
      </c>
    </row>
    <row r="49" ht="26" customHeight="1">
      <c r="A49" s="6" t="n">
        <v>548</v>
      </c>
      <c r="B49" s="7" t="inlineStr">
        <is>
          <t>의문/눈총</t>
        </is>
      </c>
      <c r="C49" s="8" t="inlineStr">
        <is>
          <t>raise an eyebrow / eyebrows</t>
        </is>
      </c>
      <c r="D49" s="12" t="inlineStr">
        <is>
          <t>눈살을 찌푸리게 하다, 의아해하게 만들다</t>
        </is>
      </c>
      <c r="E49" s="12" t="inlineStr">
        <is>
          <t>His sudden change of tone raised a few eyebrows in the room.</t>
        </is>
      </c>
      <c r="F49" s="12" t="inlineStr">
        <is>
          <t>그의 갑작스러운 어조 변화에 회의실 안의 몇몇 사람들이 의아해했어.</t>
        </is>
      </c>
      <c r="G49" s="9">
        <f>HYPERLINK("https://www.youtube.com/watch?v=HTed60y_wXc", "영상 보기 ▶")</f>
        <v/>
      </c>
    </row>
    <row r="50" ht="26" customHeight="1">
      <c r="A50" s="2" t="n">
        <v>549</v>
      </c>
      <c r="B50" s="3" t="inlineStr">
        <is>
          <t>완벽한 일치</t>
        </is>
      </c>
      <c r="C50" s="4" t="inlineStr">
        <is>
          <t>You read my mind</t>
        </is>
      </c>
      <c r="D50" s="11" t="inlineStr">
        <is>
          <t>내 마음을 그대로 읽었네! (딱 그 생각 중이었어)</t>
        </is>
      </c>
      <c r="E50" s="11" t="inlineStr">
        <is>
          <t>Let's grab some iced coffee. - You read my mind!</t>
        </is>
      </c>
      <c r="F50" s="11" t="inlineStr">
        <is>
          <t>아이스 커피 한잔할까? - 내 마음을 그대로 읽었네!</t>
        </is>
      </c>
      <c r="G50" s="5">
        <f>HYPERLINK("https://www.youtube.com/watch?v=HTed60y_wXc", "영상 보기 ▶")</f>
        <v/>
      </c>
    </row>
    <row r="51" ht="26" customHeight="1">
      <c r="A51" s="6" t="n">
        <v>550</v>
      </c>
      <c r="B51" s="7" t="inlineStr">
        <is>
          <t>경고/자제</t>
        </is>
      </c>
      <c r="C51" s="8" t="inlineStr">
        <is>
          <t>Don't push it</t>
        </is>
      </c>
      <c r="D51" s="12" t="inlineStr">
        <is>
          <t>너무 무리하지 마, 선 넘지 마 (욕심부리지 마)</t>
        </is>
      </c>
      <c r="E51" s="12" t="inlineStr">
        <is>
          <t>I agreed to help you today, but don't push it.</t>
        </is>
      </c>
      <c r="F51" s="12" t="inlineStr">
        <is>
          <t>오늘 도와주겠다고는 했지만, 너무 무리한 부탁으로 선 넘지는 마.</t>
        </is>
      </c>
      <c r="G51" s="9">
        <f>HYPERLINK("https://www.youtube.com/watch?v=HTed60y_wXc", "영상 보기 ▶")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6" customWidth="1" min="3" max="3"/>
    <col width="48" customWidth="1" min="4" max="4"/>
    <col width="66" customWidth="1" min="5" max="5"/>
    <col width="61.6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551</v>
      </c>
      <c r="B2" s="3" t="inlineStr">
        <is>
          <t>다재다능</t>
        </is>
      </c>
      <c r="C2" s="4" t="inlineStr">
        <is>
          <t>versatile</t>
        </is>
      </c>
      <c r="D2" s="11" t="inlineStr">
        <is>
          <t>다재다능한, 다목적의, 다용도의</t>
        </is>
      </c>
      <c r="E2" s="11" t="inlineStr">
        <is>
          <t>This software is incredibly versatile and user-friendly.</t>
        </is>
      </c>
      <c r="F2" s="11" t="inlineStr">
        <is>
          <t>이 소프트웨어는 믿을 수 없을 정도로 다목적이고 쓰기 편해요.</t>
        </is>
      </c>
      <c r="G2" s="5">
        <f>HYPERLINK("https://www.youtube.com/watch?v=Vy0dWpnMYR8", "영상 보기 ▶")</f>
        <v/>
      </c>
    </row>
    <row r="3" ht="26" customHeight="1">
      <c r="A3" s="6" t="n">
        <v>552</v>
      </c>
      <c r="B3" s="7" t="inlineStr">
        <is>
          <t>논란</t>
        </is>
      </c>
      <c r="C3" s="8" t="inlineStr">
        <is>
          <t>controversial</t>
        </is>
      </c>
      <c r="D3" s="12" t="inlineStr">
        <is>
          <t>논란의 여지가 있는, 이견이 많은</t>
        </is>
      </c>
      <c r="E3" s="12" t="inlineStr">
        <is>
          <t>Nuclear energy remains a highly controversial topic.</t>
        </is>
      </c>
      <c r="F3" s="12" t="inlineStr">
        <is>
          <t>원자력 에너지는 여전히 매우 논쟁의 여지가 많은 주제입니다.</t>
        </is>
      </c>
      <c r="G3" s="9">
        <f>HYPERLINK("https://www.youtube.com/watch?v=Vy0dWpnMYR8", "영상 보기 ▶")</f>
        <v/>
      </c>
    </row>
    <row r="4" ht="26" customHeight="1">
      <c r="A4" s="2" t="n">
        <v>553</v>
      </c>
      <c r="B4" s="3" t="inlineStr">
        <is>
          <t>민감성</t>
        </is>
      </c>
      <c r="C4" s="4" t="inlineStr">
        <is>
          <t>touchy</t>
        </is>
      </c>
      <c r="D4" s="11" t="inlineStr">
        <is>
          <t>민감한, 조심해서 다뤄야 하는, 예민한</t>
        </is>
      </c>
      <c r="E4" s="11" t="inlineStr">
        <is>
          <t>Salary is always a touchy subject during interviews.</t>
        </is>
      </c>
      <c r="F4" s="11" t="inlineStr">
        <is>
          <t>연봉은 면접 시 항상 조심스럽게 다뤄야 할 민감한 주제입니다.</t>
        </is>
      </c>
      <c r="G4" s="5">
        <f>HYPERLINK("https://www.youtube.com/watch?v=Vy0dWpnMYR8", "영상 보기 ▶")</f>
        <v/>
      </c>
    </row>
    <row r="5" ht="26" customHeight="1">
      <c r="A5" s="6" t="n">
        <v>554</v>
      </c>
      <c r="B5" s="7" t="inlineStr">
        <is>
          <t>충격/분노</t>
        </is>
      </c>
      <c r="C5" s="8" t="inlineStr">
        <is>
          <t>outrageous</t>
        </is>
      </c>
      <c r="D5" s="12" t="inlineStr">
        <is>
          <t>너무나 충격적인, 터무니없는 (가격/행동)</t>
        </is>
      </c>
      <c r="E5" s="12" t="inlineStr">
        <is>
          <t>Charging that much for parking is completely outrageous.</t>
        </is>
      </c>
      <c r="F5" s="12" t="inlineStr">
        <is>
          <t>주차비로 그렇게 많이 청구하는 건 완전 터무니없어.</t>
        </is>
      </c>
      <c r="G5" s="9">
        <f>HYPERLINK("https://www.youtube.com/watch?v=Vy0dWpnMYR8", "영상 보기 ▶")</f>
        <v/>
      </c>
    </row>
    <row r="6" ht="26" customHeight="1">
      <c r="A6" s="2" t="n">
        <v>555</v>
      </c>
      <c r="B6" s="3" t="inlineStr">
        <is>
          <t>치명적 충격</t>
        </is>
      </c>
      <c r="C6" s="4" t="inlineStr">
        <is>
          <t>devastating</t>
        </is>
      </c>
      <c r="D6" s="11" t="inlineStr">
        <is>
          <t>엄청나게 파괴적인, 대단히 충격적인</t>
        </is>
      </c>
      <c r="E6" s="11" t="inlineStr">
        <is>
          <t>Losing our main client was a devastating blow.</t>
        </is>
      </c>
      <c r="F6" s="11" t="inlineStr">
        <is>
          <t>주요 고객사를 잃은 것은 엄청난 타격이었습니다.</t>
        </is>
      </c>
      <c r="G6" s="5">
        <f>HYPERLINK("https://www.youtube.com/watch?v=Vy0dWpnMYR8", "영상 보기 ▶")</f>
        <v/>
      </c>
    </row>
    <row r="7" ht="26" customHeight="1">
      <c r="A7" s="6" t="n">
        <v>556</v>
      </c>
      <c r="B7" s="7" t="inlineStr">
        <is>
          <t>요령 터득</t>
        </is>
      </c>
      <c r="C7" s="8" t="inlineStr">
        <is>
          <t>get the hang of</t>
        </is>
      </c>
      <c r="D7" s="12" t="inlineStr">
        <is>
          <t>~의 요령을 터득하다, 감을 잡다</t>
        </is>
      </c>
      <c r="E7" s="12" t="inlineStr">
        <is>
          <t>It seems tricky at first, but you'll get the hang of it soon.</t>
        </is>
      </c>
      <c r="F7" s="12" t="inlineStr">
        <is>
          <t>처음엔 까다로워 보이지만 곧 감을 잡게 될 거야.</t>
        </is>
      </c>
      <c r="G7" s="9">
        <f>HYPERLINK("https://www.youtube.com/watch?v=Vy0dWpnMYR8", "영상 보기 ▶")</f>
        <v/>
      </c>
    </row>
    <row r="8" ht="26" customHeight="1">
      <c r="A8" s="2" t="n">
        <v>557</v>
      </c>
      <c r="B8" s="3" t="inlineStr">
        <is>
          <t>적응</t>
        </is>
      </c>
      <c r="C8" s="4" t="inlineStr">
        <is>
          <t>get used to</t>
        </is>
      </c>
      <c r="D8" s="11" t="inlineStr">
        <is>
          <t>~에 익숙해지다</t>
        </is>
      </c>
      <c r="E8" s="11" t="inlineStr">
        <is>
          <t>I'm still getting used to waking up early for work.</t>
        </is>
      </c>
      <c r="F8" s="11" t="inlineStr">
        <is>
          <t>출근하려고 일찍 일어나는 것에 아직 적응 중이에요.</t>
        </is>
      </c>
      <c r="G8" s="5">
        <f>HYPERLINK("https://www.youtube.com/watch?v=Vy0dWpnMYR8", "영상 보기 ▶")</f>
        <v/>
      </c>
    </row>
    <row r="9" ht="26" customHeight="1">
      <c r="A9" s="6" t="n">
        <v>558</v>
      </c>
      <c r="B9" s="7" t="inlineStr">
        <is>
          <t>비즈니스 약어</t>
        </is>
      </c>
      <c r="C9" s="8" t="inlineStr">
        <is>
          <t>TBD (= To Be Determined)</t>
        </is>
      </c>
      <c r="D9" s="12" t="inlineStr">
        <is>
          <t>추후 결정/확정 예정</t>
        </is>
      </c>
      <c r="E9" s="12" t="inlineStr">
        <is>
          <t>The exact meeting location is still TBD.</t>
        </is>
      </c>
      <c r="F9" s="12" t="inlineStr">
        <is>
          <t>정확한 회의 장소는 아직 추후 결정 예정입니다.</t>
        </is>
      </c>
      <c r="G9" s="9">
        <f>HYPERLINK("https://www.youtube.com/watch?v=Vy0dWpnMYR8", "영상 보기 ▶")</f>
        <v/>
      </c>
    </row>
    <row r="10" ht="26" customHeight="1">
      <c r="A10" s="2" t="n">
        <v>559</v>
      </c>
      <c r="B10" s="3" t="inlineStr">
        <is>
          <t>비즈니스 약어</t>
        </is>
      </c>
      <c r="C10" s="4" t="inlineStr">
        <is>
          <t>ETA (= Estimated Time of Arrival)</t>
        </is>
      </c>
      <c r="D10" s="11" t="inlineStr">
        <is>
          <t>도착 예정 시간</t>
        </is>
      </c>
      <c r="E10" s="11" t="inlineStr">
        <is>
          <t>What's your ETA? We're waiting in the lobby.</t>
        </is>
      </c>
      <c r="F10" s="11" t="inlineStr">
        <is>
          <t>도착 예정 시간이 언제야? 우리 로비에서 기다리고 있어.</t>
        </is>
      </c>
      <c r="G10" s="5">
        <f>HYPERLINK("https://www.youtube.com/watch?v=Vy0dWpnMYR8", "영상 보기 ▶")</f>
        <v/>
      </c>
    </row>
    <row r="11" ht="26" customHeight="1">
      <c r="A11" s="6" t="n">
        <v>560</v>
      </c>
      <c r="B11" s="7" t="inlineStr">
        <is>
          <t>유연한 대처</t>
        </is>
      </c>
      <c r="C11" s="8" t="inlineStr">
        <is>
          <t>play it by ear</t>
        </is>
      </c>
      <c r="D11" s="12" t="inlineStr">
        <is>
          <t>상황을 봐가며 그때그때 대처하다</t>
        </is>
      </c>
      <c r="E11" s="12" t="inlineStr">
        <is>
          <t>We don't have a fixed plan; let's just play it by ear.</t>
        </is>
      </c>
      <c r="F11" s="12" t="inlineStr">
        <is>
          <t>정해진 계획은 없으니 그냥 상황 봐가며 유연하게 하자.</t>
        </is>
      </c>
      <c r="G11" s="9">
        <f>HYPERLINK("https://www.youtube.com/watch?v=Vy0dWpnMYR8", "영상 보기 ▶")</f>
        <v/>
      </c>
    </row>
    <row r="12" ht="26" customHeight="1">
      <c r="A12" s="2" t="n">
        <v>561</v>
      </c>
      <c r="B12" s="3" t="inlineStr">
        <is>
          <t>천부적 재능</t>
        </is>
      </c>
      <c r="C12" s="4" t="inlineStr">
        <is>
          <t>born</t>
        </is>
      </c>
      <c r="D12" s="11" t="inlineStr">
        <is>
          <t>타고난, 천성의 (a born leader/communicator)</t>
        </is>
      </c>
      <c r="E12" s="11" t="inlineStr">
        <is>
          <t>She doesn't even have to try; she's a born storyteller.</t>
        </is>
      </c>
      <c r="F12" s="11" t="inlineStr">
        <is>
          <t>그녀는 노력할 필요도 없어, 타고난 이야기꾼이야.</t>
        </is>
      </c>
      <c r="G12" s="5">
        <f>HYPERLINK("https://www.youtube.com/watch?v=Vy0dWpnMYR8", "영상 보기 ▶")</f>
        <v/>
      </c>
    </row>
    <row r="13" ht="26" customHeight="1">
      <c r="A13" s="6" t="n">
        <v>562</v>
      </c>
      <c r="B13" s="7" t="inlineStr">
        <is>
          <t>출신/성장</t>
        </is>
      </c>
      <c r="C13" s="8" t="inlineStr">
        <is>
          <t>born and raised</t>
        </is>
      </c>
      <c r="D13" s="12" t="inlineStr">
        <is>
          <t>~에서 태어나고 자란, 토박이의</t>
        </is>
      </c>
      <c r="E13" s="12" t="inlineStr">
        <is>
          <t>I was born and raised right here in Seoul.</t>
        </is>
      </c>
      <c r="F13" s="12" t="inlineStr">
        <is>
          <t>저는 바로 이곳 서울에서 나고 자란 토박이입니다.</t>
        </is>
      </c>
      <c r="G13" s="9">
        <f>HYPERLINK("https://www.youtube.com/watch?v=Vy0dWpnMYR8", "영상 보기 ▶")</f>
        <v/>
      </c>
    </row>
    <row r="14" ht="26" customHeight="1">
      <c r="A14" s="2" t="n">
        <v>563</v>
      </c>
      <c r="B14" s="3" t="inlineStr">
        <is>
          <t>애정/약함</t>
        </is>
      </c>
      <c r="C14" s="4" t="inlineStr">
        <is>
          <t>have a soft spot for</t>
        </is>
      </c>
      <c r="D14" s="11" t="inlineStr">
        <is>
          <t>~를 유독 좋아하다, ~에게 마음이 약하다</t>
        </is>
      </c>
      <c r="E14" s="11" t="inlineStr">
        <is>
          <t>My grandfather always has a soft spot for his grandkids.</t>
        </is>
      </c>
      <c r="F14" s="11" t="inlineStr">
        <is>
          <t>우리 할아버지는 손주들에게 유독 마음이 약하고 다정하셔.</t>
        </is>
      </c>
      <c r="G14" s="5">
        <f>HYPERLINK("https://www.youtube.com/watch?v=Vy0dWpnMYR8", "영상 보기 ▶")</f>
        <v/>
      </c>
    </row>
    <row r="15" ht="26" customHeight="1">
      <c r="A15" s="6" t="n">
        <v>564</v>
      </c>
      <c r="B15" s="7" t="inlineStr">
        <is>
          <t>전례 없음</t>
        </is>
      </c>
      <c r="C15" s="8" t="inlineStr">
        <is>
          <t>unprecedented</t>
        </is>
      </c>
      <c r="D15" s="12" t="inlineStr">
        <is>
          <t>전례 없는, 유례없는</t>
        </is>
      </c>
      <c r="E15" s="12" t="inlineStr">
        <is>
          <t>The company achieved unprecedented growth this quarter.</t>
        </is>
      </c>
      <c r="F15" s="12" t="inlineStr">
        <is>
          <t>회사는 이번 분기에 유례없는 성장을 달성했습니다.</t>
        </is>
      </c>
      <c r="G15" s="9">
        <f>HYPERLINK("https://www.youtube.com/watch?v=Vy0dWpnMYR8", "영상 보기 ▶")</f>
        <v/>
      </c>
    </row>
    <row r="16" ht="26" customHeight="1">
      <c r="A16" s="2" t="n">
        <v>565</v>
      </c>
      <c r="B16" s="3" t="inlineStr">
        <is>
          <t>기원/원인</t>
        </is>
      </c>
      <c r="C16" s="4" t="inlineStr">
        <is>
          <t>stem from</t>
        </is>
      </c>
      <c r="D16" s="11" t="inlineStr">
        <is>
          <t>~에서 비롯되다, 유래하다</t>
        </is>
      </c>
      <c r="E16" s="11" t="inlineStr">
        <is>
          <t>Most workplace conflicts stem from poor communication.</t>
        </is>
      </c>
      <c r="F16" s="11" t="inlineStr">
        <is>
          <t>대부분의 직장 내 갈등은 소통 부재에서 비롯됩니다.</t>
        </is>
      </c>
      <c r="G16" s="5">
        <f>HYPERLINK("https://www.youtube.com/watch?v=Vy0dWpnMYR8", "영상 보기 ▶")</f>
        <v/>
      </c>
    </row>
    <row r="17" ht="26" customHeight="1">
      <c r="A17" s="6" t="n">
        <v>566</v>
      </c>
      <c r="B17" s="7" t="inlineStr">
        <is>
          <t>인조/모조</t>
        </is>
      </c>
      <c r="C17" s="8" t="inlineStr">
        <is>
          <t>faux</t>
        </is>
      </c>
      <c r="D17" s="12" t="inlineStr">
        <is>
          <t>가짜의, 인조의 (faux leather / faux fur, 발음: 포)</t>
        </is>
      </c>
      <c r="E17" s="12" t="inlineStr">
        <is>
          <t>This stylish jacket is made of high-quality faux leather.</t>
        </is>
      </c>
      <c r="F17" s="12" t="inlineStr">
        <is>
          <t>이 멋진 재킷은 고급 인조 가죽으로 만들어졌어.</t>
        </is>
      </c>
      <c r="G17" s="9">
        <f>HYPERLINK("https://www.youtube.com/watch?v=Vy0dWpnMYR8", "영상 보기 ▶")</f>
        <v/>
      </c>
    </row>
    <row r="18" ht="26" customHeight="1">
      <c r="A18" s="2" t="n">
        <v>567</v>
      </c>
      <c r="B18" s="3" t="inlineStr">
        <is>
          <t>순식간</t>
        </is>
      </c>
      <c r="C18" s="4" t="inlineStr">
        <is>
          <t>before you know it</t>
        </is>
      </c>
      <c r="D18" s="11" t="inlineStr">
        <is>
          <t>순식간에, 눈 깜짝할 사이에</t>
        </is>
      </c>
      <c r="E18" s="11" t="inlineStr">
        <is>
          <t>Hang in there; the weekend will be here before you know it.</t>
        </is>
      </c>
      <c r="F18" s="11" t="inlineStr">
        <is>
          <t>조금만 힘내, 눈 깜짝할 사이에 주말이 올 거야.</t>
        </is>
      </c>
      <c r="G18" s="5">
        <f>HYPERLINK("https://www.youtube.com/watch?v=Vy0dWpnMYR8", "영상 보기 ▶")</f>
        <v/>
      </c>
    </row>
    <row r="19" ht="26" customHeight="1">
      <c r="A19" s="6" t="n">
        <v>568</v>
      </c>
      <c r="B19" s="7" t="inlineStr">
        <is>
          <t>표현 어감</t>
        </is>
      </c>
      <c r="C19" s="8" t="inlineStr">
        <is>
          <t>strong word</t>
        </is>
      </c>
      <c r="D19" s="12" t="inlineStr">
        <is>
          <t>어감이 센 단어, 조심히 써야 할 표현</t>
        </is>
      </c>
      <c r="E19" s="12" t="inlineStr">
        <is>
          <t>Hate is a strong word; I just prefer something else.</t>
        </is>
      </c>
      <c r="F19" s="12" t="inlineStr">
        <is>
          <t>혐오라는 건 너무 센 표현이고, 난 그냥 다른 게 더 좋을 뿐이야.</t>
        </is>
      </c>
      <c r="G19" s="9">
        <f>HYPERLINK("https://www.youtube.com/watch?v=Vy0dWpnMYR8", "영상 보기 ▶")</f>
        <v/>
      </c>
    </row>
    <row r="20" ht="26" customHeight="1">
      <c r="A20" s="2" t="n">
        <v>569</v>
      </c>
      <c r="B20" s="3" t="inlineStr">
        <is>
          <t>표현 완화</t>
        </is>
      </c>
      <c r="C20" s="4" t="inlineStr">
        <is>
          <t>for lack of a better word</t>
        </is>
      </c>
      <c r="D20" s="11" t="inlineStr">
        <is>
          <t>더 적절한 표현이 떠오르지 않는데,</t>
        </is>
      </c>
      <c r="E20" s="11" t="inlineStr">
        <is>
          <t>He is, for lack of a better word, a genius.</t>
        </is>
      </c>
      <c r="F20" s="11" t="inlineStr">
        <is>
          <t>그는 더 적절한 말이 안 떠오르는데, 한마디로 천재야.</t>
        </is>
      </c>
      <c r="G20" s="5">
        <f>HYPERLINK("https://www.youtube.com/watch?v=Vy0dWpnMYR8", "영상 보기 ▶")</f>
        <v/>
      </c>
    </row>
    <row r="21" ht="26" customHeight="1">
      <c r="A21" s="6" t="n">
        <v>570</v>
      </c>
      <c r="B21" s="7" t="inlineStr">
        <is>
          <t>표현 완화</t>
        </is>
      </c>
      <c r="C21" s="8" t="inlineStr">
        <is>
          <t>for lack of a better term</t>
        </is>
      </c>
      <c r="D21" s="12" t="inlineStr">
        <is>
          <t>딱 맞는 용어가 생각나지 않지만,</t>
        </is>
      </c>
      <c r="E21" s="12" t="inlineStr">
        <is>
          <t>It was, for lack of a better term, a massive breakdown.</t>
        </is>
      </c>
      <c r="F21" s="12" t="inlineStr">
        <is>
          <t>더 알맞은 용어가 없지만, 한마디로 거대한 결딴이었어.</t>
        </is>
      </c>
      <c r="G21" s="9">
        <f>HYPERLINK("https://www.youtube.com/watch?v=Vy0dWpnMYR8", "영상 보기 ▶")</f>
        <v/>
      </c>
    </row>
    <row r="22" ht="26" customHeight="1">
      <c r="A22" s="2" t="n">
        <v>571</v>
      </c>
      <c r="B22" s="3" t="inlineStr">
        <is>
          <t>효율/결실</t>
        </is>
      </c>
      <c r="C22" s="4" t="inlineStr">
        <is>
          <t>productive</t>
        </is>
      </c>
      <c r="D22" s="11" t="inlineStr">
        <is>
          <t>생산적인, 결실 있는, 알찬</t>
        </is>
      </c>
      <c r="E22" s="11" t="inlineStr">
        <is>
          <t>We had a really productive discussion this afternoon.</t>
        </is>
      </c>
      <c r="F22" s="11" t="inlineStr">
        <is>
          <t>오늘 오후에 정말 생산적이고 알찬 논의를 나눴습니다.</t>
        </is>
      </c>
      <c r="G22" s="5">
        <f>HYPERLINK("https://www.youtube.com/watch?v=Vy0dWpnMYR8", "영상 보기 ▶")</f>
        <v/>
      </c>
    </row>
    <row r="23" ht="26" customHeight="1">
      <c r="A23" s="6" t="n">
        <v>572</v>
      </c>
      <c r="B23" s="7" t="inlineStr">
        <is>
          <t>소소한 일탈</t>
        </is>
      </c>
      <c r="C23" s="8" t="inlineStr">
        <is>
          <t>guilty pleasure</t>
        </is>
      </c>
      <c r="D23" s="12" t="inlineStr">
        <is>
          <t>죄책감은 들지만 끊을 수 없는 즐거움/취향</t>
        </is>
      </c>
      <c r="E23" s="12" t="inlineStr">
        <is>
          <t>Binge-watching reality TV shows is my ultimate guilty pleasure.</t>
        </is>
      </c>
      <c r="F23" s="12" t="inlineStr">
        <is>
          <t>리얼리티 쇼를 몰아보는 게 나의 절대적인 길티 플레저야.</t>
        </is>
      </c>
      <c r="G23" s="9">
        <f>HYPERLINK("https://www.youtube.com/watch?v=Vy0dWpnMYR8", "영상 보기 ▶")</f>
        <v/>
      </c>
    </row>
    <row r="24" ht="26" customHeight="1">
      <c r="A24" s="2" t="n">
        <v>573</v>
      </c>
      <c r="B24" s="3" t="inlineStr">
        <is>
          <t>불명확한 이유</t>
        </is>
      </c>
      <c r="C24" s="4" t="inlineStr">
        <is>
          <t>for some reason</t>
        </is>
      </c>
      <c r="D24" s="11" t="inlineStr">
        <is>
          <t>왜 그런지 모르겠지만, 왠지 모르게</t>
        </is>
      </c>
      <c r="E24" s="11" t="inlineStr">
        <is>
          <t>For some reason, the file won't open on my computer.</t>
        </is>
      </c>
      <c r="F24" s="11" t="inlineStr">
        <is>
          <t>왠지 모르겠지만 내 컴퓨터에서 그 파일이 안 열려.</t>
        </is>
      </c>
      <c r="G24" s="5">
        <f>HYPERLINK("https://www.youtube.com/watch?v=Vy0dWpnMYR8", "영상 보기 ▶")</f>
        <v/>
      </c>
    </row>
    <row r="25" ht="26" customHeight="1">
      <c r="A25" s="6" t="n">
        <v>574</v>
      </c>
      <c r="B25" s="7" t="inlineStr">
        <is>
          <t>촉박한 요청</t>
        </is>
      </c>
      <c r="C25" s="8" t="inlineStr">
        <is>
          <t>on such short notice</t>
        </is>
      </c>
      <c r="D25" s="12" t="inlineStr">
        <is>
          <t>그렇게 급작스러운 연락/요청에도 불구하고</t>
        </is>
      </c>
      <c r="E25" s="12" t="inlineStr">
        <is>
          <t>Thank you so much for meeting with us on such short notice.</t>
        </is>
      </c>
      <c r="F25" s="12" t="inlineStr">
        <is>
          <t>이렇게 급작스러운 요청에도 시간 내어 만나주셔서 감사합니다.</t>
        </is>
      </c>
      <c r="G25" s="9">
        <f>HYPERLINK("https://www.youtube.com/watch?v=Vy0dWpnMYR8", "영상 보기 ▶")</f>
        <v/>
      </c>
    </row>
    <row r="26" ht="26" customHeight="1">
      <c r="A26" s="2" t="n">
        <v>575</v>
      </c>
      <c r="B26" s="3" t="inlineStr">
        <is>
          <t>진척/동행</t>
        </is>
      </c>
      <c r="C26" s="4" t="inlineStr">
        <is>
          <t>come along</t>
        </is>
      </c>
      <c r="D26" s="11" t="inlineStr">
        <is>
          <t>① 동행하다 ② 순조롭게 진척되다</t>
        </is>
      </c>
      <c r="E26" s="11" t="inlineStr">
        <is>
          <t>How is your new book coming along?</t>
        </is>
      </c>
      <c r="F26" s="11" t="inlineStr">
        <is>
          <t>새로 쓰시는 책 집필은 어떻게 잘 되어가나요?</t>
        </is>
      </c>
      <c r="G26" s="5">
        <f>HYPERLINK("https://www.youtube.com/watch?v=Vy0dWpnMYR8", "영상 보기 ▶")</f>
        <v/>
      </c>
    </row>
    <row r="27" ht="26" customHeight="1">
      <c r="A27" s="6" t="n">
        <v>576</v>
      </c>
      <c r="B27" s="7" t="inlineStr">
        <is>
          <t>우연 발견</t>
        </is>
      </c>
      <c r="C27" s="8" t="inlineStr">
        <is>
          <t>come across (발견)</t>
        </is>
      </c>
      <c r="D27" s="12" t="inlineStr">
        <is>
          <t>우연히 발견하다, 마주치다</t>
        </is>
      </c>
      <c r="E27" s="12" t="inlineStr">
        <is>
          <t>I came across an interesting article on remote work.</t>
        </is>
      </c>
      <c r="F27" s="12" t="inlineStr">
        <is>
          <t>재택근무에 관한 흥미로운 기사를 우연히 발견했어요.</t>
        </is>
      </c>
      <c r="G27" s="9">
        <f>HYPERLINK("https://www.youtube.com/watch?v=Vy0dWpnMYR8", "영상 보기 ▶")</f>
        <v/>
      </c>
    </row>
    <row r="28" ht="26" customHeight="1">
      <c r="A28" s="2" t="n">
        <v>577</v>
      </c>
      <c r="B28" s="3" t="inlineStr">
        <is>
          <t>인상 전달</t>
        </is>
      </c>
      <c r="C28" s="4" t="inlineStr">
        <is>
          <t>come across (인상)</t>
        </is>
      </c>
      <c r="D28" s="11" t="inlineStr">
        <is>
          <t>(특정한) 인상을 주다</t>
        </is>
      </c>
      <c r="E28" s="11" t="inlineStr">
        <is>
          <t>She comes across as very confident and knowledgeable.</t>
        </is>
      </c>
      <c r="F28" s="11" t="inlineStr">
        <is>
          <t>그녀는 대단히 자신감 있고 박식하다는 인상을 줘요.</t>
        </is>
      </c>
      <c r="G28" s="5">
        <f>HYPERLINK("https://www.youtube.com/watch?v=Vy0dWpnMYR8", "영상 보기 ▶")</f>
        <v/>
      </c>
    </row>
    <row r="29" ht="26" customHeight="1">
      <c r="A29" s="6" t="n">
        <v>578</v>
      </c>
      <c r="B29" s="7" t="inlineStr">
        <is>
          <t>일 발생</t>
        </is>
      </c>
      <c r="C29" s="8" t="inlineStr">
        <is>
          <t>come up (발생)</t>
        </is>
      </c>
      <c r="D29" s="12" t="inlineStr">
        <is>
          <t>(예기치 않은 일이) 생기다, 발생하다</t>
        </is>
      </c>
      <c r="E29" s="12" t="inlineStr">
        <is>
          <t>Something urgent just came up at the office.</t>
        </is>
      </c>
      <c r="F29" s="12" t="inlineStr">
        <is>
          <t>사무실에 방금 급한 일이 하나 터졌어.</t>
        </is>
      </c>
      <c r="G29" s="9">
        <f>HYPERLINK("https://www.youtube.com/watch?v=Vy0dWpnMYR8", "영상 보기 ▶")</f>
        <v/>
      </c>
    </row>
    <row r="30" ht="26" customHeight="1">
      <c r="A30" s="2" t="n">
        <v>579</v>
      </c>
      <c r="B30" s="3" t="inlineStr">
        <is>
          <t>논의 언급</t>
        </is>
      </c>
      <c r="C30" s="4" t="inlineStr">
        <is>
          <t>come up (언급)</t>
        </is>
      </c>
      <c r="D30" s="11" t="inlineStr">
        <is>
          <t>(회의에서 안건이) 논의되다, 언급되다</t>
        </is>
      </c>
      <c r="E30" s="11" t="inlineStr">
        <is>
          <t>Did our budget proposal come up in the meeting?</t>
        </is>
      </c>
      <c r="F30" s="11" t="inlineStr">
        <is>
          <t>회의에서 우리 예산 제안서 이야기가 나왔나요?</t>
        </is>
      </c>
      <c r="G30" s="5">
        <f>HYPERLINK("https://www.youtube.com/watch?v=Vy0dWpnMYR8", "영상 보기 ▶")</f>
        <v/>
      </c>
    </row>
    <row r="31" ht="26" customHeight="1">
      <c r="A31" s="6" t="n">
        <v>580</v>
      </c>
      <c r="B31" s="7" t="inlineStr">
        <is>
          <t>마련/아이디어</t>
        </is>
      </c>
      <c r="C31" s="8" t="inlineStr">
        <is>
          <t>come up with</t>
        </is>
      </c>
      <c r="D31" s="12" t="inlineStr">
        <is>
          <t>(돈/해결책/아이디어를) 생각해내다, 마련하다</t>
        </is>
      </c>
      <c r="E31" s="12" t="inlineStr">
        <is>
          <t>Can you come up with a creative campaign idea?</t>
        </is>
      </c>
      <c r="F31" s="12" t="inlineStr">
        <is>
          <t>창의적인 캠페인 아이디어 좀 생각해낼 수 있어?</t>
        </is>
      </c>
      <c r="G31" s="9">
        <f>HYPERLINK("https://www.youtube.com/watch?v=Vy0dWpnMYR8", "영상 보기 ▶")</f>
        <v/>
      </c>
    </row>
    <row r="32" ht="26" customHeight="1">
      <c r="A32" s="2" t="n">
        <v>581</v>
      </c>
      <c r="B32" s="3" t="inlineStr">
        <is>
          <t>출신/원천</t>
        </is>
      </c>
      <c r="C32" s="4" t="inlineStr">
        <is>
          <t>come from</t>
        </is>
      </c>
      <c r="D32" s="11" t="inlineStr">
        <is>
          <t>~에서 비롯되다, 출신이다</t>
        </is>
      </c>
      <c r="E32" s="11" t="inlineStr">
        <is>
          <t>True confidence comes from preparation.</t>
        </is>
      </c>
      <c r="F32" s="11" t="inlineStr">
        <is>
          <t>진정한 자신감은 철저한 준비에서 비롯됩니다.</t>
        </is>
      </c>
      <c r="G32" s="5">
        <f>HYPERLINK("https://www.youtube.com/watch?v=Vy0dWpnMYR8", "영상 보기 ▶")</f>
        <v/>
      </c>
    </row>
    <row r="33" ht="26" customHeight="1">
      <c r="A33" s="6" t="n">
        <v>582</v>
      </c>
      <c r="B33" s="7" t="inlineStr">
        <is>
          <t>격한 감사</t>
        </is>
      </c>
      <c r="C33" s="8" t="inlineStr">
        <is>
          <t>coming from you</t>
        </is>
      </c>
      <c r="D33" s="12" t="inlineStr">
        <is>
          <t>(다른 사람도 아니고) 당신이 그렇게 말씀해 주시니</t>
        </is>
      </c>
      <c r="E33" s="12" t="inlineStr">
        <is>
          <t>That compliment means the world to me, coming from you.</t>
        </is>
      </c>
      <c r="F33" s="12" t="inlineStr">
        <is>
          <t>다른 분도 아닌 당신께서 그렇게 칭찬해 주시니 정말 큰 힘이 돼요.</t>
        </is>
      </c>
      <c r="G33" s="9">
        <f>HYPERLINK("https://www.youtube.com/watch?v=Vy0dWpnMYR8", "영상 보기 ▶")</f>
        <v/>
      </c>
    </row>
    <row r="34" ht="26" customHeight="1">
      <c r="A34" s="2" t="n">
        <v>583</v>
      </c>
      <c r="B34" s="3" t="inlineStr">
        <is>
          <t>질병 감염</t>
        </is>
      </c>
      <c r="C34" s="4" t="inlineStr">
        <is>
          <t>come down with</t>
        </is>
      </c>
      <c r="D34" s="11" t="inlineStr">
        <is>
          <t>(가벼운 감기/질병에) 걸리다</t>
        </is>
      </c>
      <c r="E34" s="11" t="inlineStr">
        <is>
          <t>I think I'm coming down with the flu.</t>
        </is>
      </c>
      <c r="F34" s="11" t="inlineStr">
        <is>
          <t>나 독감에 걸리려는지 으슬으슬해.</t>
        </is>
      </c>
      <c r="G34" s="5">
        <f>HYPERLINK("https://www.youtube.com/watch?v=Vy0dWpnMYR8", "영상 보기 ▶")</f>
        <v/>
      </c>
    </row>
    <row r="35" ht="26" customHeight="1">
      <c r="A35" s="6" t="n">
        <v>584</v>
      </c>
      <c r="B35" s="7" t="inlineStr">
        <is>
          <t>잠깐 방문</t>
        </is>
      </c>
      <c r="C35" s="8" t="inlineStr">
        <is>
          <t>come by</t>
        </is>
      </c>
      <c r="D35" s="12" t="inlineStr">
        <is>
          <t>(장소나 사무실에) 잠깐 들르다</t>
        </is>
      </c>
      <c r="E35" s="12" t="inlineStr">
        <is>
          <t>Feel free to come by my desk if you have questions.</t>
        </is>
      </c>
      <c r="F35" s="12" t="inlineStr">
        <is>
          <t>질문 있으시면 언제든 제 자리로 편하게 들르세요.</t>
        </is>
      </c>
      <c r="G35" s="9">
        <f>HYPERLINK("https://www.youtube.com/watch?v=Vy0dWpnMYR8", "영상 보기 ▶")</f>
        <v/>
      </c>
    </row>
    <row r="36" ht="26" customHeight="1">
      <c r="A36" s="2" t="n">
        <v>585</v>
      </c>
      <c r="B36" s="3" t="inlineStr">
        <is>
          <t>집 방문</t>
        </is>
      </c>
      <c r="C36" s="4" t="inlineStr">
        <is>
          <t>come over</t>
        </is>
      </c>
      <c r="D36" s="11" t="inlineStr">
        <is>
          <t>(특히 상대의 집에) 놀러 오다</t>
        </is>
      </c>
      <c r="E36" s="11" t="inlineStr">
        <is>
          <t>Why don't you come over for dinner tonight?</t>
        </is>
      </c>
      <c r="F36" s="11" t="inlineStr">
        <is>
          <t>오늘 저녁에 우리 집에 놀러 와서 밥 먹을래?</t>
        </is>
      </c>
      <c r="G36" s="5">
        <f>HYPERLINK("https://www.youtube.com/watch?v=Vy0dWpnMYR8", "영상 보기 ▶")</f>
        <v/>
      </c>
    </row>
    <row r="37" ht="26" customHeight="1">
      <c r="A37" s="6" t="n">
        <v>586</v>
      </c>
      <c r="B37" s="7" t="inlineStr">
        <is>
          <t>부속/동반</t>
        </is>
      </c>
      <c r="C37" s="8" t="inlineStr">
        <is>
          <t>come with</t>
        </is>
      </c>
      <c r="D37" s="12" t="inlineStr">
        <is>
          <t>~가 딸려 나오다, 기본 포함되다</t>
        </is>
      </c>
      <c r="E37" s="12" t="inlineStr">
        <is>
          <t>Does this coffee come with free refills?</t>
        </is>
      </c>
      <c r="F37" s="12" t="inlineStr">
        <is>
          <t>이 커피 무료 리필이 같이 제공되나요?</t>
        </is>
      </c>
      <c r="G37" s="9">
        <f>HYPERLINK("https://www.youtube.com/watch?v=Vy0dWpnMYR8", "영상 보기 ▶")</f>
        <v/>
      </c>
    </row>
    <row r="38" ht="26" customHeight="1">
      <c r="A38" s="2" t="n">
        <v>587</v>
      </c>
      <c r="B38" s="3" t="inlineStr">
        <is>
          <t>참여/순위</t>
        </is>
      </c>
      <c r="C38" s="4" t="inlineStr">
        <is>
          <t>come in</t>
        </is>
      </c>
      <c r="D38" s="11" t="inlineStr">
        <is>
          <t>들어오다, 순위권에 들다, 유용하다</t>
        </is>
      </c>
      <c r="E38" s="11" t="inlineStr">
        <is>
          <t>This portable charger will definitely come in handy.</t>
        </is>
      </c>
      <c r="F38" s="11" t="inlineStr">
        <is>
          <t>이 보조 배터리는 분명 아주 요긴하게 쓰일 거야.</t>
        </is>
      </c>
      <c r="G38" s="5">
        <f>HYPERLINK("https://www.youtube.com/watch?v=Vy0dWpnMYR8", "영상 보기 ▶")</f>
        <v/>
      </c>
    </row>
    <row r="39" ht="26" customHeight="1">
      <c r="A39" s="6" t="n">
        <v>588</v>
      </c>
      <c r="B39" s="7" t="inlineStr">
        <is>
          <t>마음 돌림</t>
        </is>
      </c>
      <c r="C39" s="8" t="inlineStr">
        <is>
          <t>come around</t>
        </is>
      </c>
      <c r="D39" s="12" t="inlineStr">
        <is>
          <t>(생각이나 입장을) 바꾸다, 마음을 돌리다</t>
        </is>
      </c>
      <c r="E39" s="12" t="inlineStr">
        <is>
          <t>He was skeptical at first, but he'll come around.</t>
        </is>
      </c>
      <c r="F39" s="12" t="inlineStr">
        <is>
          <t>처음엔 회의적이었지만 결국엔 그 사람도 납득하고 돌아설 거야.</t>
        </is>
      </c>
      <c r="G39" s="9">
        <f>HYPERLINK("https://www.youtube.com/watch?v=Vy0dWpnMYR8", "영상 보기 ▶")</f>
        <v/>
      </c>
    </row>
    <row r="40" ht="26" customHeight="1">
      <c r="A40" s="2" t="n">
        <v>589</v>
      </c>
      <c r="B40" s="3" t="inlineStr">
        <is>
          <t>현실 수용</t>
        </is>
      </c>
      <c r="C40" s="4" t="inlineStr">
        <is>
          <t>It is what it is</t>
        </is>
      </c>
      <c r="D40" s="11" t="inlineStr">
        <is>
          <t>어쩌겠어, 있는 그대로 받아들여야지</t>
        </is>
      </c>
      <c r="E40" s="11" t="inlineStr">
        <is>
          <t>We can't change the outcome now; it is what it is.</t>
        </is>
      </c>
      <c r="F40" s="11" t="inlineStr">
        <is>
          <t>결과를 이제 와서 바꿀 순 없어, 담담히 받아들여야지.</t>
        </is>
      </c>
      <c r="G40" s="5">
        <f>HYPERLINK("https://www.youtube.com/watch?v=Vy0dWpnMYR8", "영상 보기 ▶")</f>
        <v/>
      </c>
    </row>
    <row r="41" ht="26" customHeight="1">
      <c r="A41" s="6" t="n">
        <v>590</v>
      </c>
      <c r="B41" s="7" t="inlineStr">
        <is>
          <t>즉시/단번에</t>
        </is>
      </c>
      <c r="C41" s="8" t="inlineStr">
        <is>
          <t>Right off the bat</t>
        </is>
      </c>
      <c r="D41" s="12" t="inlineStr">
        <is>
          <t>곧바로, 시작하자마자 지체 없이</t>
        </is>
      </c>
      <c r="E41" s="12" t="inlineStr">
        <is>
          <t>Right off the bat, she made a stellar impression.</t>
        </is>
      </c>
      <c r="F41" s="12" t="inlineStr">
        <is>
          <t>시작하자마자 단번에 그녀는 아주 훌륭한 인상을 남겼어.</t>
        </is>
      </c>
      <c r="G41" s="9">
        <f>HYPERLINK("https://www.youtube.com/watch?v=Vy0dWpnMYR8", "영상 보기 ▶")</f>
        <v/>
      </c>
    </row>
    <row r="42" ht="26" customHeight="1">
      <c r="A42" s="2" t="n">
        <v>591</v>
      </c>
      <c r="B42" s="3" t="inlineStr">
        <is>
          <t>케미/친화</t>
        </is>
      </c>
      <c r="C42" s="4" t="inlineStr">
        <is>
          <t>hit it off</t>
        </is>
      </c>
      <c r="D42" s="11" t="inlineStr">
        <is>
          <t>(첫 만남부터) 죽이 척척 잘 맞다, 통하다</t>
        </is>
      </c>
      <c r="E42" s="11" t="inlineStr">
        <is>
          <t>They hit it off right away and talked for hours.</t>
        </is>
      </c>
      <c r="F42" s="11" t="inlineStr">
        <is>
          <t>둘은 첫 만남부터 죽이 너무 잘 맞아서 몇 시간 동안 대화했어.</t>
        </is>
      </c>
      <c r="G42" s="5">
        <f>HYPERLINK("https://www.youtube.com/watch?v=Vy0dWpnMYR8", "영상 보기 ▶")</f>
        <v/>
      </c>
    </row>
    <row r="43" ht="26" customHeight="1">
      <c r="A43" s="6" t="n">
        <v>592</v>
      </c>
      <c r="B43" s="7" t="inlineStr">
        <is>
          <t>처음부터</t>
        </is>
      </c>
      <c r="C43" s="8" t="inlineStr">
        <is>
          <t>from day one</t>
        </is>
      </c>
      <c r="D43" s="12" t="inlineStr">
        <is>
          <t>처음부터, 첫날부터 쭉</t>
        </is>
      </c>
      <c r="E43" s="12" t="inlineStr">
        <is>
          <t>He has been a dedicated team player from day one.</t>
        </is>
      </c>
      <c r="F43" s="12" t="inlineStr">
        <is>
          <t>그는 첫날부터 한결같이 헌신적인 팀원이었습니다.</t>
        </is>
      </c>
      <c r="G43" s="9">
        <f>HYPERLINK("https://www.youtube.com/watch?v=Vy0dWpnMYR8", "영상 보기 ▶")</f>
        <v/>
      </c>
    </row>
    <row r="44" ht="26" customHeight="1">
      <c r="A44" s="2" t="n">
        <v>593</v>
      </c>
      <c r="B44" s="3" t="inlineStr">
        <is>
          <t>예방 격언</t>
        </is>
      </c>
      <c r="C44" s="4" t="inlineStr">
        <is>
          <t>Better safe than sorry</t>
        </is>
      </c>
      <c r="D44" s="11" t="inlineStr">
        <is>
          <t>나중에 후회하는 것보다 미리 조심하는 게 낫지</t>
        </is>
      </c>
      <c r="E44" s="11" t="inlineStr">
        <is>
          <t>Take an umbrella just in case; better safe than sorry.</t>
        </is>
      </c>
      <c r="F44" s="11" t="inlineStr">
        <is>
          <t>혹시 모르니 우산 챙겨가, 나중에 후회하는 것보다 조심하는 게 낫잖아.</t>
        </is>
      </c>
      <c r="G44" s="5">
        <f>HYPERLINK("https://www.youtube.com/watch?v=Vy0dWpnMYR8", "영상 보기 ▶")</f>
        <v/>
      </c>
    </row>
    <row r="45" ht="26" customHeight="1">
      <c r="A45" s="6" t="n">
        <v>594</v>
      </c>
      <c r="B45" s="7" t="inlineStr">
        <is>
          <t>취향 저격</t>
        </is>
      </c>
      <c r="C45" s="8" t="inlineStr">
        <is>
          <t>right up my alley</t>
        </is>
      </c>
      <c r="D45" s="12" t="inlineStr">
        <is>
          <t>완전 내 취향이다, 내 전문/특기 분야다</t>
        </is>
      </c>
      <c r="E45" s="12" t="inlineStr">
        <is>
          <t>That indie movie sounds right up my alley.</t>
        </is>
      </c>
      <c r="F45" s="12" t="inlineStr">
        <is>
          <t>그 독립영화 완전 내 취향에 딱 맞을 것 같은데!</t>
        </is>
      </c>
      <c r="G45" s="9">
        <f>HYPERLINK("https://www.youtube.com/watch?v=Vy0dWpnMYR8", "영상 보기 ▶")</f>
        <v/>
      </c>
    </row>
    <row r="46" ht="26" customHeight="1">
      <c r="A46" s="2" t="n">
        <v>595</v>
      </c>
      <c r="B46" s="3" t="inlineStr">
        <is>
          <t>대화 참여</t>
        </is>
      </c>
      <c r="C46" s="4" t="inlineStr">
        <is>
          <t>chime in</t>
        </is>
      </c>
      <c r="D46" s="11" t="inlineStr">
        <is>
          <t>(대화나 회의 도중) 한마디 거들다, 끼어들다</t>
        </is>
      </c>
      <c r="E46" s="11" t="inlineStr">
        <is>
          <t>Feel free to chime in whenever you have an idea.</t>
        </is>
      </c>
      <c r="F46" s="11" t="inlineStr">
        <is>
          <t>의견 있으시면 언제든 편하게 한마디 거들어 주세요.</t>
        </is>
      </c>
      <c r="G46" s="5">
        <f>HYPERLINK("https://www.youtube.com/watch?v=Vy0dWpnMYR8", "영상 보기 ▶")</f>
        <v/>
      </c>
    </row>
    <row r="47" ht="26" customHeight="1">
      <c r="A47" s="6" t="n">
        <v>596</v>
      </c>
      <c r="B47" s="7" t="inlineStr">
        <is>
          <t>일 해치움</t>
        </is>
      </c>
      <c r="C47" s="8" t="inlineStr">
        <is>
          <t>get (대상) out of the way</t>
        </is>
      </c>
      <c r="D47" s="12" t="inlineStr">
        <is>
          <t>(신경 안 쓰이게) 미리 해치우다/끝내다</t>
        </is>
      </c>
      <c r="E47" s="12" t="inlineStr">
        <is>
          <t>Let's get this urgent paperwork out of the way first.</t>
        </is>
      </c>
      <c r="F47" s="12" t="inlineStr">
        <is>
          <t>이 급한 서류 작업부터 먼저 후딱 해치웁시다.</t>
        </is>
      </c>
      <c r="G47" s="9">
        <f>HYPERLINK("https://www.youtube.com/watch?v=Vy0dWpnMYR8", "영상 보기 ▶")</f>
        <v/>
      </c>
    </row>
    <row r="48" ht="26" customHeight="1">
      <c r="A48" s="2" t="n">
        <v>597</v>
      </c>
      <c r="B48" s="3" t="inlineStr">
        <is>
          <t>객관화</t>
        </is>
      </c>
      <c r="C48" s="4" t="inlineStr">
        <is>
          <t>take a step back</t>
        </is>
      </c>
      <c r="D48" s="11" t="inlineStr">
        <is>
          <t>한 걸음 물러서서 냉정히 바라보다</t>
        </is>
      </c>
      <c r="E48" s="11" t="inlineStr">
        <is>
          <t>Let's take a step back and look at the big picture.</t>
        </is>
      </c>
      <c r="F48" s="11" t="inlineStr">
        <is>
          <t>잠시 한 걸음 물러서서 큰 그림을 객관적으로 살펴봅시다.</t>
        </is>
      </c>
      <c r="G48" s="5">
        <f>HYPERLINK("https://www.youtube.com/watch?v=Vy0dWpnMYR8", "영상 보기 ▶")</f>
        <v/>
      </c>
    </row>
    <row r="49" ht="26" customHeight="1">
      <c r="A49" s="6" t="n">
        <v>598</v>
      </c>
      <c r="B49" s="7" t="inlineStr">
        <is>
          <t>목표 지향</t>
        </is>
      </c>
      <c r="C49" s="8" t="inlineStr">
        <is>
          <t>aim for</t>
        </is>
      </c>
      <c r="D49" s="12" t="inlineStr">
        <is>
          <t>~를 목표로 삼고 나아가다</t>
        </is>
      </c>
      <c r="E49" s="12" t="inlineStr">
        <is>
          <t>We should aim for a launch date in early October.</t>
        </is>
      </c>
      <c r="F49" s="12" t="inlineStr">
        <is>
          <t>10월 초 출시를 목표로 잡고 나아가야 합니다.</t>
        </is>
      </c>
      <c r="G49" s="9">
        <f>HYPERLINK("https://www.youtube.com/watch?v=Vy0dWpnMYR8", "영상 보기 ▶")</f>
        <v/>
      </c>
    </row>
    <row r="50" ht="26" customHeight="1">
      <c r="A50" s="2" t="n">
        <v>599</v>
      </c>
      <c r="B50" s="3" t="inlineStr">
        <is>
          <t>신속 공유</t>
        </is>
      </c>
      <c r="C50" s="4" t="inlineStr">
        <is>
          <t>You'll be the first to know</t>
        </is>
      </c>
      <c r="D50" s="11" t="inlineStr">
        <is>
          <t>(소식/결과가 나오면) 너한테 가장 먼저 알려줄게</t>
        </is>
      </c>
      <c r="E50" s="11" t="inlineStr">
        <is>
          <t>As soon as the results are out, you'll be the first to know.</t>
        </is>
      </c>
      <c r="F50" s="11" t="inlineStr">
        <is>
          <t>결과 나오는 즉시 너한테 제일 먼저 알려줄게.</t>
        </is>
      </c>
      <c r="G50" s="5">
        <f>HYPERLINK("https://www.youtube.com/watch?v=Vy0dWpnMYR8", "영상 보기 ▶")</f>
        <v/>
      </c>
    </row>
    <row r="51" ht="26" customHeight="1">
      <c r="A51" s="6" t="n">
        <v>600</v>
      </c>
      <c r="B51" s="7" t="inlineStr">
        <is>
          <t>자연스런 끌림</t>
        </is>
      </c>
      <c r="C51" s="8" t="inlineStr">
        <is>
          <t>gravitate towards</t>
        </is>
      </c>
      <c r="D51" s="12" t="inlineStr">
        <is>
          <t>(자연스레) 관심이 쏠리다, 마음이 끌리다</t>
        </is>
      </c>
      <c r="E51" s="12" t="inlineStr">
        <is>
          <t>People naturally gravitate towards positive colleagues.</t>
        </is>
      </c>
      <c r="F51" s="12" t="inlineStr">
        <is>
          <t>사람들은 자연스럽게 긍정적인 동료에게 끌리기 마련입니다.</t>
        </is>
      </c>
      <c r="G51" s="9">
        <f>HYPERLINK("https://www.youtube.com/watch?v=Vy0dWpnMYR8", "영상 보기 ▶")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3" customWidth="1" min="3" max="3"/>
    <col width="48" customWidth="1" min="4" max="4"/>
    <col width="75" customWidth="1" min="5" max="5"/>
    <col width="65.7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601</v>
      </c>
      <c r="B2" s="3" t="inlineStr">
        <is>
          <t>겸손</t>
        </is>
      </c>
      <c r="C2" s="4" t="inlineStr">
        <is>
          <t>humble</t>
        </is>
      </c>
      <c r="D2" s="11" t="inlineStr">
        <is>
          <t>소박한, 변변치 않은 (자신을 낮출 때)</t>
        </is>
      </c>
      <c r="E2" s="11" t="inlineStr">
        <is>
          <t>Welcome to my humble abode.</t>
        </is>
      </c>
      <c r="F2" s="11" t="inlineStr">
        <is>
          <t>누추하지만 저희 집에 오신 걸 환영합니다.</t>
        </is>
      </c>
      <c r="G2" s="5">
        <f>HYPERLINK("https://www.youtube.com/watch?v=xJ7n9e3p5Mc", "영상 보기 ▶")</f>
        <v/>
      </c>
    </row>
    <row r="3" ht="26" customHeight="1">
      <c r="A3" s="6" t="n">
        <v>602</v>
      </c>
      <c r="B3" s="7" t="inlineStr">
        <is>
          <t>조심스런 의견</t>
        </is>
      </c>
      <c r="C3" s="8" t="inlineStr">
        <is>
          <t>in my humble opinion</t>
        </is>
      </c>
      <c r="D3" s="12" t="inlineStr">
        <is>
          <t>제 짧은 소견으로는, 제 생각일 뿐이지만 (IMHO)</t>
        </is>
      </c>
      <c r="E3" s="12" t="inlineStr">
        <is>
          <t>In my humble opinion, Sarah is the best fit for the role.</t>
        </is>
      </c>
      <c r="F3" s="12" t="inlineStr">
        <is>
          <t>제 짧은 소견으로는 세라가 그 역할에 가장 적임자라고 생각합니다.</t>
        </is>
      </c>
      <c r="G3" s="9">
        <f>HYPERLINK("https://www.youtube.com/watch?v=xJ7n9e3p5Mc", "영상 보기 ▶")</f>
        <v/>
      </c>
    </row>
    <row r="4" ht="26" customHeight="1">
      <c r="A4" s="2" t="n">
        <v>603</v>
      </c>
      <c r="B4" s="3" t="inlineStr">
        <is>
          <t>겸허한 경험</t>
        </is>
      </c>
      <c r="C4" s="4" t="inlineStr">
        <is>
          <t>humbling experience</t>
        </is>
      </c>
      <c r="D4" s="11" t="inlineStr">
        <is>
          <t>자신을 되돌아보게 하고 겸손하게 만드는 경험</t>
        </is>
      </c>
      <c r="E4" s="11" t="inlineStr">
        <is>
          <t>It was a truly humbling experience for our entire team.</t>
        </is>
      </c>
      <c r="F4" s="11" t="inlineStr">
        <is>
          <t>그것은 우리 팀 전체에 있어 스스로를 겸허히 돌아보게 만든 경험이었어요.</t>
        </is>
      </c>
      <c r="G4" s="5">
        <f>HYPERLINK("https://www.youtube.com/watch?v=xJ7n9e3p5Mc", "영상 보기 ▶")</f>
        <v/>
      </c>
    </row>
    <row r="5" ht="26" customHeight="1">
      <c r="A5" s="6" t="n">
        <v>604</v>
      </c>
      <c r="B5" s="7" t="inlineStr">
        <is>
          <t>강조 복습</t>
        </is>
      </c>
      <c r="C5" s="8" t="inlineStr">
        <is>
          <t>reiterate</t>
        </is>
      </c>
      <c r="D5" s="12" t="inlineStr">
        <is>
          <t>(강조하기 위해) 다시 한번 반복하다, 되풀이하다</t>
        </is>
      </c>
      <c r="E5" s="12" t="inlineStr">
        <is>
          <t>I want to reiterate how grateful I am for your help.</t>
        </is>
      </c>
      <c r="F5" s="12" t="inlineStr">
        <is>
          <t>도와주신 데 대해 얼마나 감사한지 다시 한번 강조해 말씀드리고 싶습니다.</t>
        </is>
      </c>
      <c r="G5" s="9">
        <f>HYPERLINK("https://www.youtube.com/watch?v=xJ7n9e3p5Mc", "영상 보기 ▶")</f>
        <v/>
      </c>
    </row>
    <row r="6" ht="26" customHeight="1">
      <c r="A6" s="2" t="n">
        <v>605</v>
      </c>
      <c r="B6" s="3" t="inlineStr">
        <is>
          <t>강조 복습</t>
        </is>
      </c>
      <c r="C6" s="4" t="inlineStr">
        <is>
          <t>Just to reiterate,</t>
        </is>
      </c>
      <c r="D6" s="11" t="inlineStr">
        <is>
          <t>강조 차원에서 다시 한번 말씀드리자면,</t>
        </is>
      </c>
      <c r="E6" s="11" t="inlineStr">
        <is>
          <t>Just to reiterate, the strict deadline is 5 PM tomorrow.</t>
        </is>
      </c>
      <c r="F6" s="11" t="inlineStr">
        <is>
          <t>다시 한번 강조해 말씀드리자면, 마감은 내일 오후 5시 엄수입니다.</t>
        </is>
      </c>
      <c r="G6" s="5">
        <f>HYPERLINK("https://www.youtube.com/watch?v=xJ7n9e3p5Mc", "영상 보기 ▶")</f>
        <v/>
      </c>
    </row>
    <row r="7" ht="26" customHeight="1">
      <c r="A7" s="6" t="n">
        <v>606</v>
      </c>
      <c r="B7" s="7" t="inlineStr">
        <is>
          <t>고수/유지</t>
        </is>
      </c>
      <c r="C7" s="8" t="inlineStr">
        <is>
          <t>stick to</t>
        </is>
      </c>
      <c r="D7" s="12" t="inlineStr">
        <is>
          <t>(주제/원칙/일정을) 벗어나지 않고 고수하다, 지키다</t>
        </is>
      </c>
      <c r="E7" s="12" t="inlineStr">
        <is>
          <t>Let's stick to the agenda today.</t>
        </is>
      </c>
      <c r="F7" s="12" t="inlineStr">
        <is>
          <t>오늘은 회의 안건에 집중해서 벗어나지 맙시다.</t>
        </is>
      </c>
      <c r="G7" s="9">
        <f>HYPERLINK("https://www.youtube.com/watch?v=xJ7n9e3p5Mc", "영상 보기 ▶")</f>
        <v/>
      </c>
    </row>
    <row r="8" ht="26" customHeight="1">
      <c r="A8" s="2" t="n">
        <v>607</v>
      </c>
      <c r="B8" s="3" t="inlineStr">
        <is>
          <t>마무리 정리</t>
        </is>
      </c>
      <c r="C8" s="4" t="inlineStr">
        <is>
          <t>square away</t>
        </is>
      </c>
      <c r="D8" s="11" t="inlineStr">
        <is>
          <t>더 이상 신경 쓸 일 없도록 확실히 정리/처리 완료하다</t>
        </is>
      </c>
      <c r="E8" s="11" t="inlineStr">
        <is>
          <t>Is everything squared away for tomorrow's presentation?</t>
        </is>
      </c>
      <c r="F8" s="11" t="inlineStr">
        <is>
          <t>내일 발표 준비는 다 확실하게 정리가 끝났나요?</t>
        </is>
      </c>
      <c r="G8" s="5">
        <f>HYPERLINK("https://www.youtube.com/watch?v=xJ7n9e3p5Mc", "영상 보기 ▶")</f>
        <v/>
      </c>
    </row>
    <row r="9" ht="26" customHeight="1">
      <c r="A9" s="6" t="n">
        <v>608</v>
      </c>
      <c r="B9" s="7" t="inlineStr">
        <is>
          <t>본격 착수</t>
        </is>
      </c>
      <c r="C9" s="8" t="inlineStr">
        <is>
          <t>dive in</t>
        </is>
      </c>
      <c r="D9" s="12" t="inlineStr">
        <is>
          <t>열심히 착수하다, 본격적으로 뛰어들다</t>
        </is>
      </c>
      <c r="E9" s="12" t="inlineStr">
        <is>
          <t>We have a lot to cover, so let's dive right in.</t>
        </is>
      </c>
      <c r="F9" s="12" t="inlineStr">
        <is>
          <t>다룰 내용이 많으니 곧바로 본격적으로 시작합시다.</t>
        </is>
      </c>
      <c r="G9" s="9">
        <f>HYPERLINK("https://www.youtube.com/watch?v=xJ7n9e3p5Mc", "영상 보기 ▶")</f>
        <v/>
      </c>
    </row>
    <row r="10" ht="26" customHeight="1">
      <c r="A10" s="2" t="n">
        <v>609</v>
      </c>
      <c r="B10" s="3" t="inlineStr">
        <is>
          <t>정확한 지적</t>
        </is>
      </c>
      <c r="C10" s="4" t="inlineStr">
        <is>
          <t>pinpoint</t>
        </is>
      </c>
      <c r="D10" s="11" t="inlineStr">
        <is>
          <t>한치의 오차도 없이 정확히 짚어내다/찾아내다</t>
        </is>
      </c>
      <c r="E10" s="11" t="inlineStr">
        <is>
          <t>It's hard to pinpoint the exact cause of the glitch.</t>
        </is>
      </c>
      <c r="F10" s="11" t="inlineStr">
        <is>
          <t>시스템 오류의 정확한 원인을 콕 집어내기가 어렵네요.</t>
        </is>
      </c>
      <c r="G10" s="5">
        <f>HYPERLINK("https://www.youtube.com/watch?v=xJ7n9e3p5Mc", "영상 보기 ▶")</f>
        <v/>
      </c>
    </row>
    <row r="11" ht="26" customHeight="1">
      <c r="A11" s="6" t="n">
        <v>610</v>
      </c>
      <c r="B11" s="7" t="inlineStr">
        <is>
          <t>목표 설정</t>
        </is>
      </c>
      <c r="C11" s="8" t="inlineStr">
        <is>
          <t>aim for</t>
        </is>
      </c>
      <c r="D11" s="12" t="inlineStr">
        <is>
          <t>~를 목표로 겨냥하다, 추진하다</t>
        </is>
      </c>
      <c r="E11" s="12" t="inlineStr">
        <is>
          <t>Let's aim for a 20% increase in productivity.</t>
        </is>
      </c>
      <c r="F11" s="12" t="inlineStr">
        <is>
          <t>생산성 20% 향상을 목표로 삼읍시다.</t>
        </is>
      </c>
      <c r="G11" s="9">
        <f>HYPERLINK("https://www.youtube.com/watch?v=xJ7n9e3p5Mc", "영상 보기 ▶")</f>
        <v/>
      </c>
    </row>
    <row r="12" ht="26" customHeight="1">
      <c r="A12" s="2" t="n">
        <v>611</v>
      </c>
      <c r="B12" s="3" t="inlineStr">
        <is>
          <t>심각성</t>
        </is>
      </c>
      <c r="C12" s="4" t="inlineStr">
        <is>
          <t>gravity</t>
        </is>
      </c>
      <c r="D12" s="11" t="inlineStr">
        <is>
          <t>중대성, 심각성 (the gravity of the situation)</t>
        </is>
      </c>
      <c r="E12" s="11" t="inlineStr">
        <is>
          <t>I don't think he grasps the gravity of the situation.</t>
        </is>
      </c>
      <c r="F12" s="11" t="inlineStr">
        <is>
          <t>그는 이 상황의 심각성을 제대로 깨닫지 못하고 있는 것 같아요.</t>
        </is>
      </c>
      <c r="G12" s="5">
        <f>HYPERLINK("https://www.youtube.com/watch?v=xJ7n9e3p5Mc", "영상 보기 ▶")</f>
        <v/>
      </c>
    </row>
    <row r="13" ht="26" customHeight="1">
      <c r="A13" s="6" t="n">
        <v>612</v>
      </c>
      <c r="B13" s="7" t="inlineStr">
        <is>
          <t>상황 인지</t>
        </is>
      </c>
      <c r="C13" s="8" t="inlineStr">
        <is>
          <t>appreciate</t>
        </is>
      </c>
      <c r="D13" s="12" t="inlineStr">
        <is>
          <t>(상황의 심각성/의미를) 온전히 인지하다, 이해하다</t>
        </is>
      </c>
      <c r="E13" s="12" t="inlineStr">
        <is>
          <t>I'm not sure you appreciate how serious this is.</t>
        </is>
      </c>
      <c r="F13" s="12" t="inlineStr">
        <is>
          <t>당신이 이것이 얼마나 심각한 문제인지 제대로 인지하고 있는지 모르겠네요.</t>
        </is>
      </c>
      <c r="G13" s="9">
        <f>HYPERLINK("https://www.youtube.com/watch?v=xJ7n9e3p5Mc", "영상 보기 ▶")</f>
        <v/>
      </c>
    </row>
    <row r="14" ht="26" customHeight="1">
      <c r="A14" s="2" t="n">
        <v>613</v>
      </c>
      <c r="B14" s="3" t="inlineStr">
        <is>
          <t>초집중</t>
        </is>
      </c>
      <c r="C14" s="4" t="inlineStr">
        <is>
          <t>laser-focus / laser-focused</t>
        </is>
      </c>
      <c r="D14" s="11" t="inlineStr">
        <is>
          <t>레이저를 쏘듯 초집중하다, 몰입하다</t>
        </is>
      </c>
      <c r="E14" s="11" t="inlineStr">
        <is>
          <t>We need to stay laser-focused on our core objectives.</t>
        </is>
      </c>
      <c r="F14" s="11" t="inlineStr">
        <is>
          <t>우리는 핵심 목표에 빈틈없이 초집중해야 합니다.</t>
        </is>
      </c>
      <c r="G14" s="5">
        <f>HYPERLINK("https://www.youtube.com/watch?v=xJ7n9e3p5Mc", "영상 보기 ▶")</f>
        <v/>
      </c>
    </row>
    <row r="15" ht="26" customHeight="1">
      <c r="A15" s="6" t="n">
        <v>614</v>
      </c>
      <c r="B15" s="7" t="inlineStr">
        <is>
          <t>화풀이 금지</t>
        </is>
      </c>
      <c r="C15" s="8" t="inlineStr">
        <is>
          <t>take it out on (사람)</t>
        </is>
      </c>
      <c r="D15" s="12" t="inlineStr">
        <is>
          <t>~에게 화풀이하다, 분풀이하다</t>
        </is>
      </c>
      <c r="E15" s="12" t="inlineStr">
        <is>
          <t>Don't take your bad mood out on me.</t>
        </is>
      </c>
      <c r="F15" s="12" t="inlineStr">
        <is>
          <t>네 기분 안 좋은 걸 왜 나한테 화풀이해.</t>
        </is>
      </c>
      <c r="G15" s="9">
        <f>HYPERLINK("https://www.youtube.com/watch?v=xJ7n9e3p5Mc", "영상 보기 ▶")</f>
        <v/>
      </c>
    </row>
    <row r="16" ht="26" customHeight="1">
      <c r="A16" s="2" t="n">
        <v>615</v>
      </c>
      <c r="B16" s="3" t="inlineStr">
        <is>
          <t>소중함 망각</t>
        </is>
      </c>
      <c r="C16" s="4" t="inlineStr">
        <is>
          <t>take (대상) for granted</t>
        </is>
      </c>
      <c r="D16" s="11" t="inlineStr">
        <is>
          <t>~를 당연한 것으로 여기다, 대수롭지 않게 보다</t>
        </is>
      </c>
      <c r="E16" s="11" t="inlineStr">
        <is>
          <t>Never take good health and family for granted.</t>
        </is>
      </c>
      <c r="F16" s="11" t="inlineStr">
        <is>
          <t>건강과 가족의 소중함을 결코 당연시해서는 안 돼.</t>
        </is>
      </c>
      <c r="G16" s="5">
        <f>HYPERLINK("https://www.youtube.com/watch?v=xJ7n9e3p5Mc", "영상 보기 ▶")</f>
        <v/>
      </c>
    </row>
    <row r="17" ht="26" customHeight="1">
      <c r="A17" s="6" t="n">
        <v>616</v>
      </c>
      <c r="B17" s="7" t="inlineStr">
        <is>
          <t>기회 활용</t>
        </is>
      </c>
      <c r="C17" s="8" t="inlineStr">
        <is>
          <t>take advantage of</t>
        </is>
      </c>
      <c r="D17" s="12" t="inlineStr">
        <is>
          <t>(이득이 되도록) 기회를 십분 활용하다</t>
        </is>
      </c>
      <c r="E17" s="12" t="inlineStr">
        <is>
          <t>Make sure to take advantage of this networking session.</t>
        </is>
      </c>
      <c r="F17" s="12" t="inlineStr">
        <is>
          <t>이번 네트워킹 세션 기회를 최대한 잘 활용하도록 해.</t>
        </is>
      </c>
      <c r="G17" s="9">
        <f>HYPERLINK("https://www.youtube.com/watch?v=xJ7n9e3p5Mc", "영상 보기 ▶")</f>
        <v/>
      </c>
    </row>
    <row r="18" ht="26" customHeight="1">
      <c r="A18" s="2" t="n">
        <v>617</v>
      </c>
      <c r="B18" s="3" t="inlineStr">
        <is>
          <t>불만 표출</t>
        </is>
      </c>
      <c r="C18" s="4" t="inlineStr">
        <is>
          <t>I don't appreciate ~</t>
        </is>
      </c>
      <c r="D18" s="11" t="inlineStr">
        <is>
          <t>~한 태도/행동은 정말 달갑지 않습니다 (불쾌함)</t>
        </is>
      </c>
      <c r="E18" s="11" t="inlineStr">
        <is>
          <t>I don't appreciate being spoken to in that tone.</t>
        </is>
      </c>
      <c r="F18" s="11" t="inlineStr">
        <is>
          <t>그런 무례한 어조로 제게 말씀하시는 것은 대단히 불쾌합니다.</t>
        </is>
      </c>
      <c r="G18" s="5">
        <f>HYPERLINK("https://www.youtube.com/watch?v=xJ7n9e3p5Mc", "영상 보기 ▶")</f>
        <v/>
      </c>
    </row>
    <row r="19" ht="26" customHeight="1">
      <c r="A19" s="6" t="n">
        <v>618</v>
      </c>
      <c r="B19" s="7" t="inlineStr">
        <is>
          <t>선 넘음</t>
        </is>
      </c>
      <c r="C19" s="8" t="inlineStr">
        <is>
          <t>cross the line</t>
        </is>
      </c>
      <c r="D19" s="12" t="inlineStr">
        <is>
          <t>선을 넘다, 도를 지나치다</t>
        </is>
      </c>
      <c r="E19" s="12" t="inlineStr">
        <is>
          <t>His personal remarks really crossed the line.</t>
        </is>
      </c>
      <c r="F19" s="12" t="inlineStr">
        <is>
          <t>그의 사적인 발언은 확실히 선을 넘었어.</t>
        </is>
      </c>
      <c r="G19" s="9">
        <f>HYPERLINK("https://www.youtube.com/watch?v=xJ7n9e3p5Mc", "영상 보기 ▶")</f>
        <v/>
      </c>
    </row>
    <row r="20" ht="26" customHeight="1">
      <c r="A20" s="2" t="n">
        <v>619</v>
      </c>
      <c r="B20" s="3" t="inlineStr">
        <is>
          <t>안부/경청</t>
        </is>
      </c>
      <c r="C20" s="4" t="inlineStr">
        <is>
          <t>What's on your mind?</t>
        </is>
      </c>
      <c r="D20" s="11" t="inlineStr">
        <is>
          <t>무슨 생각 해? / 무슨 일 있어? / 할 말 있어?</t>
        </is>
      </c>
      <c r="E20" s="11" t="inlineStr">
        <is>
          <t>You look troubled. What's on your mind?</t>
        </is>
      </c>
      <c r="F20" s="11" t="inlineStr">
        <is>
          <t>표정이 안 좋아 보이네. 무슨 고민 있어?</t>
        </is>
      </c>
      <c r="G20" s="5">
        <f>HYPERLINK("https://www.youtube.com/watch?v=xJ7n9e3p5Mc", "영상 보기 ▶")</f>
        <v/>
      </c>
    </row>
    <row r="21" ht="26" customHeight="1">
      <c r="A21" s="6" t="n">
        <v>620</v>
      </c>
      <c r="B21" s="7" t="inlineStr">
        <is>
          <t>통화 매너</t>
        </is>
      </c>
      <c r="C21" s="8" t="inlineStr">
        <is>
          <t>Did I catch you at a bad time?</t>
        </is>
      </c>
      <c r="D21" s="12" t="inlineStr">
        <is>
          <t>혹시 지금 통화하기 곤란한 때인가요?</t>
        </is>
      </c>
      <c r="E21" s="12" t="inlineStr">
        <is>
          <t>Hi Mark, did I catch you at a bad time? I can call later.</t>
        </is>
      </c>
      <c r="F21" s="12" t="inlineStr">
        <is>
          <t>마크 씨, 혹시 지금 통화 곤란하신가요? 나중에 다시 걸게요.</t>
        </is>
      </c>
      <c r="G21" s="9">
        <f>HYPERLINK("https://www.youtube.com/watch?v=xJ7n9e3p5Mc", "영상 보기 ▶")</f>
        <v/>
      </c>
    </row>
    <row r="22" ht="26" customHeight="1">
      <c r="A22" s="2" t="n">
        <v>621</v>
      </c>
      <c r="B22" s="3" t="inlineStr">
        <is>
          <t>생각 번복</t>
        </is>
      </c>
      <c r="C22" s="4" t="inlineStr">
        <is>
          <t>on second thought</t>
        </is>
      </c>
      <c r="D22" s="11" t="inlineStr">
        <is>
          <t>다시 생각해 보니까</t>
        </is>
      </c>
      <c r="E22" s="11" t="inlineStr">
        <is>
          <t>On second thought, let's reschedule for next Monday.</t>
        </is>
      </c>
      <c r="F22" s="11" t="inlineStr">
        <is>
          <t>다시 생각해 보니, 다음 주 월요일로 일정을 다시 잡읍시다.</t>
        </is>
      </c>
      <c r="G22" s="5">
        <f>HYPERLINK("https://www.youtube.com/watch?v=xJ7n9e3p5Mc", "영상 보기 ▶")</f>
        <v/>
      </c>
    </row>
    <row r="23" ht="26" customHeight="1">
      <c r="A23" s="6" t="n">
        <v>622</v>
      </c>
      <c r="B23" s="7" t="inlineStr">
        <is>
          <t>망설임</t>
        </is>
      </c>
      <c r="C23" s="8" t="inlineStr">
        <is>
          <t>have second thoughts</t>
        </is>
      </c>
      <c r="D23" s="12" t="inlineStr">
        <is>
          <t>결정 후 다시 생각하다, 의구심/망설임이 들다</t>
        </is>
      </c>
      <c r="E23" s="12" t="inlineStr">
        <is>
          <t>Are you having second thoughts about taking the job?</t>
        </is>
      </c>
      <c r="F23" s="12" t="inlineStr">
        <is>
          <t>그 일자리 수락한 거에 대해 마음이 다시 흔들리고 있어?</t>
        </is>
      </c>
      <c r="G23" s="9">
        <f>HYPERLINK("https://www.youtube.com/watch?v=xJ7n9e3p5Mc", "영상 보기 ▶")</f>
        <v/>
      </c>
    </row>
    <row r="24" ht="26" customHeight="1">
      <c r="A24" s="2" t="n">
        <v>623</v>
      </c>
      <c r="B24" s="3" t="inlineStr">
        <is>
          <t>우려 뉘앙스</t>
        </is>
      </c>
      <c r="C24" s="4" t="inlineStr">
        <is>
          <t>concern vs worry</t>
        </is>
      </c>
      <c r="D24" s="11" t="inlineStr">
        <is>
          <t>통제 불능의 개인적 걱정(worry) vs 비즈니스적 우려(concern)</t>
        </is>
      </c>
      <c r="E24" s="11" t="inlineStr">
        <is>
          <t>My main concern is meeting our client's delivery deadline.</t>
        </is>
      </c>
      <c r="F24" s="11" t="inlineStr">
        <is>
          <t>저의 주된 비즈니스적 우려는 고객사의 납기일을 맞추는 것입니다.</t>
        </is>
      </c>
      <c r="G24" s="5">
        <f>HYPERLINK("https://www.youtube.com/watch?v=xJ7n9e3p5Mc", "영상 보기 ▶")</f>
        <v/>
      </c>
    </row>
    <row r="25" ht="26" customHeight="1">
      <c r="A25" s="6" t="n">
        <v>624</v>
      </c>
      <c r="B25" s="7" t="inlineStr">
        <is>
          <t>지각 질문</t>
        </is>
      </c>
      <c r="C25" s="8" t="inlineStr">
        <is>
          <t>What took you so long?</t>
        </is>
      </c>
      <c r="D25" s="12" t="inlineStr">
        <is>
          <t>왜 이렇게 오래 걸렸어? / 왜 이리 늦게 왔어?</t>
        </is>
      </c>
      <c r="E25" s="12" t="inlineStr">
        <is>
          <t>What took you so long? We almost started without you.</t>
        </is>
      </c>
      <c r="F25" s="12" t="inlineStr">
        <is>
          <t>왜 이렇게 늦었어? 너 없이 그냥 시작할 뻔했잖아.</t>
        </is>
      </c>
      <c r="G25" s="9">
        <f>HYPERLINK("https://www.youtube.com/watch?v=xJ7n9e3p5Mc", "영상 보기 ▶")</f>
        <v/>
      </c>
    </row>
    <row r="26" ht="26" customHeight="1">
      <c r="A26" s="2" t="n">
        <v>625</v>
      </c>
      <c r="B26" s="3" t="inlineStr">
        <is>
          <t>방문 질문</t>
        </is>
      </c>
      <c r="C26" s="4" t="inlineStr">
        <is>
          <t>What brings you here?</t>
        </is>
      </c>
      <c r="D26" s="11" t="inlineStr">
        <is>
          <t>여기 어쩐 일로 오셨어요?</t>
        </is>
      </c>
      <c r="E26" s="11" t="inlineStr">
        <is>
          <t>Hey Sarah, what brings you to our floor today?</t>
        </is>
      </c>
      <c r="F26" s="11" t="inlineStr">
        <is>
          <t>세라 씨, 오늘 저희 층엔 어쩐 일로 오셨어요?</t>
        </is>
      </c>
      <c r="G26" s="5">
        <f>HYPERLINK("https://www.youtube.com/watch?v=xJ7n9e3p5Mc", "영상 보기 ▶")</f>
        <v/>
      </c>
    </row>
    <row r="27" ht="26" customHeight="1">
      <c r="A27" s="6" t="n">
        <v>626</v>
      </c>
      <c r="B27" s="7" t="inlineStr">
        <is>
          <t>배려/협조</t>
        </is>
      </c>
      <c r="C27" s="8" t="inlineStr">
        <is>
          <t>accommodating</t>
        </is>
      </c>
      <c r="D27" s="12" t="inlineStr">
        <is>
          <t>(상대편에 맞춰주고 선뜻 도와주는) 협조적인, 배려 깊은</t>
        </is>
      </c>
      <c r="E27" s="12" t="inlineStr">
        <is>
          <t>Thank you for being so accommodating with our crazy schedule.</t>
        </is>
      </c>
      <c r="F27" s="12" t="inlineStr">
        <is>
          <t>저희의 촉박한 일정에 너그럽게 맞춰주시고 협조해 주셔서 감사합니다.</t>
        </is>
      </c>
      <c r="G27" s="9">
        <f>HYPERLINK("https://www.youtube.com/watch?v=xJ7n9e3p5Mc", "영상 보기 ▶")</f>
        <v/>
      </c>
    </row>
    <row r="28" ht="26" customHeight="1">
      <c r="A28" s="2" t="n">
        <v>627</v>
      </c>
      <c r="B28" s="3" t="inlineStr">
        <is>
          <t>협조 감사</t>
        </is>
      </c>
      <c r="C28" s="4" t="inlineStr">
        <is>
          <t>cooperation</t>
        </is>
      </c>
      <c r="D28" s="11" t="inlineStr">
        <is>
          <t>협조, 협력 (Thank you for your cooperation)</t>
        </is>
      </c>
      <c r="E28" s="11" t="inlineStr">
        <is>
          <t>Thank you for your cooperation during the system upgrade.</t>
        </is>
      </c>
      <c r="F28" s="11" t="inlineStr">
        <is>
          <t>시스템 업그레이드 기간 동안 협조해 주셔서 감사드립니다.</t>
        </is>
      </c>
      <c r="G28" s="5">
        <f>HYPERLINK("https://www.youtube.com/watch?v=xJ7n9e3p5Mc", "영상 보기 ▶")</f>
        <v/>
      </c>
    </row>
    <row r="29" ht="26" customHeight="1">
      <c r="A29" s="6" t="n">
        <v>628</v>
      </c>
      <c r="B29" s="7" t="inlineStr">
        <is>
          <t>바람/배려</t>
        </is>
      </c>
      <c r="C29" s="8" t="inlineStr">
        <is>
          <t>I hope you find this helpful</t>
        </is>
      </c>
      <c r="D29" s="12" t="inlineStr">
        <is>
          <t>이 자료/내용이 도움이 되었기를 바랍니다</t>
        </is>
      </c>
      <c r="E29" s="12" t="inlineStr">
        <is>
          <t>Here is the summary report; I hope you find this helpful.</t>
        </is>
      </c>
      <c r="F29" s="12" t="inlineStr">
        <is>
          <t>요약 보고서 첨부합니다. 업무에 도움이 되길 바랍니다.</t>
        </is>
      </c>
      <c r="G29" s="9">
        <f>HYPERLINK("https://www.youtube.com/watch?v=xJ7n9e3p5Mc", "영상 보기 ▶")</f>
        <v/>
      </c>
    </row>
    <row r="30" ht="26" customHeight="1">
      <c r="A30" s="2" t="n">
        <v>629</v>
      </c>
      <c r="B30" s="3" t="inlineStr">
        <is>
          <t>감사 표시</t>
        </is>
      </c>
      <c r="C30" s="4" t="inlineStr">
        <is>
          <t>as a token of my appreciation</t>
        </is>
      </c>
      <c r="D30" s="11" t="inlineStr">
        <is>
          <t>약소하지만 제 감사의 표시로</t>
        </is>
      </c>
      <c r="E30" s="11" t="inlineStr">
        <is>
          <t>Please accept this gift as a token of my appreciation.</t>
        </is>
      </c>
      <c r="F30" s="11" t="inlineStr">
        <is>
          <t>제 감사의 작은 표시이니 부디 받아주세요.</t>
        </is>
      </c>
      <c r="G30" s="5">
        <f>HYPERLINK("https://www.youtube.com/watch?v=xJ7n9e3p5Mc", "영상 보기 ▶")</f>
        <v/>
      </c>
    </row>
    <row r="31" ht="26" customHeight="1">
      <c r="A31" s="6" t="n">
        <v>630</v>
      </c>
      <c r="B31" s="7" t="inlineStr">
        <is>
          <t>솔직한 대화</t>
        </is>
      </c>
      <c r="C31" s="8" t="inlineStr">
        <is>
          <t>level with / shoot straight</t>
        </is>
      </c>
      <c r="D31" s="12" t="inlineStr">
        <is>
          <t>솔직하게 터놓고 사실대로 말하다</t>
        </is>
      </c>
      <c r="E31" s="12" t="inlineStr">
        <is>
          <t>Just level with me: do we have a chance to win the bid?</t>
        </is>
      </c>
      <c r="F31" s="12" t="inlineStr">
        <is>
          <t>솔직히 털어놓고 말해봐: 우리 수주 따낼 승산이 있어?</t>
        </is>
      </c>
      <c r="G31" s="9">
        <f>HYPERLINK("https://www.youtube.com/watch?v=xJ7n9e3p5Mc", "영상 보기 ▶")</f>
        <v/>
      </c>
    </row>
    <row r="32" ht="26" customHeight="1">
      <c r="A32" s="2" t="n">
        <v>631</v>
      </c>
      <c r="B32" s="3" t="inlineStr">
        <is>
          <t>근본 설명</t>
        </is>
      </c>
      <c r="C32" s="4" t="inlineStr">
        <is>
          <t>basically</t>
        </is>
      </c>
      <c r="D32" s="11" t="inlineStr">
        <is>
          <t>기본적으로, 근본적으로</t>
        </is>
      </c>
      <c r="E32" s="11" t="inlineStr">
        <is>
          <t>Basically, we need to reduce overhead costs by 15%.</t>
        </is>
      </c>
      <c r="F32" s="11" t="inlineStr">
        <is>
          <t>기본적으로 우리는 간접비를 15% 감축해야 합니다.</t>
        </is>
      </c>
      <c r="G32" s="5">
        <f>HYPERLINK("https://www.youtube.com/watch?v=xJ7n9e3p5Mc", "영상 보기 ▶")</f>
        <v/>
      </c>
    </row>
    <row r="33" ht="26" customHeight="1">
      <c r="A33" s="6" t="n">
        <v>632</v>
      </c>
      <c r="B33" s="7" t="inlineStr">
        <is>
          <t>본질 요약</t>
        </is>
      </c>
      <c r="C33" s="8" t="inlineStr">
        <is>
          <t>basically (핵심)</t>
        </is>
      </c>
      <c r="D33" s="12" t="inlineStr">
        <is>
          <t>(군더더기 빼고) ~와 다름없는, 결국</t>
        </is>
      </c>
      <c r="E33" s="12" t="inlineStr">
        <is>
          <t>It's basically a free upgrade with no extra charges.</t>
        </is>
      </c>
      <c r="F33" s="12" t="inlineStr">
        <is>
          <t>군더더기 빼고 보면 추가 비용 없는 무료 업그레이드나 다름없어.</t>
        </is>
      </c>
      <c r="G33" s="9">
        <f>HYPERLINK("https://www.youtube.com/watch?v=xJ7n9e3p5Mc", "영상 보기 ▶")</f>
        <v/>
      </c>
    </row>
    <row r="34" ht="26" customHeight="1">
      <c r="A34" s="2" t="n">
        <v>633</v>
      </c>
      <c r="B34" s="3" t="inlineStr">
        <is>
          <t>차이 없음</t>
        </is>
      </c>
      <c r="C34" s="4" t="inlineStr">
        <is>
          <t>tomato, tomahto</t>
        </is>
      </c>
      <c r="D34" s="11" t="inlineStr">
        <is>
          <t>도긴개긴이야, 그게 그거지</t>
        </is>
      </c>
      <c r="E34" s="11" t="inlineStr">
        <is>
          <t>Whether you call it a merger or takeover, tomato, tomahto.</t>
        </is>
      </c>
      <c r="F34" s="11" t="inlineStr">
        <is>
          <t>합병이라 부르든 인수라 부르든 도긴개긴, 그게 그거야.</t>
        </is>
      </c>
      <c r="G34" s="5">
        <f>HYPERLINK("https://www.youtube.com/watch?v=xJ7n9e3p5Mc", "영상 보기 ▶")</f>
        <v/>
      </c>
    </row>
    <row r="35" ht="26" customHeight="1">
      <c r="A35" s="6" t="n">
        <v>634</v>
      </c>
      <c r="B35" s="7" t="inlineStr">
        <is>
          <t>현황 파악</t>
        </is>
      </c>
      <c r="C35" s="8" t="inlineStr">
        <is>
          <t>up to speed</t>
        </is>
      </c>
      <c r="D35" s="12" t="inlineStr">
        <is>
          <t>최신 상황/정보를 잘 파악하고 있는</t>
        </is>
      </c>
      <c r="E35" s="12" t="inlineStr">
        <is>
          <t>I want to make sure everyone is up to speed before we start.</t>
        </is>
      </c>
      <c r="F35" s="12" t="inlineStr">
        <is>
          <t>시작하기 전에 전원이 최신 현황을 완벽히 숙지했는지 확인하고 싶습니다.</t>
        </is>
      </c>
      <c r="G35" s="9">
        <f>HYPERLINK("https://www.youtube.com/watch?v=xJ7n9e3p5Mc", "영상 보기 ▶")</f>
        <v/>
      </c>
    </row>
    <row r="36" ht="26" customHeight="1">
      <c r="A36" s="2" t="n">
        <v>635</v>
      </c>
      <c r="B36" s="3" t="inlineStr">
        <is>
          <t>훑어보기</t>
        </is>
      </c>
      <c r="C36" s="4" t="inlineStr">
        <is>
          <t>skim through</t>
        </is>
      </c>
      <c r="D36" s="11" t="inlineStr">
        <is>
          <t>(요점만 빠르게) 쓱 훑어보다</t>
        </is>
      </c>
      <c r="E36" s="11" t="inlineStr">
        <is>
          <t>I skimmed through the proposal on my commute.</t>
        </is>
      </c>
      <c r="F36" s="11" t="inlineStr">
        <is>
          <t>출근길에 제안서를 대략 쓱 훑어봤어요.</t>
        </is>
      </c>
      <c r="G36" s="5">
        <f>HYPERLINK("https://www.youtube.com/watch?v=xJ7n9e3p5Mc", "영상 보기 ▶")</f>
        <v/>
      </c>
    </row>
    <row r="37" ht="26" customHeight="1">
      <c r="A37" s="6" t="n">
        <v>636</v>
      </c>
      <c r="B37" s="7" t="inlineStr">
        <is>
          <t>상황 파악</t>
        </is>
      </c>
      <c r="C37" s="8" t="inlineStr">
        <is>
          <t>get up to speed</t>
        </is>
      </c>
      <c r="D37" s="12" t="inlineStr">
        <is>
          <t>상황을 파악하다, 진도를 따라잡다</t>
        </is>
      </c>
      <c r="E37" s="12" t="inlineStr">
        <is>
          <t>Give me a day to get up to speed on the project files.</t>
        </is>
      </c>
      <c r="F37" s="12" t="inlineStr">
        <is>
          <t>프로젝트 파일들 파악해서 진도 따라잡을 하루만 시간 주세요.</t>
        </is>
      </c>
      <c r="G37" s="9">
        <f>HYPERLINK("https://www.youtube.com/watch?v=xJ7n9e3p5Mc", "영상 보기 ▶")</f>
        <v/>
      </c>
    </row>
    <row r="38" ht="26" customHeight="1">
      <c r="A38" s="2" t="n">
        <v>637</v>
      </c>
      <c r="B38" s="3" t="inlineStr">
        <is>
          <t>브리핑</t>
        </is>
      </c>
      <c r="C38" s="4" t="inlineStr">
        <is>
          <t>bring (사람) up to speed</t>
        </is>
      </c>
      <c r="D38" s="11" t="inlineStr">
        <is>
          <t>~에게 최신 진행 상황을 설명/이해시켜 주다</t>
        </is>
      </c>
      <c r="E38" s="11" t="inlineStr">
        <is>
          <t>Let me bring you up to speed on what we decided yesterday.</t>
        </is>
      </c>
      <c r="F38" s="11" t="inlineStr">
        <is>
          <t>어제 우리가 무엇을 결정했는지 최신 현황을 브리핑해 드릴게요.</t>
        </is>
      </c>
      <c r="G38" s="5">
        <f>HYPERLINK("https://www.youtube.com/watch?v=xJ7n9e3p5Mc", "영상 보기 ▶")</f>
        <v/>
      </c>
    </row>
    <row r="39" ht="26" customHeight="1">
      <c r="A39" s="6" t="n">
        <v>638</v>
      </c>
      <c r="B39" s="7" t="inlineStr">
        <is>
          <t>유리한 출발</t>
        </is>
      </c>
      <c r="C39" s="8" t="inlineStr">
        <is>
          <t>get a head start</t>
        </is>
      </c>
      <c r="D39" s="12" t="inlineStr">
        <is>
          <t>남보다 일찍 시작하다, 유리한 고지를 선점하다</t>
        </is>
      </c>
      <c r="E39" s="12" t="inlineStr">
        <is>
          <t>I like to arrive early to get a head start on the day.</t>
        </is>
      </c>
      <c r="F39" s="12" t="inlineStr">
        <is>
          <t>나는 하루 업무를 남보다 한발 앞서 유리하게 시작하려 일찍 출근해.</t>
        </is>
      </c>
      <c r="G39" s="9">
        <f>HYPERLINK("https://www.youtube.com/watch?v=xJ7n9e3p5Mc", "영상 보기 ▶")</f>
        <v/>
      </c>
    </row>
    <row r="40" ht="26" customHeight="1">
      <c r="A40" s="2" t="n">
        <v>639</v>
      </c>
      <c r="B40" s="3" t="inlineStr">
        <is>
          <t>시사점</t>
        </is>
      </c>
      <c r="C40" s="4" t="inlineStr">
        <is>
          <t>thought-provoking</t>
        </is>
      </c>
      <c r="D40" s="11" t="inlineStr">
        <is>
          <t>진지하게 생각하게 만드는, 시사하는 바가 큰</t>
        </is>
      </c>
      <c r="E40" s="11" t="inlineStr">
        <is>
          <t>His keynote speech was very thought-provoking.</t>
        </is>
      </c>
      <c r="F40" s="11" t="inlineStr">
        <is>
          <t>그의 기조연설은 많은 생각을 하게 만들 만큼 시사하는 바가 컸어.</t>
        </is>
      </c>
      <c r="G40" s="5">
        <f>HYPERLINK("https://www.youtube.com/watch?v=xJ7n9e3p5Mc", "영상 보기 ▶")</f>
        <v/>
      </c>
    </row>
    <row r="41" ht="26" customHeight="1">
      <c r="A41" s="6" t="n">
        <v>640</v>
      </c>
      <c r="B41" s="7" t="inlineStr">
        <is>
          <t>완전한 집중</t>
        </is>
      </c>
      <c r="C41" s="8" t="inlineStr">
        <is>
          <t>undivided attention</t>
        </is>
      </c>
      <c r="D41" s="12" t="inlineStr">
        <is>
          <t>온전한/완전한 집중</t>
        </is>
      </c>
      <c r="E41" s="12" t="inlineStr">
        <is>
          <t>Put your phones away; this presentation deserves your undivided attention.</t>
        </is>
      </c>
      <c r="F41" s="12" t="inlineStr">
        <is>
          <t>스마트폰 집어넣으세요, 이번 발표는 온전한 집중을 기울일 가치가 있습니다.</t>
        </is>
      </c>
      <c r="G41" s="9">
        <f>HYPERLINK("https://www.youtube.com/watch?v=xJ7n9e3p5Mc", "영상 보기 ▶")</f>
        <v/>
      </c>
    </row>
    <row r="42" ht="26" customHeight="1">
      <c r="A42" s="2" t="n">
        <v>641</v>
      </c>
      <c r="B42" s="3" t="inlineStr">
        <is>
          <t>머리 식히기</t>
        </is>
      </c>
      <c r="C42" s="4" t="inlineStr">
        <is>
          <t>distract / distraction</t>
        </is>
      </c>
      <c r="D42" s="11" t="inlineStr">
        <is>
          <t>주의를 딴 데로 돌려 머리를 식히다/기분 전환하다</t>
        </is>
      </c>
      <c r="E42" s="11" t="inlineStr">
        <is>
          <t>I needed a healthy distraction from all the work stress.</t>
        </is>
      </c>
      <c r="F42" s="11" t="inlineStr">
        <is>
          <t>업무 스트레스에서 벗어나 머리를 식힐 건강한 기분 전환이 필요했어.</t>
        </is>
      </c>
      <c r="G42" s="5">
        <f>HYPERLINK("https://www.youtube.com/watch?v=xJ7n9e3p5Mc", "영상 보기 ▶")</f>
        <v/>
      </c>
    </row>
    <row r="43" ht="26" customHeight="1">
      <c r="A43" s="6" t="n">
        <v>642</v>
      </c>
      <c r="B43" s="7" t="inlineStr">
        <is>
          <t>의연함</t>
        </is>
      </c>
      <c r="C43" s="8" t="inlineStr">
        <is>
          <t>Don't let it get in your head</t>
        </is>
      </c>
      <c r="D43" s="12" t="inlineStr">
        <is>
          <t>그 말에 너무 휘둘리지 마, 마음에 담아두지 마</t>
        </is>
      </c>
      <c r="E43" s="12" t="inlineStr">
        <is>
          <t>Ignore his negative criticism; don't let it get in your head.</t>
        </is>
      </c>
      <c r="F43" s="12" t="inlineStr">
        <is>
          <t>그 사람의 비판 무시해, 너무 마음에 담아두고 휘둘리지 마.</t>
        </is>
      </c>
      <c r="G43" s="9">
        <f>HYPERLINK("https://www.youtube.com/watch?v=xJ7n9e3p5Mc", "영상 보기 ▶")</f>
        <v/>
      </c>
    </row>
    <row r="44" ht="26" customHeight="1">
      <c r="A44" s="2" t="n">
        <v>643</v>
      </c>
      <c r="B44" s="3" t="inlineStr">
        <is>
          <t>퇴근 후</t>
        </is>
      </c>
      <c r="C44" s="4" t="inlineStr">
        <is>
          <t>off the clock</t>
        </is>
      </c>
      <c r="D44" s="11" t="inlineStr">
        <is>
          <t>근무 시간 외에, 일과 끝나고</t>
        </is>
      </c>
      <c r="E44" s="11" t="inlineStr">
        <is>
          <t>We are officially off the clock, so no more talking about work.</t>
        </is>
      </c>
      <c r="F44" s="11" t="inlineStr">
        <is>
          <t>우리 공식적으로 근무 시간 끝났으니까 이제 회사 일 얘기 금지야.</t>
        </is>
      </c>
      <c r="G44" s="5">
        <f>HYPERLINK("https://www.youtube.com/watch?v=xJ7n9e3p5Mc", "영상 보기 ▶")</f>
        <v/>
      </c>
    </row>
    <row r="45" ht="26" customHeight="1">
      <c r="A45" s="6" t="n">
        <v>644</v>
      </c>
      <c r="B45" s="7" t="inlineStr">
        <is>
          <t>퇴근</t>
        </is>
      </c>
      <c r="C45" s="8" t="inlineStr">
        <is>
          <t>clock out / knock off</t>
        </is>
      </c>
      <c r="D45" s="12" t="inlineStr">
        <is>
          <t>퇴근하다, 일과를 마치다</t>
        </is>
      </c>
      <c r="E45" s="12" t="inlineStr">
        <is>
          <t>I usually clock out at 6 PM sharp.</t>
        </is>
      </c>
      <c r="F45" s="12" t="inlineStr">
        <is>
          <t>저는 보통 정확히 오후 6시에 칼퇴근합니다.</t>
        </is>
      </c>
      <c r="G45" s="9">
        <f>HYPERLINK("https://www.youtube.com/watch?v=xJ7n9e3p5Mc", "영상 보기 ▶")</f>
        <v/>
      </c>
    </row>
    <row r="46" ht="26" customHeight="1">
      <c r="A46" s="2" t="n">
        <v>645</v>
      </c>
      <c r="B46" s="3" t="inlineStr">
        <is>
          <t>초조/예민</t>
        </is>
      </c>
      <c r="C46" s="4" t="inlineStr">
        <is>
          <t>on edge</t>
        </is>
      </c>
      <c r="D46" s="11" t="inlineStr">
        <is>
          <t>(신경이 날카롭게) 곤두서 있는, 초조한</t>
        </is>
      </c>
      <c r="E46" s="11" t="inlineStr">
        <is>
          <t>Everyone is on edge because of the upcoming audit.</t>
        </is>
      </c>
      <c r="F46" s="11" t="inlineStr">
        <is>
          <t>곧 있을 감사 때문에 다들 신경이 날카롭게 곤두서 있어.</t>
        </is>
      </c>
      <c r="G46" s="5">
        <f>HYPERLINK("https://www.youtube.com/watch?v=xJ7n9e3p5Mc", "영상 보기 ▶")</f>
        <v/>
      </c>
    </row>
    <row r="47" ht="26" customHeight="1">
      <c r="A47" s="6" t="n">
        <v>646</v>
      </c>
      <c r="B47" s="7" t="inlineStr">
        <is>
          <t>성공/만점</t>
        </is>
      </c>
      <c r="C47" s="8" t="inlineStr">
        <is>
          <t>ace</t>
        </is>
      </c>
      <c r="D47" s="12" t="inlineStr">
        <is>
          <t>(시험/면접 등을) 완벽하게 잘 해내다</t>
        </is>
      </c>
      <c r="E47" s="12" t="inlineStr">
        <is>
          <t>You prepared thoroughly; you're going to ace that interview!</t>
        </is>
      </c>
      <c r="F47" s="12" t="inlineStr">
        <is>
          <t>너 준비 철저히 했잖아, 그 면접 무조건 찢고 완벽히 잘 볼 거야!</t>
        </is>
      </c>
      <c r="G47" s="9">
        <f>HYPERLINK("https://www.youtube.com/watch?v=xJ7n9e3p5Mc", "영상 보기 ▶")</f>
        <v/>
      </c>
    </row>
    <row r="48" ht="26" customHeight="1">
      <c r="A48" s="2" t="n">
        <v>647</v>
      </c>
      <c r="B48" s="3" t="inlineStr">
        <is>
          <t>안도</t>
        </is>
      </c>
      <c r="C48" s="4" t="inlineStr">
        <is>
          <t>It's not as bad as it sounds</t>
        </is>
      </c>
      <c r="D48" s="11" t="inlineStr">
        <is>
          <t>듣는 것만큼 그렇게까지 나쁘거나 심각하진 않아</t>
        </is>
      </c>
      <c r="E48" s="11" t="inlineStr">
        <is>
          <t>Don't panic; the budget cut is not as bad as it sounds.</t>
        </is>
      </c>
      <c r="F48" s="11" t="inlineStr">
        <is>
          <t>당황하지 마, 예산 삭감이 들리는 것만큼 그렇게 심각한 수준은 아니야.</t>
        </is>
      </c>
      <c r="G48" s="5">
        <f>HYPERLINK("https://www.youtube.com/watch?v=xJ7n9e3p5Mc", "영상 보기 ▶")</f>
        <v/>
      </c>
    </row>
    <row r="49" ht="26" customHeight="1">
      <c r="A49" s="6" t="n">
        <v>648</v>
      </c>
      <c r="B49" s="7" t="inlineStr">
        <is>
          <t>낙관</t>
        </is>
      </c>
      <c r="C49" s="8" t="inlineStr">
        <is>
          <t>It will all work itself out</t>
        </is>
      </c>
      <c r="D49" s="12" t="inlineStr">
        <is>
          <t>다 알아서 잘 풀리고 해결될 거야</t>
        </is>
      </c>
      <c r="E49" s="12" t="inlineStr">
        <is>
          <t>Take a deep breath; it will all work itself out in the end.</t>
        </is>
      </c>
      <c r="F49" s="12" t="inlineStr">
        <is>
          <t>심호흡 한번 해봐, 결국엔 다 알아서 순조롭게 잘 풀릴 테니까.</t>
        </is>
      </c>
      <c r="G49" s="9">
        <f>HYPERLINK("https://www.youtube.com/watch?v=xJ7n9e3p5Mc", "영상 보기 ▶")</f>
        <v/>
      </c>
    </row>
    <row r="50" ht="26" customHeight="1">
      <c r="A50" s="2" t="n">
        <v>649</v>
      </c>
      <c r="B50" s="3" t="inlineStr">
        <is>
          <t>정석대로</t>
        </is>
      </c>
      <c r="C50" s="4" t="inlineStr">
        <is>
          <t>by the book</t>
        </is>
      </c>
      <c r="D50" s="11" t="inlineStr">
        <is>
          <t>원칙대로, 정석대로, 엄격히 규정대로</t>
        </is>
      </c>
      <c r="E50" s="11" t="inlineStr">
        <is>
          <t>Don't cut corners; make sure everything is done by the book.</t>
        </is>
      </c>
      <c r="F50" s="11" t="inlineStr">
        <is>
          <t>편법 쓰지 말고 모든 과정을 철저히 규정 정석대로 처리하도록 해.</t>
        </is>
      </c>
      <c r="G50" s="5">
        <f>HYPERLINK("https://www.youtube.com/watch?v=xJ7n9e3p5Mc", "영상 보기 ▶")</f>
        <v/>
      </c>
    </row>
    <row r="51" ht="26" customHeight="1">
      <c r="A51" s="6" t="n">
        <v>650</v>
      </c>
      <c r="B51" s="7" t="inlineStr">
        <is>
          <t>수용</t>
        </is>
      </c>
      <c r="C51" s="8" t="inlineStr">
        <is>
          <t>It is what it is</t>
        </is>
      </c>
      <c r="D51" s="12" t="inlineStr">
        <is>
          <t>어쩔 수 없는 일이지, 이게 현실인걸 뭐</t>
        </is>
      </c>
      <c r="E51" s="12" t="inlineStr">
        <is>
          <t>We missed the deadline, but it is what it is; let's move forward.</t>
        </is>
      </c>
      <c r="F51" s="12" t="inlineStr">
        <is>
          <t>마감은 놓쳤지만 이미 엎질러진 물인걸, 훌훌 털고 앞으로 나아갑시다.</t>
        </is>
      </c>
      <c r="G51" s="9">
        <f>HYPERLINK("https://www.youtube.com/watch?v=xJ7n9e3p5Mc", "영상 보기 ▶")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8" customWidth="1" min="3" max="3"/>
    <col width="48" customWidth="1" min="4" max="4"/>
    <col width="75" customWidth="1" min="5" max="5"/>
    <col width="67.7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651</v>
      </c>
      <c r="B2" s="3" t="inlineStr">
        <is>
          <t>한계/제한</t>
        </is>
      </c>
      <c r="C2" s="4" t="inlineStr">
        <is>
          <t>only so many / much</t>
        </is>
      </c>
      <c r="D2" s="11" t="inlineStr">
        <is>
          <t>한계가 있는, 한정되어 있는 (시간/인력 등)</t>
        </is>
      </c>
      <c r="E2" s="11" t="inlineStr">
        <is>
          <t>There are only so many hours in a day, so prioritize wisely.</t>
        </is>
      </c>
      <c r="F2" s="11" t="inlineStr">
        <is>
          <t>하루 시간은 한정되어 있으니 우선순위를 현명하게 정하세요.</t>
        </is>
      </c>
      <c r="G2" s="5">
        <f>HYPERLINK("https://www.youtube.com/watch?v=hHZ1m3e0hdo", "영상 보기 ▶")</f>
        <v/>
      </c>
    </row>
    <row r="3" ht="26" customHeight="1">
      <c r="A3" s="6" t="n">
        <v>652</v>
      </c>
      <c r="B3" s="7" t="inlineStr">
        <is>
          <t>조력 타진</t>
        </is>
      </c>
      <c r="C3" s="8" t="inlineStr">
        <is>
          <t>I'll see what I can do</t>
        </is>
      </c>
      <c r="D3" s="12" t="inlineStr">
        <is>
          <t>제가 힘닿는 데까지 한번 알아볼게요/해볼게요</t>
        </is>
      </c>
      <c r="E3" s="12" t="inlineStr">
        <is>
          <t>I can't guarantee anything, but I'll see what I can do.</t>
        </is>
      </c>
      <c r="F3" s="12" t="inlineStr">
        <is>
          <t>장담은 못 드리지만, 제가 도울 수 있는 방법이 있는지 알아볼게요.</t>
        </is>
      </c>
      <c r="G3" s="9">
        <f>HYPERLINK("https://www.youtube.com/watch?v=hHZ1m3e0hdo", "영상 보기 ▶")</f>
        <v/>
      </c>
    </row>
    <row r="4" ht="26" customHeight="1">
      <c r="A4" s="2" t="n">
        <v>653</v>
      </c>
      <c r="B4" s="3" t="inlineStr">
        <is>
          <t>이해/납득</t>
        </is>
      </c>
      <c r="C4" s="4" t="inlineStr">
        <is>
          <t>wrap one's head around</t>
        </is>
      </c>
      <c r="D4" s="11" t="inlineStr">
        <is>
          <t>(복잡하거나 충격적인 사실을) 이해하다, 납득하다</t>
        </is>
      </c>
      <c r="E4" s="11" t="inlineStr">
        <is>
          <t>I'm still trying to wrap my head around these new tax rules.</t>
        </is>
      </c>
      <c r="F4" s="11" t="inlineStr">
        <is>
          <t>이 새로운 세금 규정을 이해하려고 아직 머리를 싸매고 있어요.</t>
        </is>
      </c>
      <c r="G4" s="5">
        <f>HYPERLINK("https://www.youtube.com/watch?v=hHZ1m3e0hdo", "영상 보기 ▶")</f>
        <v/>
      </c>
    </row>
    <row r="5" ht="26" customHeight="1">
      <c r="A5" s="6" t="n">
        <v>654</v>
      </c>
      <c r="B5" s="7" t="inlineStr">
        <is>
          <t>마무리</t>
        </is>
      </c>
      <c r="C5" s="8" t="inlineStr">
        <is>
          <t>wrap up</t>
        </is>
      </c>
      <c r="D5" s="12" t="inlineStr">
        <is>
          <t>(일/회의/작업을) 매듭짓다, 마무리하다</t>
        </is>
      </c>
      <c r="E5" s="12" t="inlineStr">
        <is>
          <t>Let's wrap up this meeting so everyone can go home.</t>
        </is>
      </c>
      <c r="F5" s="12" t="inlineStr">
        <is>
          <t>다들 귀가할 수 있게 이번 회의는 여기서 마무리합시다.</t>
        </is>
      </c>
      <c r="G5" s="9">
        <f>HYPERLINK("https://www.youtube.com/watch?v=hHZ1m3e0hdo", "영상 보기 ▶")</f>
        <v/>
      </c>
    </row>
    <row r="6" ht="26" customHeight="1">
      <c r="A6" s="2" t="n">
        <v>655</v>
      </c>
      <c r="B6" s="3" t="inlineStr">
        <is>
          <t>쉬움 강조</t>
        </is>
      </c>
      <c r="C6" s="4" t="inlineStr">
        <is>
          <t>It's not rocket science</t>
        </is>
      </c>
      <c r="D6" s="11" t="inlineStr">
        <is>
          <t>전혀 어렵지 않아, 누구나 할 수 있는 간단한 일이야</t>
        </is>
      </c>
      <c r="E6" s="11" t="inlineStr">
        <is>
          <t>Setting up this printer is easy; it's not rocket science.</t>
        </is>
      </c>
      <c r="F6" s="11" t="inlineStr">
        <is>
          <t>이 프린터 설정하는 건 간단해, 전혀 대단한 과학 기술이 아니야.</t>
        </is>
      </c>
      <c r="G6" s="5">
        <f>HYPERLINK("https://www.youtube.com/watch?v=hHZ1m3e0hdo", "영상 보기 ▶")</f>
        <v/>
      </c>
    </row>
    <row r="7" ht="26" customHeight="1">
      <c r="A7" s="6" t="n">
        <v>656</v>
      </c>
      <c r="B7" s="7" t="inlineStr">
        <is>
          <t>해결/파악</t>
        </is>
      </c>
      <c r="C7" s="8" t="inlineStr">
        <is>
          <t>figure out</t>
        </is>
      </c>
      <c r="D7" s="12" t="inlineStr">
        <is>
          <t>(곰곰이 생각해) 알아내다, 해결책을 찾다</t>
        </is>
      </c>
      <c r="E7" s="12" t="inlineStr">
        <is>
          <t>Don't worry; we'll figure out a way forward.</t>
        </is>
      </c>
      <c r="F7" s="12" t="inlineStr">
        <is>
          <t>걱정 마세요, 우리가 앞으로 나아갈 길을 어떻게든 찾아낼 겁니다.</t>
        </is>
      </c>
      <c r="G7" s="9">
        <f>HYPERLINK("https://www.youtube.com/watch?v=hHZ1m3e0hdo", "영상 보기 ▶")</f>
        <v/>
      </c>
    </row>
    <row r="8" ht="26" customHeight="1">
      <c r="A8" s="2" t="n">
        <v>657</v>
      </c>
      <c r="B8" s="3" t="inlineStr">
        <is>
          <t>심사숙고</t>
        </is>
      </c>
      <c r="C8" s="4" t="inlineStr">
        <is>
          <t>think through</t>
        </is>
      </c>
      <c r="D8" s="11" t="inlineStr">
        <is>
          <t>(결과나 여파를) 처음부터 끝까지 깊이 생각하다</t>
        </is>
      </c>
      <c r="E8" s="11" t="inlineStr">
        <is>
          <t>Take your time and think through all the implications.</t>
        </is>
      </c>
      <c r="F8" s="11" t="inlineStr">
        <is>
          <t>서두르지 말고 모든 파급 효과를 처음부터 끝까지 깊이 고민해 보세요.</t>
        </is>
      </c>
      <c r="G8" s="5">
        <f>HYPERLINK("https://www.youtube.com/watch?v=hHZ1m3e0hdo", "영상 보기 ▶")</f>
        <v/>
      </c>
    </row>
    <row r="9" ht="26" customHeight="1">
      <c r="A9" s="6" t="n">
        <v>658</v>
      </c>
      <c r="B9" s="7" t="inlineStr">
        <is>
          <t>파급 효과</t>
        </is>
      </c>
      <c r="C9" s="8" t="inlineStr">
        <is>
          <t>ramification</t>
        </is>
      </c>
      <c r="D9" s="12" t="inlineStr">
        <is>
          <t>(어떤 결정에 따른 복잡한) 파급 영향, 여파</t>
        </is>
      </c>
      <c r="E9" s="12" t="inlineStr">
        <is>
          <t>We must consider the financial ramifications of this move.</t>
        </is>
      </c>
      <c r="F9" s="12" t="inlineStr">
        <is>
          <t>우리는 이 결정이 가져올 재정적 파급 효과를 반드시 고려해야 합니다.</t>
        </is>
      </c>
      <c r="G9" s="9">
        <f>HYPERLINK("https://www.youtube.com/watch?v=hHZ1m3e0hdo", "영상 보기 ▶")</f>
        <v/>
      </c>
    </row>
    <row r="10" ht="26" customHeight="1">
      <c r="A10" s="2" t="n">
        <v>659</v>
      </c>
      <c r="B10" s="3" t="inlineStr">
        <is>
          <t>신중한 결정</t>
        </is>
      </c>
      <c r="C10" s="4" t="inlineStr">
        <is>
          <t>Let's sleep on it</t>
        </is>
      </c>
      <c r="D10" s="11" t="inlineStr">
        <is>
          <t>하룻밤 자면서 곰곰이 더 생각해 봅시다</t>
        </is>
      </c>
      <c r="E10" s="11" t="inlineStr">
        <is>
          <t>Don't sign today; let's sleep on it and talk tomorrow.</t>
        </is>
      </c>
      <c r="F10" s="11" t="inlineStr">
        <is>
          <t>오늘 당장 서명하지 말고, 하룻밤 곰곰이 생각한 뒤 내일 이야기해요.</t>
        </is>
      </c>
      <c r="G10" s="5">
        <f>HYPERLINK("https://www.youtube.com/watch?v=hHZ1m3e0hdo", "영상 보기 ▶")</f>
        <v/>
      </c>
    </row>
    <row r="11" ht="26" customHeight="1">
      <c r="A11" s="6" t="n">
        <v>660</v>
      </c>
      <c r="B11" s="7" t="inlineStr">
        <is>
          <t>퇴근 안내</t>
        </is>
      </c>
      <c r="C11" s="8" t="inlineStr">
        <is>
          <t>He's gone for the day</t>
        </is>
      </c>
      <c r="D11" s="12" t="inlineStr">
        <is>
          <t>그분 오늘 일과를 마치고 이미 퇴근하셨습니다</t>
        </is>
      </c>
      <c r="E11" s="12" t="inlineStr">
        <is>
          <t>Mr. Kim has already gone for the day, but you can leave a note.</t>
        </is>
      </c>
      <c r="F11" s="12" t="inlineStr">
        <is>
          <t>김 부장님은 오늘 이미 퇴근하셨지만, 메모를 남겨주시면 전달할게요.</t>
        </is>
      </c>
      <c r="G11" s="9">
        <f>HYPERLINK("https://www.youtube.com/watch?v=hHZ1m3e0hdo", "영상 보기 ▶")</f>
        <v/>
      </c>
    </row>
    <row r="12" ht="26" customHeight="1">
      <c r="A12" s="2" t="n">
        <v>661</v>
      </c>
      <c r="B12" s="3" t="inlineStr">
        <is>
          <t>위로/지지</t>
        </is>
      </c>
      <c r="C12" s="4" t="inlineStr">
        <is>
          <t>I'm here for you</t>
        </is>
      </c>
      <c r="D12" s="11" t="inlineStr">
        <is>
          <t>내가 곁에서 든든하게 힘이 되어 줄게</t>
        </is>
      </c>
      <c r="E12" s="11" t="inlineStr">
        <is>
          <t>If you ever need to talk, remember I'm always here for you.</t>
        </is>
      </c>
      <c r="F12" s="11" t="inlineStr">
        <is>
          <t>이야기 나눌 상대가 필요하면 내가 늘 곁에 있다는 걸 기억해.</t>
        </is>
      </c>
      <c r="G12" s="5">
        <f>HYPERLINK("https://www.youtube.com/watch?v=hHZ1m3e0hdo", "영상 보기 ▶")</f>
        <v/>
      </c>
    </row>
    <row r="13" ht="26" customHeight="1">
      <c r="A13" s="6" t="n">
        <v>662</v>
      </c>
      <c r="B13" s="7" t="inlineStr">
        <is>
          <t>기대 이상</t>
        </is>
      </c>
      <c r="C13" s="8" t="inlineStr">
        <is>
          <t>go above and beyond</t>
        </is>
      </c>
      <c r="D13" s="12" t="inlineStr">
        <is>
          <t>(주어진 의무를 넘어) 기대 이상으로 온 정성을 쏟다</t>
        </is>
      </c>
      <c r="E13" s="12" t="inlineStr">
        <is>
          <t>Our customer service team went above and beyond to help.</t>
        </is>
      </c>
      <c r="F13" s="12" t="inlineStr">
        <is>
          <t>저희 고객 서비스 팀은 고객을 돕기 위해 기대 이상으로 온 정성을 쏟았습니다.</t>
        </is>
      </c>
      <c r="G13" s="9">
        <f>HYPERLINK("https://www.youtube.com/watch?v=hHZ1m3e0hdo", "영상 보기 ▶")</f>
        <v/>
      </c>
    </row>
    <row r="14" ht="26" customHeight="1">
      <c r="A14" s="2" t="n">
        <v>663</v>
      </c>
      <c r="B14" s="3" t="inlineStr">
        <is>
          <t>전담/단골</t>
        </is>
      </c>
      <c r="C14" s="4" t="inlineStr">
        <is>
          <t>go-to</t>
        </is>
      </c>
      <c r="D14" s="11" t="inlineStr">
        <is>
          <t>(믿고 찾는) 전담의, 가장 애용하는</t>
        </is>
      </c>
      <c r="E14" s="11" t="inlineStr">
        <is>
          <t>She is our go-to expert for intellectual property matters.</t>
        </is>
      </c>
      <c r="F14" s="11" t="inlineStr">
        <is>
          <t>그녀는 지식재산권 문제에 있어 우리가 항상 믿고 찾는 최고 전문가예요.</t>
        </is>
      </c>
      <c r="G14" s="5">
        <f>HYPERLINK("https://www.youtube.com/watch?v=hHZ1m3e0hdo", "영상 보기 ▶")</f>
        <v/>
      </c>
    </row>
    <row r="15" ht="26" customHeight="1">
      <c r="A15" s="6" t="n">
        <v>664</v>
      </c>
      <c r="B15" s="7" t="inlineStr">
        <is>
          <t>통념/인용</t>
        </is>
      </c>
      <c r="C15" s="8" t="inlineStr">
        <is>
          <t>They say ~</t>
        </is>
      </c>
      <c r="D15" s="12" t="inlineStr">
        <is>
          <t>사람들이 말하길 ~, 흔히들 ~라고 하잖아</t>
        </is>
      </c>
      <c r="E15" s="12" t="inlineStr">
        <is>
          <t>They say practice makes perfect, and it's so true.</t>
        </is>
      </c>
      <c r="F15" s="12" t="inlineStr">
        <is>
          <t>연습이 완벽을 만든다는 말이 있잖아, 그건 정말 맞는 말이야.</t>
        </is>
      </c>
      <c r="G15" s="9">
        <f>HYPERLINK("https://www.youtube.com/watch?v=hHZ1m3e0hdo", "영상 보기 ▶")</f>
        <v/>
      </c>
    </row>
    <row r="16" ht="26" customHeight="1">
      <c r="A16" s="2" t="n">
        <v>665</v>
      </c>
      <c r="B16" s="3" t="inlineStr">
        <is>
          <t>사과/자책</t>
        </is>
      </c>
      <c r="C16" s="4" t="inlineStr">
        <is>
          <t>I'm sorry. I went too far</t>
        </is>
      </c>
      <c r="D16" s="11" t="inlineStr">
        <is>
          <t>미안해, 내가 말이 너무 심했어 / 선을 넘었어</t>
        </is>
      </c>
      <c r="E16" s="11" t="inlineStr">
        <is>
          <t>I apologize for that harsh comment; I went too far.</t>
        </is>
      </c>
      <c r="F16" s="11" t="inlineStr">
        <is>
          <t>그 심한 말에 대해 사과할게, 내가 너무 선을 넘었어.</t>
        </is>
      </c>
      <c r="G16" s="5">
        <f>HYPERLINK("https://www.youtube.com/watch?v=hHZ1m3e0hdo", "영상 보기 ▶")</f>
        <v/>
      </c>
    </row>
    <row r="17" ht="26" customHeight="1">
      <c r="A17" s="6" t="n">
        <v>666</v>
      </c>
      <c r="B17" s="7" t="inlineStr">
        <is>
          <t>발전 필요</t>
        </is>
      </c>
      <c r="C17" s="8" t="inlineStr">
        <is>
          <t>I still have a long way to go</t>
        </is>
      </c>
      <c r="D17" s="12" t="inlineStr">
        <is>
          <t>아직 갈 길이 멀었어요 (더 노력해야 해요)</t>
        </is>
      </c>
      <c r="E17" s="12" t="inlineStr">
        <is>
          <t>I'm improving, but I still have a long way to go in French.</t>
        </is>
      </c>
      <c r="F17" s="12" t="inlineStr">
        <is>
          <t>실력이 늘고는 있지만 프랑스어는 아직 가야 할 길이 멀어요.</t>
        </is>
      </c>
      <c r="G17" s="9">
        <f>HYPERLINK("https://www.youtube.com/watch?v=hHZ1m3e0hdo", "영상 보기 ▶")</f>
        <v/>
      </c>
    </row>
    <row r="18" ht="26" customHeight="1">
      <c r="A18" s="2" t="n">
        <v>667</v>
      </c>
      <c r="B18" s="3" t="inlineStr">
        <is>
          <t>행동 촉구</t>
        </is>
      </c>
      <c r="C18" s="4" t="inlineStr">
        <is>
          <t>go + 동사원형</t>
        </is>
      </c>
      <c r="D18" s="11" t="inlineStr">
        <is>
          <t>가서 ~하다 (and 생략 구어체)</t>
        </is>
      </c>
      <c r="E18" s="11" t="inlineStr">
        <is>
          <t>Go wash your hands before dinner.</t>
        </is>
      </c>
      <c r="F18" s="11" t="inlineStr">
        <is>
          <t>저녁 먹기 전에 가서 손 씻어.</t>
        </is>
      </c>
      <c r="G18" s="5">
        <f>HYPERLINK("https://www.youtube.com/watch?v=hHZ1m3e0hdo", "영상 보기 ▶")</f>
        <v/>
      </c>
    </row>
    <row r="19" ht="26" customHeight="1">
      <c r="A19" s="6" t="n">
        <v>668</v>
      </c>
      <c r="B19" s="7" t="inlineStr">
        <is>
          <t>상황 진행</t>
        </is>
      </c>
      <c r="C19" s="8" t="inlineStr">
        <is>
          <t>go (진행되다)</t>
        </is>
      </c>
      <c r="D19" s="12" t="inlineStr">
        <is>
          <t>(일/행사가) 풀리다, 진행되다</t>
        </is>
      </c>
      <c r="E19" s="12" t="inlineStr">
        <is>
          <t>How did your presentation go this morning?</t>
        </is>
      </c>
      <c r="F19" s="12" t="inlineStr">
        <is>
          <t>오늘 아침 발표 어떻게 잘 진행됐어?</t>
        </is>
      </c>
      <c r="G19" s="9">
        <f>HYPERLINK("https://www.youtube.com/watch?v=hHZ1m3e0hdo", "영상 보기 ▶")</f>
        <v/>
      </c>
    </row>
    <row r="20" ht="26" customHeight="1">
      <c r="A20" s="2" t="n">
        <v>669</v>
      </c>
      <c r="B20" s="3" t="inlineStr">
        <is>
          <t>꼼꼼한 검토</t>
        </is>
      </c>
      <c r="C20" s="4" t="inlineStr">
        <is>
          <t>go over</t>
        </is>
      </c>
      <c r="D20" s="11" t="inlineStr">
        <is>
          <t>(자료/내용을) 꼼꼼하게 검토하다, 짚어보다</t>
        </is>
      </c>
      <c r="E20" s="11" t="inlineStr">
        <is>
          <t>Let's go over the contract details one more time.</t>
        </is>
      </c>
      <c r="F20" s="11" t="inlineStr">
        <is>
          <t>계약서 세부 조항들을 한 번 더 꼼꼼히 짚어봅시다.</t>
        </is>
      </c>
      <c r="G20" s="5">
        <f>HYPERLINK("https://www.youtube.com/watch?v=hHZ1m3e0hdo", "영상 보기 ▶")</f>
        <v/>
      </c>
    </row>
    <row r="21" ht="26" customHeight="1">
      <c r="A21" s="6" t="n">
        <v>670</v>
      </c>
      <c r="B21" s="7" t="inlineStr">
        <is>
          <t>방문 이동</t>
        </is>
      </c>
      <c r="C21" s="8" t="inlineStr">
        <is>
          <t>go over (방문)</t>
        </is>
      </c>
      <c r="D21" s="12" t="inlineStr">
        <is>
          <t>(근처 장소나 건너편으로) 건너가다</t>
        </is>
      </c>
      <c r="E21" s="12" t="inlineStr">
        <is>
          <t>I'll go over to their department and ask in person.</t>
        </is>
      </c>
      <c r="F21" s="12" t="inlineStr">
        <is>
          <t>제가 그쪽 부서로 직접 건너가서 물어보고 올게요.</t>
        </is>
      </c>
      <c r="G21" s="9">
        <f>HYPERLINK("https://www.youtube.com/watch?v=hHZ1m3e0hdo", "영상 보기 ▶")</f>
        <v/>
      </c>
    </row>
    <row r="22" ht="26" customHeight="1">
      <c r="A22" s="2" t="n">
        <v>671</v>
      </c>
      <c r="B22" s="3" t="inlineStr">
        <is>
          <t>밀린 일 보충</t>
        </is>
      </c>
      <c r="C22" s="4" t="inlineStr">
        <is>
          <t>catch up on</t>
        </is>
      </c>
      <c r="D22" s="11" t="inlineStr">
        <is>
          <t>(밀린 잠/업무/공부를) 만회하다, 따라잡다</t>
        </is>
      </c>
      <c r="E22" s="11" t="inlineStr">
        <is>
          <t>This weekend, I really need to catch up on my sleep.</t>
        </is>
      </c>
      <c r="F22" s="11" t="inlineStr">
        <is>
          <t>이번 주말에는 밀린 잠을 꼭 푹 자둬야 해.</t>
        </is>
      </c>
      <c r="G22" s="5">
        <f>HYPERLINK("https://www.youtube.com/watch?v=hHZ1m3e0hdo", "영상 보기 ▶")</f>
        <v/>
      </c>
    </row>
    <row r="23" ht="26" customHeight="1">
      <c r="A23" s="6" t="n">
        <v>672</v>
      </c>
      <c r="B23" s="7" t="inlineStr">
        <is>
          <t>반응 성공</t>
        </is>
      </c>
      <c r="C23" s="8" t="inlineStr">
        <is>
          <t>go over well</t>
        </is>
      </c>
      <c r="D23" s="12" t="inlineStr">
        <is>
          <t>(사람들에게) 반응이 좋다, 호평을 받다</t>
        </is>
      </c>
      <c r="E23" s="12" t="inlineStr">
        <is>
          <t>The new hybrid work policy went over very well.</t>
        </is>
      </c>
      <c r="F23" s="12" t="inlineStr">
        <is>
          <t>새로운 하이브리드 근무 정책은 직원들에게 아주 큰 호응을 얻었습니다.</t>
        </is>
      </c>
      <c r="G23" s="9">
        <f>HYPERLINK("https://www.youtube.com/watch?v=hHZ1m3e0hdo", "영상 보기 ▶")</f>
        <v/>
      </c>
    </row>
    <row r="24" ht="26" customHeight="1">
      <c r="A24" s="2" t="n">
        <v>673</v>
      </c>
      <c r="B24" s="3" t="inlineStr">
        <is>
          <t>너그러운 양해</t>
        </is>
      </c>
      <c r="C24" s="4" t="inlineStr">
        <is>
          <t>cut (사람) some slack</t>
        </is>
      </c>
      <c r="D24" s="11" t="inlineStr">
        <is>
          <t>~를 너무 몰아세우지 않고 좀 봐주다/이해해 주다</t>
        </is>
      </c>
      <c r="E24" s="11" t="inlineStr">
        <is>
          <t>Cut him some slack; it's only his first week on the job.</t>
        </is>
      </c>
      <c r="F24" s="11" t="inlineStr">
        <is>
          <t>그 사람 좀 봐줘, 입사해서 이제 겨우 첫 주잖아.</t>
        </is>
      </c>
      <c r="G24" s="5">
        <f>HYPERLINK("https://www.youtube.com/watch?v=hHZ1m3e0hdo", "영상 보기 ▶")</f>
        <v/>
      </c>
    </row>
    <row r="25" ht="26" customHeight="1">
      <c r="A25" s="6" t="n">
        <v>674</v>
      </c>
      <c r="B25" s="7" t="inlineStr">
        <is>
          <t>참기 힘듦</t>
        </is>
      </c>
      <c r="C25" s="8" t="inlineStr">
        <is>
          <t>I can't stand ~</t>
        </is>
      </c>
      <c r="D25" s="12" t="inlineStr">
        <is>
          <t>~를 도저히 견딜/참을 수가 없어</t>
        </is>
      </c>
      <c r="E25" s="12" t="inlineStr">
        <is>
          <t>I can't stand people who talk loudly in movie theaters.</t>
        </is>
      </c>
      <c r="F25" s="12" t="inlineStr">
        <is>
          <t>영화관에서 시끄럽게 떠드는 사람들은 정말 질색이야.</t>
        </is>
      </c>
      <c r="G25" s="9">
        <f>HYPERLINK("https://www.youtube.com/watch?v=hHZ1m3e0hdo", "영상 보기 ▶")</f>
        <v/>
      </c>
    </row>
    <row r="26" ht="26" customHeight="1">
      <c r="A26" s="2" t="n">
        <v>675</v>
      </c>
      <c r="B26" s="3" t="inlineStr">
        <is>
          <t>어려운 시기</t>
        </is>
      </c>
      <c r="C26" s="4" t="inlineStr">
        <is>
          <t>rough patch</t>
        </is>
      </c>
      <c r="D26" s="11" t="inlineStr">
        <is>
          <t>(인생/사업/관계의) 힘든 고비, 슬럼프</t>
        </is>
      </c>
      <c r="E26" s="11" t="inlineStr">
        <is>
          <t>Every marriage goes through a rough patch occasionally.</t>
        </is>
      </c>
      <c r="F26" s="11" t="inlineStr">
        <is>
          <t>어떤 부부라도 살다 보면 가끔은 힘든 고비를 겪기 마련이야.</t>
        </is>
      </c>
      <c r="G26" s="5">
        <f>HYPERLINK("https://www.youtube.com/watch?v=hHZ1m3e0hdo", "영상 보기 ▶")</f>
        <v/>
      </c>
    </row>
    <row r="27" ht="26" customHeight="1">
      <c r="A27" s="6" t="n">
        <v>676</v>
      </c>
      <c r="B27" s="7" t="inlineStr">
        <is>
          <t>감사 인사</t>
        </is>
      </c>
      <c r="C27" s="8" t="inlineStr">
        <is>
          <t>You didn't have to go through all this trouble</t>
        </is>
      </c>
      <c r="D27" s="12" t="inlineStr">
        <is>
          <t>이런 번거로운 수고까지 안 하셔도 됐는데 (감사합니다)</t>
        </is>
      </c>
      <c r="E27" s="12" t="inlineStr">
        <is>
          <t>Thank you for the feast! You didn't have to go through all this trouble.</t>
        </is>
      </c>
      <c r="F27" s="12" t="inlineStr">
        <is>
          <t>진수성찬 정말 감사해요! 이런 수고까지 안 하셔도 됐는데 말이에요.</t>
        </is>
      </c>
      <c r="G27" s="9">
        <f>HYPERLINK("https://www.youtube.com/watch?v=hHZ1m3e0hdo", "영상 보기 ▶")</f>
        <v/>
      </c>
    </row>
    <row r="28" ht="26" customHeight="1">
      <c r="A28" s="2" t="n">
        <v>677</v>
      </c>
      <c r="B28" s="3" t="inlineStr">
        <is>
          <t>맨바닥 시작</t>
        </is>
      </c>
      <c r="C28" s="4" t="inlineStr">
        <is>
          <t>from scratch</t>
        </is>
      </c>
      <c r="D28" s="11" t="inlineStr">
        <is>
          <t>맨 처음부터, 아무런 밑천 없이 바닥부터</t>
        </is>
      </c>
      <c r="E28" s="11" t="inlineStr">
        <is>
          <t>We had to rebuild the whole code base from scratch.</t>
        </is>
      </c>
      <c r="F28" s="11" t="inlineStr">
        <is>
          <t>우리는 전체 코드 베이스를 맨 바닥부터 다시 구축해야 했습니다.</t>
        </is>
      </c>
      <c r="G28" s="5">
        <f>HYPERLINK("https://www.youtube.com/watch?v=hHZ1m3e0hdo", "영상 보기 ▶")</f>
        <v/>
      </c>
    </row>
    <row r="29" ht="26" customHeight="1">
      <c r="A29" s="6" t="n">
        <v>678</v>
      </c>
      <c r="B29" s="7" t="inlineStr">
        <is>
          <t>절차 거침</t>
        </is>
      </c>
      <c r="C29" s="8" t="inlineStr">
        <is>
          <t>go through (통과/검토)</t>
        </is>
      </c>
      <c r="D29" s="12" t="inlineStr">
        <is>
          <t>(절차/심사를) 정식으로 거치다, 통과하다</t>
        </is>
      </c>
      <c r="E29" s="12" t="inlineStr">
        <is>
          <t>All budget requests must go through senior management.</t>
        </is>
      </c>
      <c r="F29" s="12" t="inlineStr">
        <is>
          <t>모든 예산 요청은 경영진의 정식 승인 절차를 거쳐야 합니다.</t>
        </is>
      </c>
      <c r="G29" s="9">
        <f>HYPERLINK("https://www.youtube.com/watch?v=hHZ1m3e0hdo", "영상 보기 ▶")</f>
        <v/>
      </c>
    </row>
    <row r="30" ht="26" customHeight="1">
      <c r="A30" s="2" t="n">
        <v>679</v>
      </c>
      <c r="B30" s="3" t="inlineStr">
        <is>
          <t>시련 겪음</t>
        </is>
      </c>
      <c r="C30" s="4" t="inlineStr">
        <is>
          <t>go through (시련)</t>
        </is>
      </c>
      <c r="D30" s="11" t="inlineStr">
        <is>
          <t>(고통/어려움을) 직접 겪다, 견뎌내다</t>
        </is>
      </c>
      <c r="E30" s="11" t="inlineStr">
        <is>
          <t>Nobody knows what she went through last year.</t>
        </is>
      </c>
      <c r="F30" s="11" t="inlineStr">
        <is>
          <t>그녀가 작년에 어떤 힘든 일을 겪었는지 아무도 몰라.</t>
        </is>
      </c>
      <c r="G30" s="5">
        <f>HYPERLINK("https://www.youtube.com/watch?v=hHZ1m3e0hdo", "영상 보기 ▶")</f>
        <v/>
      </c>
    </row>
    <row r="31" ht="26" customHeight="1">
      <c r="A31" s="6" t="n">
        <v>680</v>
      </c>
      <c r="B31" s="7" t="inlineStr">
        <is>
          <t>골고루 배분</t>
        </is>
      </c>
      <c r="C31" s="8" t="inlineStr">
        <is>
          <t>go around</t>
        </is>
      </c>
      <c r="D31" s="12" t="inlineStr">
        <is>
          <t>(모든 사람에게) 충분히 골고루 돌아가다</t>
        </is>
      </c>
      <c r="E31" s="12" t="inlineStr">
        <is>
          <t>There are plenty of snacks to go around for everyone.</t>
        </is>
      </c>
      <c r="F31" s="12" t="inlineStr">
        <is>
          <t>모든 사람에게 충분히 돌아갈 만큼 간식이 넉넉해.</t>
        </is>
      </c>
      <c r="G31" s="9">
        <f>HYPERLINK("https://www.youtube.com/watch?v=hHZ1m3e0hdo", "영상 보기 ▶")</f>
        <v/>
      </c>
    </row>
    <row r="32" ht="26" customHeight="1">
      <c r="A32" s="2" t="n">
        <v>681</v>
      </c>
      <c r="B32" s="3" t="inlineStr">
        <is>
          <t>안타까운 동정</t>
        </is>
      </c>
      <c r="C32" s="4" t="inlineStr">
        <is>
          <t>My heart goes out to him</t>
        </is>
      </c>
      <c r="D32" s="11" t="inlineStr">
        <is>
          <t>그 사람에게 마음이 너무 아프고 안쓰러워</t>
        </is>
      </c>
      <c r="E32" s="11" t="inlineStr">
        <is>
          <t>He lost his father; my heart truly goes out to him.</t>
        </is>
      </c>
      <c r="F32" s="11" t="inlineStr">
        <is>
          <t>그가 부친상을 당했다니 마음이 너무 아프고 안쓰럽네.</t>
        </is>
      </c>
      <c r="G32" s="5">
        <f>HYPERLINK("https://www.youtube.com/watch?v=hHZ1m3e0hdo", "영상 보기 ▶")</f>
        <v/>
      </c>
    </row>
    <row r="33" ht="26" customHeight="1">
      <c r="A33" s="6" t="n">
        <v>682</v>
      </c>
      <c r="B33" s="7" t="inlineStr">
        <is>
          <t>난해/월권</t>
        </is>
      </c>
      <c r="C33" s="8" t="inlineStr">
        <is>
          <t>go over one's head</t>
        </is>
      </c>
      <c r="D33" s="12" t="inlineStr">
        <is>
          <t>① 이해하기 너무 어렵다 ② 윗선으로 직행하다</t>
        </is>
      </c>
      <c r="E33" s="12" t="inlineStr">
        <is>
          <t>That technical jargon completely went over my head.</t>
        </is>
      </c>
      <c r="F33" s="12" t="inlineStr">
        <is>
          <t>그 전문적인 기술 용어들은 내겐 도통 무슨 말인지 너무 어려웠어.</t>
        </is>
      </c>
      <c r="G33" s="9">
        <f>HYPERLINK("https://www.youtube.com/watch?v=hHZ1m3e0hdo", "영상 보기 ▶")</f>
        <v/>
      </c>
    </row>
    <row r="34" ht="26" customHeight="1">
      <c r="A34" s="2" t="n">
        <v>683</v>
      </c>
      <c r="B34" s="3" t="inlineStr">
        <is>
          <t>차선책</t>
        </is>
      </c>
      <c r="C34" s="4" t="inlineStr">
        <is>
          <t>might as well</t>
        </is>
      </c>
      <c r="D34" s="11" t="inlineStr">
        <is>
          <t>기왕 이렇게 된 거 ~하는 게 낫겠다</t>
        </is>
      </c>
      <c r="E34" s="11" t="inlineStr">
        <is>
          <t>Since it's raining, we might as well stay indoors.</t>
        </is>
      </c>
      <c r="F34" s="11" t="inlineStr">
        <is>
          <t>비도 오는데 기왕 이렇게 된 거 실내에 있는 게 낫겠어.</t>
        </is>
      </c>
      <c r="G34" s="5">
        <f>HYPERLINK("https://www.youtube.com/watch?v=hHZ1m3e0hdo", "영상 보기 ▶")</f>
        <v/>
      </c>
    </row>
    <row r="35" ht="26" customHeight="1">
      <c r="A35" s="6" t="n">
        <v>684</v>
      </c>
      <c r="B35" s="7" t="inlineStr">
        <is>
          <t>늦잠</t>
        </is>
      </c>
      <c r="C35" s="8" t="inlineStr">
        <is>
          <t>sleep in</t>
        </is>
      </c>
      <c r="D35" s="12" t="inlineStr">
        <is>
          <t>(알람 안 맞추고) 늦잠을 푹 자다</t>
        </is>
      </c>
      <c r="E35" s="12" t="inlineStr">
        <is>
          <t>I love having nothing planned on Sundays so I can sleep in.</t>
        </is>
      </c>
      <c r="F35" s="12" t="inlineStr">
        <is>
          <t>일요일엔 늦잠을 푹 잘 수 있도록 아무 계획도 안 잡는 게 좋아.</t>
        </is>
      </c>
      <c r="G35" s="9">
        <f>HYPERLINK("https://www.youtube.com/watch?v=hHZ1m3e0hdo", "영상 보기 ▶")</f>
        <v/>
      </c>
    </row>
    <row r="36" ht="26" customHeight="1">
      <c r="A36" s="2" t="n">
        <v>685</v>
      </c>
      <c r="B36" s="3" t="inlineStr">
        <is>
          <t>IT 능통</t>
        </is>
      </c>
      <c r="C36" s="4" t="inlineStr">
        <is>
          <t>tech-savvy</t>
        </is>
      </c>
      <c r="D36" s="11" t="inlineStr">
        <is>
          <t>기계/최신 IT 기술에 밝고 능통한</t>
        </is>
      </c>
      <c r="E36" s="11" t="inlineStr">
        <is>
          <t>Younger generations are naturally very tech-savvy.</t>
        </is>
      </c>
      <c r="F36" s="11" t="inlineStr">
        <is>
          <t>젊은 세대들은 자연스럽게 IT 기술에 대단히 능통해요.</t>
        </is>
      </c>
      <c r="G36" s="5">
        <f>HYPERLINK("https://www.youtube.com/watch?v=hHZ1m3e0hdo", "영상 보기 ▶")</f>
        <v/>
      </c>
    </row>
    <row r="37" ht="26" customHeight="1">
      <c r="A37" s="6" t="n">
        <v>686</v>
      </c>
      <c r="B37" s="7" t="inlineStr">
        <is>
          <t>본전 뽑기</t>
        </is>
      </c>
      <c r="C37" s="8" t="inlineStr">
        <is>
          <t>get one's money's worth</t>
        </is>
      </c>
      <c r="D37" s="12" t="inlineStr">
        <is>
          <t>본전을 뽑다, 낸 돈값을 톡톡히 누리다</t>
        </is>
      </c>
      <c r="E37" s="12" t="inlineStr">
        <is>
          <t>We stayed until closing time to get our money's worth.</t>
        </is>
      </c>
      <c r="F37" s="12" t="inlineStr">
        <is>
          <t>우리는 본전을 톡톡히 뽑으려고 마감 시간까지 꽉 채워 머물렀어.</t>
        </is>
      </c>
      <c r="G37" s="9">
        <f>HYPERLINK("https://www.youtube.com/watch?v=hHZ1m3e0hdo", "영상 보기 ▶")</f>
        <v/>
      </c>
    </row>
    <row r="38" ht="26" customHeight="1">
      <c r="A38" s="2" t="n">
        <v>687</v>
      </c>
      <c r="B38" s="3" t="inlineStr">
        <is>
          <t>경고/충고</t>
        </is>
      </c>
      <c r="C38" s="4" t="inlineStr">
        <is>
          <t>had better</t>
        </is>
      </c>
      <c r="D38" s="11" t="inlineStr">
        <is>
          <t>~하는 게 좋을 거야 (안 그러면 후회한다는 경고)</t>
        </is>
      </c>
      <c r="E38" s="11" t="inlineStr">
        <is>
          <t>You'd better double-check the flight time before leaving.</t>
        </is>
      </c>
      <c r="F38" s="11" t="inlineStr">
        <is>
          <t>출발하기 전에 비행기 시간 다시 확인하는 게 신상에 좋을 거야.</t>
        </is>
      </c>
      <c r="G38" s="5">
        <f>HYPERLINK("https://www.youtube.com/watch?v=hHZ1m3e0hdo", "영상 보기 ▶")</f>
        <v/>
      </c>
    </row>
    <row r="39" ht="26" customHeight="1">
      <c r="A39" s="6" t="n">
        <v>688</v>
      </c>
      <c r="B39" s="7" t="inlineStr">
        <is>
          <t>경고</t>
        </is>
      </c>
      <c r="C39" s="8" t="inlineStr">
        <is>
          <t>or else</t>
        </is>
      </c>
      <c r="D39" s="12" t="inlineStr">
        <is>
          <t>그렇지 않으면, 안 그랬다간 (후환 경고)</t>
        </is>
      </c>
      <c r="E39" s="12" t="inlineStr">
        <is>
          <t>Submit the report by noon, or else the client will complain.</t>
        </is>
      </c>
      <c r="F39" s="12" t="inlineStr">
        <is>
          <t>정오까지 보고서 제출해, 안 그랬다간 고객사가 항의할 테니까.</t>
        </is>
      </c>
      <c r="G39" s="9">
        <f>HYPERLINK("https://www.youtube.com/watch?v=hHZ1m3e0hdo", "영상 보기 ▶")</f>
        <v/>
      </c>
    </row>
    <row r="40" ht="26" customHeight="1">
      <c r="A40" s="2" t="n">
        <v>689</v>
      </c>
      <c r="B40" s="3" t="inlineStr">
        <is>
          <t>신속 처리</t>
        </is>
      </c>
      <c r="C40" s="4" t="inlineStr">
        <is>
          <t>sooner rather than later</t>
        </is>
      </c>
      <c r="D40" s="11" t="inlineStr">
        <is>
          <t>가급적 빨리, 늦기 전에 서둘러</t>
        </is>
      </c>
      <c r="E40" s="11" t="inlineStr">
        <is>
          <t>We need to address this customer complaint sooner rather than later.</t>
        </is>
      </c>
      <c r="F40" s="11" t="inlineStr">
        <is>
          <t>이 고객 불만 사항은 늦기 전에 가급적 신속히 해결해야 합니다.</t>
        </is>
      </c>
      <c r="G40" s="5">
        <f>HYPERLINK("https://www.youtube.com/watch?v=hHZ1m3e0hdo", "영상 보기 ▶")</f>
        <v/>
      </c>
    </row>
    <row r="41" ht="26" customHeight="1">
      <c r="A41" s="6" t="n">
        <v>690</v>
      </c>
      <c r="B41" s="7" t="inlineStr">
        <is>
          <t>정신 차림</t>
        </is>
      </c>
      <c r="C41" s="8" t="inlineStr">
        <is>
          <t>Pull yourself together</t>
        </is>
      </c>
      <c r="D41" s="12" t="inlineStr">
        <is>
          <t>정신 차려, 마음을 다잡고 냉정해져</t>
        </is>
      </c>
      <c r="E41" s="12" t="inlineStr">
        <is>
          <t>Stop crying and pull yourself together; we need a plan.</t>
        </is>
      </c>
      <c r="F41" s="12" t="inlineStr">
        <is>
          <t>그만 울고 정신 바짝 차려, 지금은 대책을 세워야 해.</t>
        </is>
      </c>
      <c r="G41" s="9">
        <f>HYPERLINK("https://www.youtube.com/watch?v=hHZ1m3e0hdo", "영상 보기 ▶")</f>
        <v/>
      </c>
    </row>
    <row r="42" ht="26" customHeight="1">
      <c r="A42" s="2" t="n">
        <v>691</v>
      </c>
      <c r="B42" s="3" t="inlineStr">
        <is>
          <t>정중한 사과</t>
        </is>
      </c>
      <c r="C42" s="4" t="inlineStr">
        <is>
          <t>I'm sorry if I offended you</t>
        </is>
      </c>
      <c r="D42" s="11" t="inlineStr">
        <is>
          <t>혹시 제 말 때문에 기분 상하셨다면 죄송합니다</t>
        </is>
      </c>
      <c r="E42" s="11" t="inlineStr">
        <is>
          <t>I didn't mean it that way; I'm truly sorry if I offended you.</t>
        </is>
      </c>
      <c r="F42" s="11" t="inlineStr">
        <is>
          <t>그런 뜻으로 한 말이 아니었어요. 혹시 기분 상하셨다면 정말 죄송합니다.</t>
        </is>
      </c>
      <c r="G42" s="5">
        <f>HYPERLINK("https://www.youtube.com/watch?v=hHZ1m3e0hdo", "영상 보기 ▶")</f>
        <v/>
      </c>
    </row>
    <row r="43" ht="26" customHeight="1">
      <c r="A43" s="6" t="n">
        <v>692</v>
      </c>
      <c r="B43" s="7" t="inlineStr">
        <is>
          <t>확신/공감</t>
        </is>
      </c>
      <c r="C43" s="8" t="inlineStr">
        <is>
          <t>must (공감)</t>
        </is>
      </c>
      <c r="D43" s="12" t="inlineStr">
        <is>
          <t>틀림없이 ~이겠네요 (상대 감정 깊은 공감)</t>
        </is>
      </c>
      <c r="E43" s="12" t="inlineStr">
        <is>
          <t>Working twelve hours straight? You must be exhausted.</t>
        </is>
      </c>
      <c r="F43" s="12" t="inlineStr">
        <is>
          <t>12시간 내리 일하셨다고요? 틀림없이 녹초가 되셨겠어요.</t>
        </is>
      </c>
      <c r="G43" s="9">
        <f>HYPERLINK("https://www.youtube.com/watch?v=hHZ1m3e0hdo", "영상 보기 ▶")</f>
        <v/>
      </c>
    </row>
    <row r="44" ht="26" customHeight="1">
      <c r="A44" s="2" t="n">
        <v>693</v>
      </c>
      <c r="B44" s="3" t="inlineStr">
        <is>
          <t>분위기 눈치</t>
        </is>
      </c>
      <c r="C44" s="4" t="inlineStr">
        <is>
          <t>Someone's in a (bad) mood</t>
        </is>
      </c>
      <c r="D44" s="11" t="inlineStr">
        <is>
          <t>누가 오늘 기분이 영 안 좋으시네 (눈치채기)</t>
        </is>
      </c>
      <c r="E44" s="11" t="inlineStr">
        <is>
          <t>Keep your distance today; someone's in a really bad mood.</t>
        </is>
      </c>
      <c r="F44" s="11" t="inlineStr">
        <is>
          <t>오늘은 좀 거리 둬, 누구 기분이 영 안 좋으신 것 같아.</t>
        </is>
      </c>
      <c r="G44" s="5">
        <f>HYPERLINK("https://www.youtube.com/watch?v=hHZ1m3e0hdo", "영상 보기 ▶")</f>
        <v/>
      </c>
    </row>
    <row r="45" ht="26" customHeight="1">
      <c r="A45" s="6" t="n">
        <v>694</v>
      </c>
      <c r="B45" s="7" t="inlineStr">
        <is>
          <t>정상화/안도</t>
        </is>
      </c>
      <c r="C45" s="8" t="inlineStr">
        <is>
          <t>It's perfectly normal to ~</t>
        </is>
      </c>
      <c r="D45" s="12" t="inlineStr">
        <is>
          <t>~하는 것은 지극히 당연하고 정상이야</t>
        </is>
      </c>
      <c r="E45" s="12" t="inlineStr">
        <is>
          <t>It's perfectly normal to feel nervous before an interview.</t>
        </is>
      </c>
      <c r="F45" s="12" t="inlineStr">
        <is>
          <t>면접 전에 긴장되는 건 지극히 자연스럽고 정상적인 감정이야.</t>
        </is>
      </c>
      <c r="G45" s="9">
        <f>HYPERLINK("https://www.youtube.com/watch?v=hHZ1m3e0hdo", "영상 보기 ▶")</f>
        <v/>
      </c>
    </row>
    <row r="46" ht="26" customHeight="1">
      <c r="A46" s="2" t="n">
        <v>695</v>
      </c>
      <c r="B46" s="3" t="inlineStr">
        <is>
          <t>감정 기복</t>
        </is>
      </c>
      <c r="C46" s="4" t="inlineStr">
        <is>
          <t>mood swing</t>
        </is>
      </c>
      <c r="D46" s="11" t="inlineStr">
        <is>
          <t>감정의 기복, 널뛰는 기분</t>
        </is>
      </c>
      <c r="E46" s="11" t="inlineStr">
        <is>
          <t>Lack of sleep can cause severe mood swings.</t>
        </is>
      </c>
      <c r="F46" s="11" t="inlineStr">
        <is>
          <t>수면 부족은 심한 감정 기복을 유발할 수 있습니다.</t>
        </is>
      </c>
      <c r="G46" s="5">
        <f>HYPERLINK("https://www.youtube.com/watch?v=hHZ1m3e0hdo", "영상 보기 ▶")</f>
        <v/>
      </c>
    </row>
    <row r="47" ht="26" customHeight="1">
      <c r="A47" s="6" t="n">
        <v>696</v>
      </c>
      <c r="B47" s="7" t="inlineStr">
        <is>
          <t>부담 경감</t>
        </is>
      </c>
      <c r="C47" s="8" t="inlineStr">
        <is>
          <t>Don't put too much pressure on yourself</t>
        </is>
      </c>
      <c r="D47" s="12" t="inlineStr">
        <is>
          <t>스스로에게 너무 과한 부담이나 압박을 주지 마</t>
        </is>
      </c>
      <c r="E47" s="12" t="inlineStr">
        <is>
          <t>You're doing great; don't put too much pressure on yourself.</t>
        </is>
      </c>
      <c r="F47" s="12" t="inlineStr">
        <is>
          <t>너 이미 충분히 잘하고 있어, 스스로를 너무 벼랑 끝으로 몰지 마.</t>
        </is>
      </c>
      <c r="G47" s="9">
        <f>HYPERLINK("https://www.youtube.com/watch?v=hHZ1m3e0hdo", "영상 보기 ▶")</f>
        <v/>
      </c>
    </row>
    <row r="48" ht="26" customHeight="1">
      <c r="A48" s="2" t="n">
        <v>697</v>
      </c>
      <c r="B48" s="3" t="inlineStr">
        <is>
          <t>열정적 착수</t>
        </is>
      </c>
      <c r="C48" s="4" t="inlineStr">
        <is>
          <t>dive in</t>
        </is>
      </c>
      <c r="D48" s="11" t="inlineStr">
        <is>
          <t>(주저 없이) 열정적으로 본격 착수하다</t>
        </is>
      </c>
      <c r="E48" s="11" t="inlineStr">
        <is>
          <t>Don't overthink; just dive in and learn as you go.</t>
        </is>
      </c>
      <c r="F48" s="11" t="inlineStr">
        <is>
          <t>너무 복잡하게 생각하지 말고, 일단 부딪치며 배우면서 해봐.</t>
        </is>
      </c>
      <c r="G48" s="5">
        <f>HYPERLINK("https://www.youtube.com/watch?v=hHZ1m3e0hdo", "영상 보기 ▶")</f>
        <v/>
      </c>
    </row>
    <row r="49" ht="26" customHeight="1">
      <c r="A49" s="6" t="n">
        <v>698</v>
      </c>
      <c r="B49" s="7" t="inlineStr">
        <is>
          <t>극존칭 복종</t>
        </is>
      </c>
      <c r="C49" s="8" t="inlineStr">
        <is>
          <t>Your wish is my command</t>
        </is>
      </c>
      <c r="D49" s="12" t="inlineStr">
        <is>
          <t>말씀만 하십시오, 명령대로 다 받들겠습니다</t>
        </is>
      </c>
      <c r="E49" s="12" t="inlineStr">
        <is>
          <t>Coffee and donuts? Your wish is my command.</t>
        </is>
      </c>
      <c r="F49" s="12" t="inlineStr">
        <is>
          <t>커피와 도넛이요? 말씀만 하세요, 바로 대령하겠습니다.</t>
        </is>
      </c>
      <c r="G49" s="9">
        <f>HYPERLINK("https://www.youtube.com/watch?v=hHZ1m3e0hdo", "영상 보기 ▶")</f>
        <v/>
      </c>
    </row>
    <row r="50" ht="26" customHeight="1">
      <c r="A50" s="2" t="n">
        <v>699</v>
      </c>
      <c r="B50" s="3" t="inlineStr">
        <is>
          <t>배신/희생</t>
        </is>
      </c>
      <c r="C50" s="4" t="inlineStr">
        <is>
          <t>throw (사람) under the bus</t>
        </is>
      </c>
      <c r="D50" s="11" t="inlineStr">
        <is>
          <t>자신의 안위를 위해 남을 희생시키다/배신하다</t>
        </is>
      </c>
      <c r="E50" s="11" t="inlineStr">
        <is>
          <t>He blamed me to save himself; he totally threw me under the bus.</t>
        </is>
      </c>
      <c r="F50" s="11" t="inlineStr">
        <is>
          <t>그는 자기 혼자 살겠다고 내 탓을 하며 나를 배신해 버렸어.</t>
        </is>
      </c>
      <c r="G50" s="5">
        <f>HYPERLINK("https://www.youtube.com/watch?v=hHZ1m3e0hdo", "영상 보기 ▶")</f>
        <v/>
      </c>
    </row>
    <row r="51" ht="26" customHeight="1">
      <c r="A51" s="6" t="n">
        <v>700</v>
      </c>
      <c r="B51" s="7" t="inlineStr">
        <is>
          <t>의견 일치</t>
        </is>
      </c>
      <c r="C51" s="8" t="inlineStr">
        <is>
          <t>be on the same page</t>
        </is>
      </c>
      <c r="D51" s="12" t="inlineStr">
        <is>
          <t>(목표/생각에 대해) 완벽히 의견을 같이하다</t>
        </is>
      </c>
      <c r="E51" s="12" t="inlineStr">
        <is>
          <t>Before speaking to the client, let's make sure we're on the same page.</t>
        </is>
      </c>
      <c r="F51" s="12" t="inlineStr">
        <is>
          <t>고객과 이야기하기 전에 우리끼리 먼저 손발과 의견을 맞춰둡시다.</t>
        </is>
      </c>
      <c r="G51" s="9">
        <f>HYPERLINK("https://www.youtube.com/watch?v=hHZ1m3e0hdo", "영상 보기 ▶")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8" customWidth="1" min="3" max="3"/>
    <col width="48" customWidth="1" min="4" max="4"/>
    <col width="69" customWidth="1" min="5" max="5"/>
    <col width="65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701</v>
      </c>
      <c r="B2" s="3" t="inlineStr">
        <is>
          <t>관점 접미사</t>
        </is>
      </c>
      <c r="C2" s="4" t="inlineStr">
        <is>
          <t>-wise (접미사)</t>
        </is>
      </c>
      <c r="D2" s="11" t="inlineStr">
        <is>
          <t>~방면으로는, ~에 관해서는 (cost-wise, time-wise)</t>
        </is>
      </c>
      <c r="E2" s="11" t="inlineStr">
        <is>
          <t>Career-wise, moving to Seoul was the best decision I ever made.</t>
        </is>
      </c>
      <c r="F2" s="11" t="inlineStr">
        <is>
          <t>커리어 방면으로 볼 때, 서울로 이직한 것은 내 최고의 결정이었어.</t>
        </is>
      </c>
      <c r="G2" s="5">
        <f>HYPERLINK("https://www.youtube.com/watch?v=cMaG7n_69r4", "영상 보기 ▶")</f>
        <v/>
      </c>
    </row>
    <row r="3" ht="26" customHeight="1">
      <c r="A3" s="6" t="n">
        <v>702</v>
      </c>
      <c r="B3" s="7" t="inlineStr">
        <is>
          <t>현명함</t>
        </is>
      </c>
      <c r="C3" s="8" t="inlineStr">
        <is>
          <t>wise</t>
        </is>
      </c>
      <c r="D3" s="12" t="inlineStr">
        <is>
          <t>지혜로운, 현명한</t>
        </is>
      </c>
      <c r="E3" s="12" t="inlineStr">
        <is>
          <t>It would be wise to save some money for unexpected expenses.</t>
        </is>
      </c>
      <c r="F3" s="12" t="inlineStr">
        <is>
          <t>예상치 못한 지출에 대비해 저축을 좀 해두는 것이 현명합니다.</t>
        </is>
      </c>
      <c r="G3" s="9">
        <f>HYPERLINK("https://www.youtube.com/watch?v=cMaG7n_69r4", "영상 보기 ▶")</f>
        <v/>
      </c>
    </row>
    <row r="4" ht="26" customHeight="1">
      <c r="A4" s="2" t="n">
        <v>703</v>
      </c>
      <c r="B4" s="3" t="inlineStr">
        <is>
          <t>어림 접미사</t>
        </is>
      </c>
      <c r="C4" s="4" t="inlineStr">
        <is>
          <t>-ish (접미사)</t>
        </is>
      </c>
      <c r="D4" s="11" t="inlineStr">
        <is>
          <t>대략 ~쯤의, 약간 ~한 (seven-ish, bluish)</t>
        </is>
      </c>
      <c r="E4" s="11" t="inlineStr">
        <is>
          <t>Let's meet tomorrow around noon-ish.</t>
        </is>
      </c>
      <c r="F4" s="11" t="inlineStr">
        <is>
          <t>내일 정오 무렵쯤에 만나자.</t>
        </is>
      </c>
      <c r="G4" s="5">
        <f>HYPERLINK("https://www.youtube.com/watch?v=cMaG7n_69r4", "영상 보기 ▶")</f>
        <v/>
      </c>
    </row>
    <row r="5" ht="26" customHeight="1">
      <c r="A5" s="6" t="n">
        <v>704</v>
      </c>
      <c r="B5" s="7" t="inlineStr">
        <is>
          <t>부분 부정</t>
        </is>
      </c>
      <c r="C5" s="8" t="inlineStr">
        <is>
          <t>Not necessarily</t>
        </is>
      </c>
      <c r="D5" s="12" t="inlineStr">
        <is>
          <t>반드시 그런 것만은 아니야</t>
        </is>
      </c>
      <c r="E5" s="12" t="inlineStr">
        <is>
          <t>Expensive things are not necessarily better in quality.</t>
        </is>
      </c>
      <c r="F5" s="12" t="inlineStr">
        <is>
          <t>비싼 물건이라고 해서 품질이 반드시 더 좋은 것만은 아니야.</t>
        </is>
      </c>
      <c r="G5" s="9">
        <f>HYPERLINK("https://www.youtube.com/watch?v=cMaG7n_69r4", "영상 보기 ▶")</f>
        <v/>
      </c>
    </row>
    <row r="6" ht="26" customHeight="1">
      <c r="A6" s="2" t="n">
        <v>705</v>
      </c>
      <c r="B6" s="3" t="inlineStr">
        <is>
          <t>속성 비교</t>
        </is>
      </c>
      <c r="C6" s="4" t="inlineStr">
        <is>
          <t>more of</t>
        </is>
      </c>
      <c r="D6" s="11" t="inlineStr">
        <is>
          <t>(A라기보다는) 오히려 B에 더 가까운</t>
        </is>
      </c>
      <c r="E6" s="11" t="inlineStr">
        <is>
          <t>It's more of an informal discussion than an official meeting.</t>
        </is>
      </c>
      <c r="F6" s="11" t="inlineStr">
        <is>
          <t>공식 회의라기보다는 비공식적인 의견 교환에 더 가까워요.</t>
        </is>
      </c>
      <c r="G6" s="5">
        <f>HYPERLINK("https://www.youtube.com/watch?v=cMaG7n_69r4", "영상 보기 ▶")</f>
        <v/>
      </c>
    </row>
    <row r="7" ht="26" customHeight="1">
      <c r="A7" s="6" t="n">
        <v>706</v>
      </c>
      <c r="B7" s="7" t="inlineStr">
        <is>
          <t>이견 존재</t>
        </is>
      </c>
      <c r="C7" s="8" t="inlineStr">
        <is>
          <t>That's debatable</t>
        </is>
      </c>
      <c r="D7" s="12" t="inlineStr">
        <is>
          <t>그건 논란/이견의 여지가 있지 (동의하기 어려움)</t>
        </is>
      </c>
      <c r="E7" s="12" t="inlineStr">
        <is>
          <t>You claim it's the best option, but that's debatable.</t>
        </is>
      </c>
      <c r="F7" s="12" t="inlineStr">
        <is>
          <t>그게 최선의 선택이라고 주장하지만, 그건 논란의 여지가 있어.</t>
        </is>
      </c>
      <c r="G7" s="9">
        <f>HYPERLINK("https://www.youtube.com/watch?v=cMaG7n_69r4", "영상 보기 ▶")</f>
        <v/>
      </c>
    </row>
    <row r="8" ht="26" customHeight="1">
      <c r="A8" s="2" t="n">
        <v>707</v>
      </c>
      <c r="B8" s="3" t="inlineStr">
        <is>
          <t>정중한 반대</t>
        </is>
      </c>
      <c r="C8" s="4" t="inlineStr">
        <is>
          <t>I beg to differ</t>
        </is>
      </c>
      <c r="D8" s="11" t="inlineStr">
        <is>
          <t>외람되지만 제 생각은 전혀 다릅니다</t>
        </is>
      </c>
      <c r="E8" s="11" t="inlineStr">
        <is>
          <t>With all due respect, I beg to differ on that point.</t>
        </is>
      </c>
      <c r="F8" s="11" t="inlineStr">
        <is>
          <t>외람된 말씀이지만, 그 점에 관해선 저는 생각이 전혀 다릅니다.</t>
        </is>
      </c>
      <c r="G8" s="5">
        <f>HYPERLINK("https://www.youtube.com/watch?v=cMaG7n_69r4", "영상 보기 ▶")</f>
        <v/>
      </c>
    </row>
    <row r="9" ht="26" customHeight="1">
      <c r="A9" s="6" t="n">
        <v>708</v>
      </c>
      <c r="B9" s="7" t="inlineStr">
        <is>
          <t>조심스런 이견</t>
        </is>
      </c>
      <c r="C9" s="8" t="inlineStr">
        <is>
          <t>I'm not sure I agree with you 100%</t>
        </is>
      </c>
      <c r="D9" s="12" t="inlineStr">
        <is>
          <t>100% 온전히 동의하기는 조금 어렵네요</t>
        </is>
      </c>
      <c r="E9" s="12" t="inlineStr">
        <is>
          <t>I'm not sure I agree with you 100% on the marketing angle.</t>
        </is>
      </c>
      <c r="F9" s="12" t="inlineStr">
        <is>
          <t>마케팅 방향에 대해서는 100% 온전히 동의하기가 좀 어렵네요.</t>
        </is>
      </c>
      <c r="G9" s="9">
        <f>HYPERLINK("https://www.youtube.com/watch?v=cMaG7n_69r4", "영상 보기 ▶")</f>
        <v/>
      </c>
    </row>
    <row r="10" ht="26" customHeight="1">
      <c r="A10" s="2" t="n">
        <v>709</v>
      </c>
      <c r="B10" s="3" t="inlineStr">
        <is>
          <t>견해차 인정</t>
        </is>
      </c>
      <c r="C10" s="4" t="inlineStr">
        <is>
          <t>Let's agree to disagree</t>
        </is>
      </c>
      <c r="D10" s="11" t="inlineStr">
        <is>
          <t>서로 견해차가 있음을 인정하고 언쟁을 끝냅시다</t>
        </is>
      </c>
      <c r="E10" s="11" t="inlineStr">
        <is>
          <t>We won't convince each other, so let's agree to disagree.</t>
        </is>
      </c>
      <c r="F10" s="11" t="inlineStr">
        <is>
          <t>서로 설득하기 힘들 것 같으니 각자의 생각을 존중하고 넘어갑시다.</t>
        </is>
      </c>
      <c r="G10" s="5">
        <f>HYPERLINK("https://www.youtube.com/watch?v=cMaG7n_69r4", "영상 보기 ▶")</f>
        <v/>
      </c>
    </row>
    <row r="11" ht="26" customHeight="1">
      <c r="A11" s="6" t="n">
        <v>710</v>
      </c>
      <c r="B11" s="7" t="inlineStr">
        <is>
          <t>화제 종결</t>
        </is>
      </c>
      <c r="C11" s="8" t="inlineStr">
        <is>
          <t>Let's just drop this</t>
        </is>
      </c>
      <c r="D11" s="12" t="inlineStr">
        <is>
          <t>이 이야기는 여기서 그만 끝냅시다/덮읍시다</t>
        </is>
      </c>
      <c r="E11" s="12" t="inlineStr">
        <is>
          <t>We're just getting angry; let's just drop this topic.</t>
        </is>
      </c>
      <c r="F11" s="12" t="inlineStr">
        <is>
          <t>점점 화만 나니까 이 이야기는 여기서 그만 접자.</t>
        </is>
      </c>
      <c r="G11" s="9">
        <f>HYPERLINK("https://www.youtube.com/watch?v=cMaG7n_69r4", "영상 보기 ▶")</f>
        <v/>
      </c>
    </row>
    <row r="12" ht="26" customHeight="1">
      <c r="A12" s="2" t="n">
        <v>711</v>
      </c>
      <c r="B12" s="3" t="inlineStr">
        <is>
          <t>전면적 적용</t>
        </is>
      </c>
      <c r="C12" s="4" t="inlineStr">
        <is>
          <t>across the board</t>
        </is>
      </c>
      <c r="D12" s="11" t="inlineStr">
        <is>
          <t>전면적으로, 일괄적으로, 모든 분야에 걸쳐</t>
        </is>
      </c>
      <c r="E12" s="11" t="inlineStr">
        <is>
          <t>The company announced a 5% salary increase across the board.</t>
        </is>
      </c>
      <c r="F12" s="11" t="inlineStr">
        <is>
          <t>회사는 전 직원을 대상으로 일괄 5% 급여 인상을 발표했습니다.</t>
        </is>
      </c>
      <c r="G12" s="5">
        <f>HYPERLINK("https://www.youtube.com/watch?v=cMaG7n_69r4", "영상 보기 ▶")</f>
        <v/>
      </c>
    </row>
    <row r="13" ht="26" customHeight="1">
      <c r="A13" s="6" t="n">
        <v>712</v>
      </c>
      <c r="B13" s="7" t="inlineStr">
        <is>
          <t>미세 조정</t>
        </is>
      </c>
      <c r="C13" s="8" t="inlineStr">
        <is>
          <t>tweak</t>
        </is>
      </c>
      <c r="D13" s="12" t="inlineStr">
        <is>
          <t>(완성도를 위해) 약간 수정하다, 미세 조정하다</t>
        </is>
      </c>
      <c r="E13" s="12" t="inlineStr">
        <is>
          <t>I just need to tweak a few sentences in the conclusion.</t>
        </is>
      </c>
      <c r="F13" s="12" t="inlineStr">
        <is>
          <t>결론 부분의 문장 몇 개만 약간 손보면 끝나요.</t>
        </is>
      </c>
      <c r="G13" s="9">
        <f>HYPERLINK("https://www.youtube.com/watch?v=cMaG7n_69r4", "영상 보기 ▶")</f>
        <v/>
      </c>
    </row>
    <row r="14" ht="26" customHeight="1">
      <c r="A14" s="2" t="n">
        <v>713</v>
      </c>
      <c r="B14" s="3" t="inlineStr">
        <is>
          <t>완성도 다듬기</t>
        </is>
      </c>
      <c r="C14" s="4" t="inlineStr">
        <is>
          <t>polish</t>
        </is>
      </c>
      <c r="D14" s="11" t="inlineStr">
        <is>
          <t>(광을 내듯) 다듬다, 세련되게 완성하다</t>
        </is>
      </c>
      <c r="E14" s="11" t="inlineStr">
        <is>
          <t>Spend an extra hour polishing your presentation slides.</t>
        </is>
      </c>
      <c r="F14" s="11" t="inlineStr">
        <is>
          <t>발표 슬라이드를 더 깔끔하게 다듬는 데 한 시간만 더 투자해 보세요.</t>
        </is>
      </c>
      <c r="G14" s="5">
        <f>HYPERLINK("https://www.youtube.com/watch?v=cMaG7n_69r4", "영상 보기 ▶")</f>
        <v/>
      </c>
    </row>
    <row r="15" ht="26" customHeight="1">
      <c r="A15" s="6" t="n">
        <v>714</v>
      </c>
      <c r="B15" s="7" t="inlineStr">
        <is>
          <t>시급함</t>
        </is>
      </c>
      <c r="C15" s="8" t="inlineStr">
        <is>
          <t>pressing</t>
        </is>
      </c>
      <c r="D15" s="12" t="inlineStr">
        <is>
          <t>긴급한, 시급히 다뤄야 할</t>
        </is>
      </c>
      <c r="E15" s="12" t="inlineStr">
        <is>
          <t>Finding a new supplier is our most pressing priority.</t>
        </is>
      </c>
      <c r="F15" s="12" t="inlineStr">
        <is>
          <t>새 공급업체를 찾는 것이 우리의 가장 시급한 당면 과제입니다.</t>
        </is>
      </c>
      <c r="G15" s="9">
        <f>HYPERLINK("https://www.youtube.com/watch?v=cMaG7n_69r4", "영상 보기 ▶")</f>
        <v/>
      </c>
    </row>
    <row r="16" ht="26" customHeight="1">
      <c r="A16" s="2" t="n">
        <v>715</v>
      </c>
      <c r="B16" s="3" t="inlineStr">
        <is>
          <t>돌봄/관리</t>
        </is>
      </c>
      <c r="C16" s="4" t="inlineStr">
        <is>
          <t>tend</t>
        </is>
      </c>
      <c r="D16" s="11" t="inlineStr">
        <is>
          <t>(사람/업무를) 돌보다, 보살피다, 챙기다</t>
        </is>
      </c>
      <c r="E16" s="11" t="inlineStr">
        <is>
          <t>The manager had to leave to tend to an urgent issue.</t>
        </is>
      </c>
      <c r="F16" s="11" t="inlineStr">
        <is>
          <t>부장님은 긴급한 사안을 챙기러 자리를 비우셔야 했습니다.</t>
        </is>
      </c>
      <c r="G16" s="5">
        <f>HYPERLINK("https://www.youtube.com/watch?v=cMaG7n_69r4", "영상 보기 ▶")</f>
        <v/>
      </c>
    </row>
    <row r="17" ht="26" customHeight="1">
      <c r="A17" s="6" t="n">
        <v>716</v>
      </c>
      <c r="B17" s="7" t="inlineStr">
        <is>
          <t>일반적 경향</t>
        </is>
      </c>
      <c r="C17" s="8" t="inlineStr">
        <is>
          <t>tend to + 동사원형</t>
        </is>
      </c>
      <c r="D17" s="12" t="inlineStr">
        <is>
          <t>~하는 경향이 있다, 자주 ~하다</t>
        </is>
      </c>
      <c r="E17" s="12" t="inlineStr">
        <is>
          <t>People tend to underestimate the time needed for testing.</t>
        </is>
      </c>
      <c r="F17" s="12" t="inlineStr">
        <is>
          <t>사람들은 테스트에 필요한 시간을 과소평가하는 경향이 있습니다.</t>
        </is>
      </c>
      <c r="G17" s="9">
        <f>HYPERLINK("https://www.youtube.com/watch?v=cMaG7n_69r4", "영상 보기 ▶")</f>
        <v/>
      </c>
    </row>
    <row r="18" ht="26" customHeight="1">
      <c r="A18" s="2" t="n">
        <v>717</v>
      </c>
      <c r="B18" s="3" t="inlineStr">
        <is>
          <t>꼬인 하루</t>
        </is>
      </c>
      <c r="C18" s="4" t="inlineStr">
        <is>
          <t>It's been one of those days</t>
        </is>
      </c>
      <c r="D18" s="11" t="inlineStr">
        <is>
          <t>오늘따라 일진이 사납네, 되는 일이 없는 날이야</t>
        </is>
      </c>
      <c r="E18" s="11" t="inlineStr">
        <is>
          <t>Spilled my coffee, missed the train; it's been one of those days.</t>
        </is>
      </c>
      <c r="F18" s="11" t="inlineStr">
        <is>
          <t>커피 쏟고 기차 놓치고, 오늘따라 진짜 왜 이리 꼬이는지 몰라.</t>
        </is>
      </c>
      <c r="G18" s="5">
        <f>HYPERLINK("https://www.youtube.com/watch?v=cMaG7n_69r4", "영상 보기 ▶")</f>
        <v/>
      </c>
    </row>
    <row r="19" ht="26" customHeight="1">
      <c r="A19" s="6" t="n">
        <v>718</v>
      </c>
      <c r="B19" s="7" t="inlineStr">
        <is>
          <t>구체성</t>
        </is>
      </c>
      <c r="C19" s="8" t="inlineStr">
        <is>
          <t>concrete</t>
        </is>
      </c>
      <c r="D19" s="12" t="inlineStr">
        <is>
          <t>구체적인, 실체가 있는 (concrete evidence/plan)</t>
        </is>
      </c>
      <c r="E19" s="12" t="inlineStr">
        <is>
          <t>We need to see concrete data before making a commitment.</t>
        </is>
      </c>
      <c r="F19" s="12" t="inlineStr">
        <is>
          <t>확답을 드리기 전에 구체적인 데이터를 먼저 확인해야 합니다.</t>
        </is>
      </c>
      <c r="G19" s="9">
        <f>HYPERLINK("https://www.youtube.com/watch?v=cMaG7n_69r4", "영상 보기 ▶")</f>
        <v/>
      </c>
    </row>
    <row r="20" ht="26" customHeight="1">
      <c r="A20" s="2" t="n">
        <v>719</v>
      </c>
      <c r="B20" s="3" t="inlineStr">
        <is>
          <t>추측</t>
        </is>
      </c>
      <c r="C20" s="4" t="inlineStr">
        <is>
          <t>speculate</t>
        </is>
      </c>
      <c r="D20" s="11" t="inlineStr">
        <is>
          <t>추측하다, 짐작하다 (근거 부족)</t>
        </is>
      </c>
      <c r="E20" s="11" t="inlineStr">
        <is>
          <t>It's too early to speculate on the real cause of the crash.</t>
        </is>
      </c>
      <c r="F20" s="11" t="inlineStr">
        <is>
          <t>충돌 사고의 진짜 원인에 대해 속단하여 추측하기는 이릅니다.</t>
        </is>
      </c>
      <c r="G20" s="5">
        <f>HYPERLINK("https://www.youtube.com/watch?v=cMaG7n_69r4", "영상 보기 ▶")</f>
        <v/>
      </c>
    </row>
    <row r="21" ht="26" customHeight="1">
      <c r="A21" s="6" t="n">
        <v>720</v>
      </c>
      <c r="B21" s="7" t="inlineStr">
        <is>
          <t>정중한 권유</t>
        </is>
      </c>
      <c r="C21" s="8" t="inlineStr">
        <is>
          <t>care to + 동사원형</t>
        </is>
      </c>
      <c r="D21" s="12" t="inlineStr">
        <is>
          <t>~하시겠어요? (정중한 제안/질문)</t>
        </is>
      </c>
      <c r="E21" s="12" t="inlineStr">
        <is>
          <t>Care to join us for a quick coffee break?</t>
        </is>
      </c>
      <c r="F21" s="12" t="inlineStr">
        <is>
          <t>잠깐 커피 한잔하러 같이 가시겠어요?</t>
        </is>
      </c>
      <c r="G21" s="9">
        <f>HYPERLINK("https://www.youtube.com/watch?v=cMaG7n_69r4", "영상 보기 ▶")</f>
        <v/>
      </c>
    </row>
    <row r="22" ht="26" customHeight="1">
      <c r="A22" s="2" t="n">
        <v>721</v>
      </c>
      <c r="B22" s="3" t="inlineStr">
        <is>
          <t>이해/청취</t>
        </is>
      </c>
      <c r="C22" s="4" t="inlineStr">
        <is>
          <t>follow (이해)</t>
        </is>
      </c>
      <c r="D22" s="11" t="inlineStr">
        <is>
          <t>(설명/맥락을) 이해하다, 잘 따라오다</t>
        </is>
      </c>
      <c r="E22" s="11" t="inlineStr">
        <is>
          <t>Are you following me so far, or should I slow down?</t>
        </is>
      </c>
      <c r="F22" s="11" t="inlineStr">
        <is>
          <t>지금까지 제 설명 잘 따라오고 계신가요, 아니면 좀 천천히 할까요?</t>
        </is>
      </c>
      <c r="G22" s="5">
        <f>HYPERLINK("https://www.youtube.com/watch?v=cMaG7n_69r4", "영상 보기 ▶")</f>
        <v/>
      </c>
    </row>
    <row r="23" ht="26" customHeight="1">
      <c r="A23" s="6" t="n">
        <v>722</v>
      </c>
      <c r="B23" s="7" t="inlineStr">
        <is>
          <t>지침 준수</t>
        </is>
      </c>
      <c r="C23" s="8" t="inlineStr">
        <is>
          <t>follow (준수)</t>
        </is>
      </c>
      <c r="D23" s="12" t="inlineStr">
        <is>
          <t>(규정/지시를) 준수하다, 따르다</t>
        </is>
      </c>
      <c r="E23" s="12" t="inlineStr">
        <is>
          <t>Please make sure everyone follows the safety protocols.</t>
        </is>
      </c>
      <c r="F23" s="12" t="inlineStr">
        <is>
          <t>모든 직원이 안전 수칙을 철저히 준수하도록 확인 바랍니다.</t>
        </is>
      </c>
      <c r="G23" s="9">
        <f>HYPERLINK("https://www.youtube.com/watch?v=cMaG7n_69r4", "영상 보기 ▶")</f>
        <v/>
      </c>
    </row>
    <row r="24" ht="26" customHeight="1">
      <c r="A24" s="2" t="n">
        <v>723</v>
      </c>
      <c r="B24" s="3" t="inlineStr">
        <is>
          <t>무조건</t>
        </is>
      </c>
      <c r="C24" s="4" t="inlineStr">
        <is>
          <t>No strings attached</t>
        </is>
      </c>
      <c r="D24" s="11" t="inlineStr">
        <is>
          <t>어떠한 부대조건도 없는, 대가 없는</t>
        </is>
      </c>
      <c r="E24" s="11" t="inlineStr">
        <is>
          <t>They offered me a scholarship with absolutely no strings attached.</t>
        </is>
      </c>
      <c r="F24" s="11" t="inlineStr">
        <is>
          <t>그들은 어떠한 부대조건도 없이 전액 장학금을 제안했어.</t>
        </is>
      </c>
      <c r="G24" s="5">
        <f>HYPERLINK("https://www.youtube.com/watch?v=cMaG7n_69r4", "영상 보기 ▶")</f>
        <v/>
      </c>
    </row>
    <row r="25" ht="26" customHeight="1">
      <c r="A25" s="6" t="n">
        <v>724</v>
      </c>
      <c r="B25" s="7" t="inlineStr">
        <is>
          <t>의심스런 조건</t>
        </is>
      </c>
      <c r="C25" s="8" t="inlineStr">
        <is>
          <t>It's too good to be true</t>
        </is>
      </c>
      <c r="D25" s="12" t="inlineStr">
        <is>
          <t>믿기 힘들 만큼 너무 좋아서 오히려 미심쩍다</t>
        </is>
      </c>
      <c r="E25" s="12" t="inlineStr">
        <is>
          <t>A luxury suite for $50 a night? It's too good to be true.</t>
        </is>
      </c>
      <c r="F25" s="12" t="inlineStr">
        <is>
          <t>특급 스위트룸이 1박에 50달러라고? 너무 파격적이라 미심쩍어.</t>
        </is>
      </c>
      <c r="G25" s="9">
        <f>HYPERLINK("https://www.youtube.com/watch?v=cMaG7n_69r4", "영상 보기 ▶")</f>
        <v/>
      </c>
    </row>
    <row r="26" ht="26" customHeight="1">
      <c r="A26" s="2" t="n">
        <v>725</v>
      </c>
      <c r="B26" s="3" t="inlineStr">
        <is>
          <t>우발 사건</t>
        </is>
      </c>
      <c r="C26" s="4" t="inlineStr">
        <is>
          <t>incident</t>
        </is>
      </c>
      <c r="D26" s="11" t="inlineStr">
        <is>
          <t>(예기치 않은) 우발적 사건, 사고</t>
        </is>
      </c>
      <c r="E26" s="11" t="inlineStr">
        <is>
          <t>Security handled the incident quickly and discreetly.</t>
        </is>
      </c>
      <c r="F26" s="11" t="inlineStr">
        <is>
          <t>보안팀은 그 우발적 소동을 신속하고 조용하게 처리했습니다.</t>
        </is>
      </c>
      <c r="G26" s="5">
        <f>HYPERLINK("https://www.youtube.com/watch?v=cMaG7n_69r4", "영상 보기 ▶")</f>
        <v/>
      </c>
    </row>
    <row r="27" ht="26" customHeight="1">
      <c r="A27" s="6" t="n">
        <v>726</v>
      </c>
      <c r="B27" s="7" t="inlineStr">
        <is>
          <t>숨은 의도</t>
        </is>
      </c>
      <c r="C27" s="8" t="inlineStr">
        <is>
          <t>What's the catch?</t>
        </is>
      </c>
      <c r="D27" s="12" t="inlineStr">
        <is>
          <t>숨은 꿍꿍이/함정이 뭐야? (너무 좋은 조건일 때)</t>
        </is>
      </c>
      <c r="E27" s="12" t="inlineStr">
        <is>
          <t>Free round-trip tickets? Okay, what's the catch?</t>
        </is>
      </c>
      <c r="F27" s="12" t="inlineStr">
        <is>
          <t>무료 왕복 항공권이라고? 좋아, 숨은 조건이나 함정이 뭔데?</t>
        </is>
      </c>
      <c r="G27" s="9">
        <f>HYPERLINK("https://www.youtube.com/watch?v=cMaG7n_69r4", "영상 보기 ▶")</f>
        <v/>
      </c>
    </row>
    <row r="28" ht="26" customHeight="1">
      <c r="A28" s="2" t="n">
        <v>727</v>
      </c>
      <c r="B28" s="3" t="inlineStr">
        <is>
          <t>세상 이치</t>
        </is>
      </c>
      <c r="C28" s="4" t="inlineStr">
        <is>
          <t>There's no such thing as a free lunch</t>
        </is>
      </c>
      <c r="D28" s="11" t="inlineStr">
        <is>
          <t>세상에 공짜 점심이란 없다 (반드시 대가가 따른다)</t>
        </is>
      </c>
      <c r="E28" s="11" t="inlineStr">
        <is>
          <t>Remember, in business, there's no such thing as a free lunch.</t>
        </is>
      </c>
      <c r="F28" s="11" t="inlineStr">
        <is>
          <t>명심해, 비즈니스 세계에 공짜 점심이란 절대 존재하지 않아.</t>
        </is>
      </c>
      <c r="G28" s="5">
        <f>HYPERLINK("https://www.youtube.com/watch?v=cMaG7n_69r4", "영상 보기 ▶")</f>
        <v/>
      </c>
    </row>
    <row r="29" ht="26" customHeight="1">
      <c r="A29" s="6" t="n">
        <v>728</v>
      </c>
      <c r="B29" s="7" t="inlineStr">
        <is>
          <t>성장 칭찬</t>
        </is>
      </c>
      <c r="C29" s="8" t="inlineStr">
        <is>
          <t>You've come a long way</t>
        </is>
      </c>
      <c r="D29" s="12" t="inlineStr">
        <is>
          <t>너 정말 엄청나게 성장하고 출세했구나!</t>
        </is>
      </c>
      <c r="E29" s="12" t="inlineStr">
        <is>
          <t>Look at your achievements; you've really come a long way!</t>
        </is>
      </c>
      <c r="F29" s="12" t="inlineStr">
        <is>
          <t>네가 이뤄낸 성과들을 봐, 너 정말 상상 이상으로 크게 성장했어!</t>
        </is>
      </c>
      <c r="G29" s="9">
        <f>HYPERLINK("https://www.youtube.com/watch?v=cMaG7n_69r4", "영상 보기 ▶")</f>
        <v/>
      </c>
    </row>
    <row r="30" ht="26" customHeight="1">
      <c r="A30" s="2" t="n">
        <v>729</v>
      </c>
      <c r="B30" s="3" t="inlineStr">
        <is>
          <t>진지한 질문</t>
        </is>
      </c>
      <c r="C30" s="4" t="inlineStr">
        <is>
          <t>It wasn't a rhetorical question</t>
        </is>
      </c>
      <c r="D30" s="11" t="inlineStr">
        <is>
          <t>그냥 해본 소리가 아니라 진짜 대답을 바란 질문이야</t>
        </is>
      </c>
      <c r="E30" s="11" t="inlineStr">
        <is>
          <t>Why did you skip the meeting? It wasn't a rhetorical question.</t>
        </is>
      </c>
      <c r="F30" s="11" t="inlineStr">
        <is>
          <t>왜 회의에 빠졌어? 그냥 묻는 척하는 게 아니라 진짜 대답해 봐.</t>
        </is>
      </c>
      <c r="G30" s="5">
        <f>HYPERLINK("https://www.youtube.com/watch?v=cMaG7n_69r4", "영상 보기 ▶")</f>
        <v/>
      </c>
    </row>
    <row r="31" ht="26" customHeight="1">
      <c r="A31" s="6" t="n">
        <v>730</v>
      </c>
      <c r="B31" s="7" t="inlineStr">
        <is>
          <t>만장일치</t>
        </is>
      </c>
      <c r="C31" s="8" t="inlineStr">
        <is>
          <t>unanimous</t>
        </is>
      </c>
      <c r="D31" s="12" t="inlineStr">
        <is>
          <t>만장일치의 (unanimous decision/support)</t>
        </is>
      </c>
      <c r="E31" s="12" t="inlineStr">
        <is>
          <t>The board reached a unanimous decision to expand overseas.</t>
        </is>
      </c>
      <c r="F31" s="12" t="inlineStr">
        <is>
          <t>이사회는 해외 진출을 만장일치로 결의했습니다.</t>
        </is>
      </c>
      <c r="G31" s="9">
        <f>HYPERLINK("https://www.youtube.com/watch?v=cMaG7n_69r4", "영상 보기 ▶")</f>
        <v/>
      </c>
    </row>
    <row r="32" ht="26" customHeight="1">
      <c r="A32" s="2" t="n">
        <v>731</v>
      </c>
      <c r="B32" s="3" t="inlineStr">
        <is>
          <t>선택 배려</t>
        </is>
      </c>
      <c r="C32" s="4" t="inlineStr">
        <is>
          <t>Whatever you want</t>
        </is>
      </c>
      <c r="D32" s="11" t="inlineStr">
        <is>
          <t>네가 원하는 거면 난 뭐든 좋아</t>
        </is>
      </c>
      <c r="E32" s="11" t="inlineStr">
        <is>
          <t>A: What do you want to have for lunch? B: Whatever you want.</t>
        </is>
      </c>
      <c r="F32" s="11" t="inlineStr">
        <is>
          <t>A: 점심 뭐 먹고 싶어? B: 네가 먹고 싶은 거면 난 뭐든 좋아.</t>
        </is>
      </c>
      <c r="G32" s="5">
        <f>HYPERLINK("https://www.youtube.com/watch?v=cMaG7n_69r4", "영상 보기 ▶")</f>
        <v/>
      </c>
    </row>
    <row r="33" ht="26" customHeight="1">
      <c r="A33" s="6" t="n">
        <v>732</v>
      </c>
      <c r="B33" s="7" t="inlineStr">
        <is>
          <t>전진/추진</t>
        </is>
      </c>
      <c r="C33" s="8" t="inlineStr">
        <is>
          <t>move forward</t>
        </is>
      </c>
      <c r="D33" s="12" t="inlineStr">
        <is>
          <t>앞으로 나아가다, 계속 추진하다</t>
        </is>
      </c>
      <c r="E33" s="12" t="inlineStr">
        <is>
          <t>Despite the setbacks, we decided to move forward with the plan.</t>
        </is>
      </c>
      <c r="F33" s="12" t="inlineStr">
        <is>
          <t>차질에도 불구하고 우리는 그 계획을 계속 밀고 나가기로 결정했습니다.</t>
        </is>
      </c>
      <c r="G33" s="9">
        <f>HYPERLINK("https://www.youtube.com/watch?v=cMaG7n_69r4", "영상 보기 ▶")</f>
        <v/>
      </c>
    </row>
    <row r="34" ht="26" customHeight="1">
      <c r="A34" s="2" t="n">
        <v>733</v>
      </c>
      <c r="B34" s="3" t="inlineStr">
        <is>
          <t>상황 호전</t>
        </is>
      </c>
      <c r="C34" s="4" t="inlineStr">
        <is>
          <t>Things are picking up</t>
        </is>
      </c>
      <c r="D34" s="11" t="inlineStr">
        <is>
          <t>상황이 점점 나아지고 활기를 띠고 있어</t>
        </is>
      </c>
      <c r="E34" s="11" t="inlineStr">
        <is>
          <t>Sales were slow in January, but things are picking up now.</t>
        </is>
      </c>
      <c r="F34" s="11" t="inlineStr">
        <is>
          <t>1월엔 매출이 주춤했지만 지금은 점점 활기를 띠고 있어요.</t>
        </is>
      </c>
      <c r="G34" s="5">
        <f>HYPERLINK("https://www.youtube.com/watch?v=cMaG7n_69r4", "영상 보기 ▶")</f>
        <v/>
      </c>
    </row>
    <row r="35" ht="26" customHeight="1">
      <c r="A35" s="6" t="n">
        <v>734</v>
      </c>
      <c r="B35" s="7" t="inlineStr">
        <is>
          <t>마침내</t>
        </is>
      </c>
      <c r="C35" s="8" t="inlineStr">
        <is>
          <t>It's about time</t>
        </is>
      </c>
      <c r="D35" s="12" t="inlineStr">
        <is>
          <t>진작 그랬어야지! / 마침내 때가 됐네</t>
        </is>
      </c>
      <c r="E35" s="12" t="inlineStr">
        <is>
          <t>You finally got promoted? It's about time!</t>
        </is>
      </c>
      <c r="F35" s="12" t="inlineStr">
        <is>
          <t>너 드디어 승진했다고? 진작 됐어야지, 축하해!</t>
        </is>
      </c>
      <c r="G35" s="9">
        <f>HYPERLINK("https://www.youtube.com/watch?v=cMaG7n_69r4", "영상 보기 ▶")</f>
        <v/>
      </c>
    </row>
    <row r="36" ht="26" customHeight="1">
      <c r="A36" s="2" t="n">
        <v>735</v>
      </c>
      <c r="B36" s="3" t="inlineStr">
        <is>
          <t>이어서 계속</t>
        </is>
      </c>
      <c r="C36" s="4" t="inlineStr">
        <is>
          <t>Let's pick up where we left off</t>
        </is>
      </c>
      <c r="D36" s="11" t="inlineStr">
        <is>
          <t>지난번에 멈췄던 부분부터 이어서 계속합시다</t>
        </is>
      </c>
      <c r="E36" s="11" t="inlineStr">
        <is>
          <t>We ran out of time yesterday, so let's pick up where we left off.</t>
        </is>
      </c>
      <c r="F36" s="11" t="inlineStr">
        <is>
          <t>어제 시간이 부족했으니 지난번 중단했던 부분부터 이어서 합시다.</t>
        </is>
      </c>
      <c r="G36" s="5">
        <f>HYPERLINK("https://www.youtube.com/watch?v=cMaG7n_69r4", "영상 보기 ▶")</f>
        <v/>
      </c>
    </row>
    <row r="37" ht="26" customHeight="1">
      <c r="A37" s="6" t="n">
        <v>736</v>
      </c>
      <c r="B37" s="7" t="inlineStr">
        <is>
          <t>열망/의욕</t>
        </is>
      </c>
      <c r="C37" s="8" t="inlineStr">
        <is>
          <t>eager</t>
        </is>
      </c>
      <c r="D37" s="12" t="inlineStr">
        <is>
          <t>열렬히 바라는, 의욕이 넘치는</t>
        </is>
      </c>
      <c r="E37" s="12" t="inlineStr">
        <is>
          <t>She is eager to take on more responsibilities.</t>
        </is>
      </c>
      <c r="F37" s="12" t="inlineStr">
        <is>
          <t>그녀는 더 많은 책임을 맡고 싶어 의욕이 넘칩니다.</t>
        </is>
      </c>
      <c r="G37" s="9">
        <f>HYPERLINK("https://www.youtube.com/watch?v=cMaG7n_69r4", "영상 보기 ▶")</f>
        <v/>
      </c>
    </row>
    <row r="38" ht="26" customHeight="1">
      <c r="A38" s="2" t="n">
        <v>737</v>
      </c>
      <c r="B38" s="3" t="inlineStr">
        <is>
          <t>유리한 형세</t>
        </is>
      </c>
      <c r="C38" s="4" t="inlineStr">
        <is>
          <t>in one's favor</t>
        </is>
      </c>
      <c r="D38" s="11" t="inlineStr">
        <is>
          <t>~에게 유리하게, 호의적으로</t>
        </is>
      </c>
      <c r="E38" s="11" t="inlineStr">
        <is>
          <t>The recent exchange rate changes are working in our favor.</t>
        </is>
      </c>
      <c r="F38" s="11" t="inlineStr">
        <is>
          <t>최근의 환율 변동은 우리에게 대단히 유리하게 작용하고 있습니다.</t>
        </is>
      </c>
      <c r="G38" s="5">
        <f>HYPERLINK("https://www.youtube.com/watch?v=cMaG7n_69r4", "영상 보기 ▶")</f>
        <v/>
      </c>
    </row>
    <row r="39" ht="26" customHeight="1">
      <c r="A39" s="6" t="n">
        <v>738</v>
      </c>
      <c r="B39" s="7" t="inlineStr">
        <is>
          <t>바쁜 중</t>
        </is>
      </c>
      <c r="C39" s="8" t="inlineStr">
        <is>
          <t>I'm in the middle of something</t>
        </is>
      </c>
      <c r="D39" s="12" t="inlineStr">
        <is>
          <t>나 지금 한창 다른 작업 중이야 (이따가 얘기하자)</t>
        </is>
      </c>
      <c r="E39" s="12" t="inlineStr">
        <is>
          <t>Can I call you back? I'm in the middle of something right now.</t>
        </is>
      </c>
      <c r="F39" s="12" t="inlineStr">
        <is>
          <t>내가 다시 전화해도 될까? 나 지금 뭐 하던 중이라서.</t>
        </is>
      </c>
      <c r="G39" s="9">
        <f>HYPERLINK("https://www.youtube.com/watch?v=cMaG7n_69r4", "영상 보기 ▶")</f>
        <v/>
      </c>
    </row>
    <row r="40" ht="26" customHeight="1">
      <c r="A40" s="2" t="n">
        <v>739</v>
      </c>
      <c r="B40" s="3" t="inlineStr">
        <is>
          <t>망설임</t>
        </is>
      </c>
      <c r="C40" s="4" t="inlineStr">
        <is>
          <t>hesitant</t>
        </is>
      </c>
      <c r="D40" s="11" t="inlineStr">
        <is>
          <t>(확신이 없어) 주저하는, 망설이는</t>
        </is>
      </c>
      <c r="E40" s="11" t="inlineStr">
        <is>
          <t>Investors are hesitant to commit funds in this volatile market.</t>
        </is>
      </c>
      <c r="F40" s="11" t="inlineStr">
        <is>
          <t>투자자들은 이 변동성 큰 시장에서 자금을 투입하기를 주저하고 있습니다.</t>
        </is>
      </c>
      <c r="G40" s="5">
        <f>HYPERLINK("https://www.youtube.com/watch?v=cMaG7n_69r4", "영상 보기 ▶")</f>
        <v/>
      </c>
    </row>
    <row r="41" ht="26" customHeight="1">
      <c r="A41" s="6" t="n">
        <v>740</v>
      </c>
      <c r="B41" s="7" t="inlineStr">
        <is>
          <t>내키지 않음</t>
        </is>
      </c>
      <c r="C41" s="8" t="inlineStr">
        <is>
          <t>reluctant</t>
        </is>
      </c>
      <c r="D41" s="12" t="inlineStr">
        <is>
          <t>(하기 싫어서) 꺼리는, 마지못해 하는</t>
        </is>
      </c>
      <c r="E41" s="12" t="inlineStr">
        <is>
          <t>He was reluctant to admit that he had made a misjudgment.</t>
        </is>
      </c>
      <c r="F41" s="12" t="inlineStr">
        <is>
          <t>그는 자신이 오판했다는 사실을 인정하기를 몹시 꺼렸습니다.</t>
        </is>
      </c>
      <c r="G41" s="9">
        <f>HYPERLINK("https://www.youtube.com/watch?v=cMaG7n_69r4", "영상 보기 ▶")</f>
        <v/>
      </c>
    </row>
    <row r="42" ht="26" customHeight="1">
      <c r="A42" s="2" t="n">
        <v>741</v>
      </c>
      <c r="B42" s="3" t="inlineStr">
        <is>
          <t>주저 금지</t>
        </is>
      </c>
      <c r="C42" s="4" t="inlineStr">
        <is>
          <t>hesitate</t>
        </is>
      </c>
      <c r="D42" s="11" t="inlineStr">
        <is>
          <t>망설이다 (Please don't hesitate to ask)</t>
        </is>
      </c>
      <c r="E42" s="11" t="inlineStr">
        <is>
          <t>If you have any concerns, please do not hesitate to reach out.</t>
        </is>
      </c>
      <c r="F42" s="11" t="inlineStr">
        <is>
          <t>우려되는 점이 있으시면 언제든지 주저 말고 연락 주시기 바랍니다.</t>
        </is>
      </c>
      <c r="G42" s="5">
        <f>HYPERLINK("https://www.youtube.com/watch?v=cMaG7n_69r4", "영상 보기 ▶")</f>
        <v/>
      </c>
    </row>
    <row r="43" ht="26" customHeight="1">
      <c r="A43" s="6" t="n">
        <v>742</v>
      </c>
      <c r="B43" s="7" t="inlineStr">
        <is>
          <t>결정 권한</t>
        </is>
      </c>
      <c r="C43" s="8" t="inlineStr">
        <is>
          <t>be up to (사람)</t>
        </is>
      </c>
      <c r="D43" s="12" t="inlineStr">
        <is>
          <t>~의 재량/결정에 달려 있다</t>
        </is>
      </c>
      <c r="E43" s="12" t="inlineStr">
        <is>
          <t>Whether we launch this month is entirely up to you.</t>
        </is>
      </c>
      <c r="F43" s="12" t="inlineStr">
        <is>
          <t>이번 달에 출시할지 여부는 전적으로 당신의 결정에 달려 있습니다.</t>
        </is>
      </c>
      <c r="G43" s="9">
        <f>HYPERLINK("https://www.youtube.com/watch?v=cMaG7n_69r4", "영상 보기 ▶")</f>
        <v/>
      </c>
    </row>
    <row r="44" ht="26" customHeight="1">
      <c r="A44" s="2" t="n">
        <v>743</v>
      </c>
      <c r="B44" s="3" t="inlineStr">
        <is>
          <t>의향/참여</t>
        </is>
      </c>
      <c r="C44" s="4" t="inlineStr">
        <is>
          <t>be up for</t>
        </is>
      </c>
      <c r="D44" s="11" t="inlineStr">
        <is>
          <t>~할 의향이 있다, 즐겨 참여하다</t>
        </is>
      </c>
      <c r="E44" s="11" t="inlineStr">
        <is>
          <t>Are you up for grabbing a quick bite after work?</t>
        </is>
      </c>
      <c r="F44" s="11" t="inlineStr">
        <is>
          <t>퇴근하고 간단히 뭐 좀 먹으러 갈 의향 있어?</t>
        </is>
      </c>
      <c r="G44" s="5">
        <f>HYPERLINK("https://www.youtube.com/watch?v=cMaG7n_69r4", "영상 보기 ▶")</f>
        <v/>
      </c>
    </row>
    <row r="45" ht="26" customHeight="1">
      <c r="A45" s="6" t="n">
        <v>744</v>
      </c>
      <c r="B45" s="7" t="inlineStr">
        <is>
          <t>동의 반문</t>
        </is>
      </c>
      <c r="C45" s="8" t="inlineStr">
        <is>
          <t>Who isn't?</t>
        </is>
      </c>
      <c r="D45" s="12" t="inlineStr">
        <is>
          <t>누군들 안 그러겠어요? / 당연히 다들 그렇죠!</t>
        </is>
      </c>
      <c r="E45" s="12" t="inlineStr">
        <is>
          <t>A: I'm completely exhausted. B: Who isn't these days?</t>
        </is>
      </c>
      <c r="F45" s="12" t="inlineStr">
        <is>
          <t>A: 나 완전 기진맥진했어. B: 요즘 안 그런 사람이 어디 있겠어?</t>
        </is>
      </c>
      <c r="G45" s="9">
        <f>HYPERLINK("https://www.youtube.com/watch?v=cMaG7n_69r4", "영상 보기 ▶")</f>
        <v/>
      </c>
    </row>
    <row r="46" ht="26" customHeight="1">
      <c r="A46" s="2" t="n">
        <v>745</v>
      </c>
      <c r="B46" s="3" t="inlineStr">
        <is>
          <t>아쉬운 권한</t>
        </is>
      </c>
      <c r="C46" s="4" t="inlineStr">
        <is>
          <t>I wish it were up to me</t>
        </is>
      </c>
      <c r="D46" s="11" t="inlineStr">
        <is>
          <t>내 권한/마음대로 할 수 있는 일이면 좋을 텐데</t>
        </is>
      </c>
      <c r="E46" s="11" t="inlineStr">
        <is>
          <t>I'd love to approve your leave; I wish it were up to me.</t>
        </is>
      </c>
      <c r="F46" s="11" t="inlineStr">
        <is>
          <t>휴가 승인해 드리고 싶지만 제 권한 밖이라 안타깝네요.</t>
        </is>
      </c>
      <c r="G46" s="5">
        <f>HYPERLINK("https://www.youtube.com/watch?v=cMaG7n_69r4", "영상 보기 ▶")</f>
        <v/>
      </c>
    </row>
    <row r="47" ht="26" customHeight="1">
      <c r="A47" s="6" t="n">
        <v>746</v>
      </c>
      <c r="B47" s="7" t="inlineStr">
        <is>
          <t>꿍꿍이</t>
        </is>
      </c>
      <c r="C47" s="8" t="inlineStr">
        <is>
          <t>be up to something</t>
        </is>
      </c>
      <c r="D47" s="12" t="inlineStr">
        <is>
          <t>뭔가 속셈/꿍꿍이를 꾸미고 있다</t>
        </is>
      </c>
      <c r="E47" s="12" t="inlineStr">
        <is>
          <t>They're whispering in the hallway; they must be up to something.</t>
        </is>
      </c>
      <c r="F47" s="12" t="inlineStr">
        <is>
          <t>복도에서 수군거리는 걸 보니 분명 무슨 꿍꿍이를 꾸미고 있는 게 틀림없어.</t>
        </is>
      </c>
      <c r="G47" s="9">
        <f>HYPERLINK("https://www.youtube.com/watch?v=cMaG7n_69r4", "영상 보기 ▶")</f>
        <v/>
      </c>
    </row>
    <row r="48" ht="26" customHeight="1">
      <c r="A48" s="2" t="n">
        <v>747</v>
      </c>
      <c r="B48" s="3" t="inlineStr">
        <is>
          <t>선물 방문</t>
        </is>
      </c>
      <c r="C48" s="4" t="inlineStr">
        <is>
          <t>I come bearing gifts</t>
        </is>
      </c>
      <c r="D48" s="11" t="inlineStr">
        <is>
          <t>선물 들고 찾아왔지요! (반가운 방문)</t>
        </is>
      </c>
      <c r="E48" s="11" t="inlineStr">
        <is>
          <t>Good morning, team! I come bearing gifts: fresh pastries!</t>
        </is>
      </c>
      <c r="F48" s="11" t="inlineStr">
        <is>
          <t>좋은 아침입니다, 여러분! 갓 구운 빵 선물 들고 왔어요!</t>
        </is>
      </c>
      <c r="G48" s="5">
        <f>HYPERLINK("https://www.youtube.com/watch?v=cMaG7n_69r4", "영상 보기 ▶")</f>
        <v/>
      </c>
    </row>
    <row r="49" ht="26" customHeight="1">
      <c r="A49" s="6" t="n">
        <v>748</v>
      </c>
      <c r="B49" s="7" t="inlineStr">
        <is>
          <t>비용 부담</t>
        </is>
      </c>
      <c r="C49" s="8" t="inlineStr">
        <is>
          <t>bear (비용/책임)</t>
        </is>
      </c>
      <c r="D49" s="12" t="inlineStr">
        <is>
          <t>(비용이나 책임을) 짊어지다, 부담하다</t>
        </is>
      </c>
      <c r="E49" s="12" t="inlineStr">
        <is>
          <t>The supplier agreed to bear all transportation costs.</t>
        </is>
      </c>
      <c r="F49" s="12" t="inlineStr">
        <is>
          <t>공급업체 측에서 모든 운송 비용을 부담하기로 합의했습니다.</t>
        </is>
      </c>
      <c r="G49" s="9">
        <f>HYPERLINK("https://www.youtube.com/watch?v=cMaG7n_69r4", "영상 보기 ▶")</f>
        <v/>
      </c>
    </row>
    <row r="50" ht="26" customHeight="1">
      <c r="A50" s="2" t="n">
        <v>749</v>
      </c>
      <c r="B50" s="3" t="inlineStr">
        <is>
          <t>고통 인내</t>
        </is>
      </c>
      <c r="C50" s="4" t="inlineStr">
        <is>
          <t>bear (인내)</t>
        </is>
      </c>
      <c r="D50" s="11" t="inlineStr">
        <is>
          <t>참다, 견디다 (can't bear the thought)</t>
        </is>
      </c>
      <c r="E50" s="11" t="inlineStr">
        <is>
          <t>I can't bear the thought of starting all over again.</t>
        </is>
      </c>
      <c r="F50" s="11" t="inlineStr">
        <is>
          <t>처음부터 다시 시작해야 한다는 생각만 해도 도저히 못 견디겠어.</t>
        </is>
      </c>
      <c r="G50" s="5">
        <f>HYPERLINK("https://www.youtube.com/watch?v=cMaG7n_69r4", "영상 보기 ▶")</f>
        <v/>
      </c>
    </row>
    <row r="51" ht="26" customHeight="1">
      <c r="A51" s="6" t="n">
        <v>750</v>
      </c>
      <c r="B51" s="7" t="inlineStr">
        <is>
          <t>기억/메모</t>
        </is>
      </c>
      <c r="C51" s="8" t="inlineStr">
        <is>
          <t>I'll make a note of it</t>
        </is>
      </c>
      <c r="D51" s="12" t="inlineStr">
        <is>
          <t>잊지 않도록 메모해 두고 명심하겠습니다</t>
        </is>
      </c>
      <c r="E51" s="12" t="inlineStr">
        <is>
          <t>Thank you for the constructive feedback; I'll make a note of it.</t>
        </is>
      </c>
      <c r="F51" s="12" t="inlineStr">
        <is>
          <t>건설적인 피드백 감사드립니다. 메모해 두고 꼭 명심하겠습니다.</t>
        </is>
      </c>
      <c r="G51" s="9">
        <f>HYPERLINK("https://www.youtube.com/watch?v=cMaG7n_69r4", "영상 보기 ▶")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.9" customWidth="1" min="2" max="2"/>
    <col width="38" customWidth="1" min="3" max="3"/>
    <col width="48" customWidth="1" min="4" max="4"/>
    <col width="71" customWidth="1" min="5" max="5"/>
    <col width="63.3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751</v>
      </c>
      <c r="B2" s="3" t="inlineStr">
        <is>
          <t>단점/부정</t>
        </is>
      </c>
      <c r="C2" s="4" t="inlineStr">
        <is>
          <t>downside</t>
        </is>
      </c>
      <c r="D2" s="11" t="inlineStr">
        <is>
          <t>단점, 부정적인 측면</t>
        </is>
      </c>
      <c r="E2" s="11" t="inlineStr">
        <is>
          <t>The apartment is spacious, but the downside is the long commute.</t>
        </is>
      </c>
      <c r="F2" s="11" t="inlineStr">
        <is>
          <t>아파트는 넓고 좋은데 단점은 출퇴근 거리가 너무 멀다는 점이야.</t>
        </is>
      </c>
      <c r="G2" s="5">
        <f>HYPERLINK("https://www.youtube.com/watch?v=z3kOpCtpj_g", "영상 보기 ▶")</f>
        <v/>
      </c>
    </row>
    <row r="3" ht="26" customHeight="1">
      <c r="A3" s="6" t="n">
        <v>752</v>
      </c>
      <c r="B3" s="7" t="inlineStr">
        <is>
          <t>거액</t>
        </is>
      </c>
      <c r="C3" s="8" t="inlineStr">
        <is>
          <t>fortune</t>
        </is>
      </c>
      <c r="D3" s="12" t="inlineStr">
        <is>
          <t>거금, 막대한 돈 (cost a fortune)</t>
        </is>
      </c>
      <c r="E3" s="12" t="inlineStr">
        <is>
          <t>Eating out every single day will cost you a fortune.</t>
        </is>
      </c>
      <c r="F3" s="12" t="inlineStr">
        <is>
          <t>매일 외식하다가는 엄청난 거금이 깨질 거야.</t>
        </is>
      </c>
      <c r="G3" s="9">
        <f>HYPERLINK("https://www.youtube.com/watch?v=z3kOpCtpj_g", "영상 보기 ▶")</f>
        <v/>
      </c>
    </row>
    <row r="4" ht="26" customHeight="1">
      <c r="A4" s="2" t="n">
        <v>753</v>
      </c>
      <c r="B4" s="3" t="inlineStr">
        <is>
          <t>엄청난 비용</t>
        </is>
      </c>
      <c r="C4" s="4" t="inlineStr">
        <is>
          <t>It cost me an arm and a leg</t>
        </is>
      </c>
      <c r="D4" s="11" t="inlineStr">
        <is>
          <t>엄청난 거금을 치렀어, 비싸게 줬어</t>
        </is>
      </c>
      <c r="E4" s="11" t="inlineStr">
        <is>
          <t>Repairing my imported car cost me an arm and a leg.</t>
        </is>
      </c>
      <c r="F4" s="11" t="inlineStr">
        <is>
          <t>수입차 수리하느라 팔다리가 떨어져 나갈 만큼 엄청난 돈을 썼어.</t>
        </is>
      </c>
      <c r="G4" s="5">
        <f>HYPERLINK("https://www.youtube.com/watch?v=z3kOpCtpj_g", "영상 보기 ▶")</f>
        <v/>
      </c>
    </row>
    <row r="5" ht="26" customHeight="1">
      <c r="A5" s="6" t="n">
        <v>754</v>
      </c>
      <c r="B5" s="7" t="inlineStr">
        <is>
          <t>통근</t>
        </is>
      </c>
      <c r="C5" s="8" t="inlineStr">
        <is>
          <t>commute</t>
        </is>
      </c>
      <c r="D5" s="12" t="inlineStr">
        <is>
          <t>통근하다, 출퇴근길</t>
        </is>
      </c>
      <c r="E5" s="12" t="inlineStr">
        <is>
          <t>My morning commute takes about 45 minutes by subway.</t>
        </is>
      </c>
      <c r="F5" s="12" t="inlineStr">
        <is>
          <t>아침 출근길은 지하철로 약 45분 정도 걸립니다.</t>
        </is>
      </c>
      <c r="G5" s="9">
        <f>HYPERLINK("https://www.youtube.com/watch?v=z3kOpCtpj_g", "영상 보기 ▶")</f>
        <v/>
      </c>
    </row>
    <row r="6" ht="26" customHeight="1">
      <c r="A6" s="2" t="n">
        <v>755</v>
      </c>
      <c r="B6" s="3" t="inlineStr">
        <is>
          <t>장점/긍정</t>
        </is>
      </c>
      <c r="C6" s="4" t="inlineStr">
        <is>
          <t>upside</t>
        </is>
      </c>
      <c r="D6" s="11" t="inlineStr">
        <is>
          <t>장점, 긍정적인 면</t>
        </is>
      </c>
      <c r="E6" s="11" t="inlineStr">
        <is>
          <t>On the upside, working from home saves a lot of travel time.</t>
        </is>
      </c>
      <c r="F6" s="11" t="inlineStr">
        <is>
          <t>긍정적인 측면을 보자면 재택근무는 이동 시간을 크게 아껴줍니다.</t>
        </is>
      </c>
      <c r="G6" s="5">
        <f>HYPERLINK("https://www.youtube.com/watch?v=z3kOpCtpj_g", "영상 보기 ▶")</f>
        <v/>
      </c>
    </row>
    <row r="7" ht="26" customHeight="1">
      <c r="A7" s="6" t="n">
        <v>756</v>
      </c>
      <c r="B7" s="7" t="inlineStr">
        <is>
          <t>대화 유도</t>
        </is>
      </c>
      <c r="C7" s="8" t="inlineStr">
        <is>
          <t>So, what's your story?</t>
        </is>
      </c>
      <c r="D7" s="12" t="inlineStr">
        <is>
          <t>그래, 당신은 어떤 사람인가요? 어떤 삶을 살아오셨나요?</t>
        </is>
      </c>
      <c r="E7" s="12" t="inlineStr">
        <is>
          <t>I've heard about your career change. So, what's your story?</t>
        </is>
      </c>
      <c r="F7" s="12" t="inlineStr">
        <is>
          <t>이직하셨다는 이야기 들었어요. 어떤 사연이 있으신지 들려주실래요?</t>
        </is>
      </c>
      <c r="G7" s="9">
        <f>HYPERLINK("https://www.youtube.com/watch?v=z3kOpCtpj_g", "영상 보기 ▶")</f>
        <v/>
      </c>
    </row>
    <row r="8" ht="26" customHeight="1">
      <c r="A8" s="2" t="n">
        <v>757</v>
      </c>
      <c r="B8" s="3" t="inlineStr">
        <is>
          <t>가능성</t>
        </is>
      </c>
      <c r="C8" s="4" t="inlineStr">
        <is>
          <t>promise (가능성)</t>
        </is>
      </c>
      <c r="D8" s="11" t="inlineStr">
        <is>
          <t>촉망, 장래성 (show great promise)</t>
        </is>
      </c>
      <c r="E8" s="11" t="inlineStr">
        <is>
          <t>This young engineer shows immense promise.</t>
        </is>
      </c>
      <c r="F8" s="11" t="inlineStr">
        <is>
          <t>이 젊은 엔지니어는 대단한 장래성과 잠재력을 보여줍니다.</t>
        </is>
      </c>
      <c r="G8" s="5">
        <f>HYPERLINK("https://www.youtube.com/watch?v=z3kOpCtpj_g", "영상 보기 ▶")</f>
        <v/>
      </c>
    </row>
    <row r="9" ht="26" customHeight="1">
      <c r="A9" s="6" t="n">
        <v>758</v>
      </c>
      <c r="B9" s="7" t="inlineStr">
        <is>
          <t>유망함</t>
        </is>
      </c>
      <c r="C9" s="8" t="inlineStr">
        <is>
          <t>promising</t>
        </is>
      </c>
      <c r="D9" s="12" t="inlineStr">
        <is>
          <t>유망한, 전망이 밝은</t>
        </is>
      </c>
      <c r="E9" s="12" t="inlineStr">
        <is>
          <t>The early trial results are very promising.</t>
        </is>
      </c>
      <c r="F9" s="12" t="inlineStr">
        <is>
          <t>초기 임상 시험 결과가 대단히 유망하고 희망적입니다.</t>
        </is>
      </c>
      <c r="G9" s="9">
        <f>HYPERLINK("https://www.youtube.com/watch?v=z3kOpCtpj_g", "영상 보기 ▶")</f>
        <v/>
      </c>
    </row>
    <row r="10" ht="26" customHeight="1">
      <c r="A10" s="2" t="n">
        <v>759</v>
      </c>
      <c r="B10" s="3" t="inlineStr">
        <is>
          <t>최고 강조</t>
        </is>
      </c>
      <c r="C10" s="4" t="inlineStr">
        <is>
          <t>beat (최고)</t>
        </is>
      </c>
      <c r="D10" s="11" t="inlineStr">
        <is>
          <t>이보다 더 좋을 수 없다, 최고다</t>
        </is>
      </c>
      <c r="E10" s="11" t="inlineStr">
        <is>
          <t>Nothing beats a cup of warm tea on a freezing day.</t>
        </is>
      </c>
      <c r="F10" s="11" t="inlineStr">
        <is>
          <t>추운 날씨엔 따뜻한 차 한 잔만 한 최고가 없지.</t>
        </is>
      </c>
      <c r="G10" s="5">
        <f>HYPERLINK("https://www.youtube.com/watch?v=z3kOpCtpj_g", "영상 보기 ▶")</f>
        <v/>
      </c>
    </row>
    <row r="11" ht="26" customHeight="1">
      <c r="A11" s="6" t="n">
        <v>760</v>
      </c>
      <c r="B11" s="7" t="inlineStr">
        <is>
          <t>공통/상호</t>
        </is>
      </c>
      <c r="C11" s="8" t="inlineStr">
        <is>
          <t>mutual</t>
        </is>
      </c>
      <c r="D11" s="12" t="inlineStr">
        <is>
          <t>상호 간의, 공통의 (mutual friend / respect)</t>
        </is>
      </c>
      <c r="E11" s="12" t="inlineStr">
        <is>
          <t>We met through a mutual friend at university.</t>
        </is>
      </c>
      <c r="F11" s="12" t="inlineStr">
        <is>
          <t>우리는 대학 시절 서로 아는 공통 지인을 통해 만났어.</t>
        </is>
      </c>
      <c r="G11" s="9">
        <f>HYPERLINK("https://www.youtube.com/watch?v=z3kOpCtpj_g", "영상 보기 ▶")</f>
        <v/>
      </c>
    </row>
    <row r="12" ht="26" customHeight="1">
      <c r="A12" s="2" t="n">
        <v>761</v>
      </c>
      <c r="B12" s="3" t="inlineStr">
        <is>
          <t>지인</t>
        </is>
      </c>
      <c r="C12" s="4" t="inlineStr">
        <is>
          <t>acquaintance</t>
        </is>
      </c>
      <c r="D12" s="11" t="inlineStr">
        <is>
          <t>(친구까진 아니고) 알고 지내는 사람, 지인</t>
        </is>
      </c>
      <c r="E12" s="11" t="inlineStr">
        <is>
          <t>He is more of a professional acquaintance than a close friend.</t>
        </is>
      </c>
      <c r="F12" s="11" t="inlineStr">
        <is>
          <t>그는 절친이라기보다는 업무상 알고 지내는 지인에 가까워.</t>
        </is>
      </c>
      <c r="G12" s="5">
        <f>HYPERLINK("https://www.youtube.com/watch?v=z3kOpCtpj_g", "영상 보기 ▶")</f>
        <v/>
      </c>
    </row>
    <row r="13" ht="26" customHeight="1">
      <c r="A13" s="6" t="n">
        <v>762</v>
      </c>
      <c r="B13" s="7" t="inlineStr">
        <is>
          <t>취미 질문</t>
        </is>
      </c>
      <c r="C13" s="8" t="inlineStr">
        <is>
          <t>What do you like to do outside of work?</t>
        </is>
      </c>
      <c r="D13" s="12" t="inlineStr">
        <is>
          <t>퇴근 후나 주말에는 주로 어떤 취미를 즐기세요?</t>
        </is>
      </c>
      <c r="E13" s="12" t="inlineStr">
        <is>
          <t>Small talk question: What do you like to do outside of work?</t>
        </is>
      </c>
      <c r="F13" s="12" t="inlineStr">
        <is>
          <t>스몰토크 질문: 일 끝나고 여가 시간에는 주로 뭘 하면서 보내세요?</t>
        </is>
      </c>
      <c r="G13" s="9">
        <f>HYPERLINK("https://www.youtube.com/watch?v=z3kOpCtpj_g", "영상 보기 ▶")</f>
        <v/>
      </c>
    </row>
    <row r="14" ht="26" customHeight="1">
      <c r="A14" s="2" t="n">
        <v>763</v>
      </c>
      <c r="B14" s="3" t="inlineStr">
        <is>
          <t>계기 질문</t>
        </is>
      </c>
      <c r="C14" s="4" t="inlineStr">
        <is>
          <t>How did you get into ~?</t>
        </is>
      </c>
      <c r="D14" s="11" t="inlineStr">
        <is>
          <t>어쩌다가 그 일/취미를 시작하게 되셨어요?</t>
        </is>
      </c>
      <c r="E14" s="11" t="inlineStr">
        <is>
          <t>How did you get into graphic design in the first place?</t>
        </is>
      </c>
      <c r="F14" s="11" t="inlineStr">
        <is>
          <t>애초에 그래픽 디자인은 어쩌다가 시작하게 되신 거예요?</t>
        </is>
      </c>
      <c r="G14" s="5">
        <f>HYPERLINK("https://www.youtube.com/watch?v=z3kOpCtpj_g", "영상 보기 ▶")</f>
        <v/>
      </c>
    </row>
    <row r="15" ht="26" customHeight="1">
      <c r="A15" s="6" t="n">
        <v>764</v>
      </c>
      <c r="B15" s="7" t="inlineStr">
        <is>
          <t>최고 명장면</t>
        </is>
      </c>
      <c r="C15" s="8" t="inlineStr">
        <is>
          <t>highlight</t>
        </is>
      </c>
      <c r="D15" s="12" t="inlineStr">
        <is>
          <t>가장 빛나는 부분, 하이라이트</t>
        </is>
      </c>
      <c r="E15" s="12" t="inlineStr">
        <is>
          <t>The keynote address was definitely the highlight of the summit.</t>
        </is>
      </c>
      <c r="F15" s="12" t="inlineStr">
        <is>
          <t>기조연설은 확실히 이번 정상회의의 최고의 하이라이트였어.</t>
        </is>
      </c>
      <c r="G15" s="9">
        <f>HYPERLINK("https://www.youtube.com/watch?v=z3kOpCtpj_g", "영상 보기 ▶")</f>
        <v/>
      </c>
    </row>
    <row r="16" ht="26" customHeight="1">
      <c r="A16" s="2" t="n">
        <v>765</v>
      </c>
      <c r="B16" s="3" t="inlineStr">
        <is>
          <t>준비 완료</t>
        </is>
      </c>
      <c r="C16" s="4" t="inlineStr">
        <is>
          <t>be all set</t>
        </is>
      </c>
      <c r="D16" s="11" t="inlineStr">
        <is>
          <t>모든 준비가 완벽히 끝나다</t>
        </is>
      </c>
      <c r="E16" s="11" t="inlineStr">
        <is>
          <t>Double-check your passport and you'll be all set to go.</t>
        </is>
      </c>
      <c r="F16" s="11" t="inlineStr">
        <is>
          <t>여권만 다시 확인하시면 출발 준비는 완벽히 끝납니다.</t>
        </is>
      </c>
      <c r="G16" s="5">
        <f>HYPERLINK("https://www.youtube.com/watch?v=z3kOpCtpj_g", "영상 보기 ▶")</f>
        <v/>
      </c>
    </row>
    <row r="17" ht="26" customHeight="1">
      <c r="A17" s="6" t="n">
        <v>766</v>
      </c>
      <c r="B17" s="7" t="inlineStr">
        <is>
          <t>업무 완료 안내</t>
        </is>
      </c>
      <c r="C17" s="8" t="inlineStr">
        <is>
          <t>You're all set</t>
        </is>
      </c>
      <c r="D17" s="12" t="inlineStr">
        <is>
          <t>모든 처리가 끝났습니다 / 이제 가셔도 좋습니다</t>
        </is>
      </c>
      <c r="E17" s="12" t="inlineStr">
        <is>
          <t>Here is your receipt and card; you're all set!</t>
        </is>
      </c>
      <c r="F17" s="12" t="inlineStr">
        <is>
          <t>영수증과 카드 여기 있습니다. 모든 처리가 완료되었습니다!</t>
        </is>
      </c>
      <c r="G17" s="9">
        <f>HYPERLINK("https://www.youtube.com/watch?v=z3kOpCtpj_g", "영상 보기 ▶")</f>
        <v/>
      </c>
    </row>
    <row r="18" ht="26" customHeight="1">
      <c r="A18" s="2" t="n">
        <v>767</v>
      </c>
      <c r="B18" s="3" t="inlineStr">
        <is>
          <t>팀 준비 완료</t>
        </is>
      </c>
      <c r="C18" s="4" t="inlineStr">
        <is>
          <t>We're all set</t>
        </is>
      </c>
      <c r="D18" s="11" t="inlineStr">
        <is>
          <t>저희 쪽 준비는 완벽히 다 끝났습니다</t>
        </is>
      </c>
      <c r="E18" s="11" t="inlineStr">
        <is>
          <t>We're all set for the client demo at 2 PM.</t>
        </is>
      </c>
      <c r="F18" s="11" t="inlineStr">
        <is>
          <t>오후 2시 고객 시연을 위한 모든 준비가 완벽히 끝났습니다.</t>
        </is>
      </c>
      <c r="G18" s="5">
        <f>HYPERLINK("https://www.youtube.com/watch?v=z3kOpCtpj_g", "영상 보기 ▶")</f>
        <v/>
      </c>
    </row>
    <row r="19" ht="26" customHeight="1">
      <c r="A19" s="6" t="n">
        <v>768</v>
      </c>
      <c r="B19" s="7" t="inlineStr">
        <is>
          <t>직전 위기</t>
        </is>
      </c>
      <c r="C19" s="8" t="inlineStr">
        <is>
          <t>on the verge of</t>
        </is>
      </c>
      <c r="D19" s="12" t="inlineStr">
        <is>
          <t>~하기 직전에 있는, 찰나에 놓인</t>
        </is>
      </c>
      <c r="E19" s="12" t="inlineStr">
        <is>
          <t>The two companies were on the verge of signing the contract.</t>
        </is>
      </c>
      <c r="F19" s="12" t="inlineStr">
        <is>
          <t>두 회사는 계약 체결을 바로 코앞에 두고 있었습니다.</t>
        </is>
      </c>
      <c r="G19" s="9">
        <f>HYPERLINK("https://www.youtube.com/watch?v=z3kOpCtpj_g", "영상 보기 ▶")</f>
        <v/>
      </c>
    </row>
    <row r="20" ht="26" customHeight="1">
      <c r="A20" s="2" t="n">
        <v>769</v>
      </c>
      <c r="B20" s="3" t="inlineStr">
        <is>
          <t>성공적 획득</t>
        </is>
      </c>
      <c r="C20" s="4" t="inlineStr">
        <is>
          <t>land (계약/취업)</t>
        </is>
      </c>
      <c r="D20" s="11" t="inlineStr">
        <is>
          <t>(일자리나 계약을) 성사시키다, 따내다</t>
        </is>
      </c>
      <c r="E20" s="11" t="inlineStr">
        <is>
          <t>Congratulations on landing that prestigious government account!</t>
        </is>
      </c>
      <c r="F20" s="11" t="inlineStr">
        <is>
          <t>그 권위 있는 정부 사업 계약을 따내신 것 진심으로 축하드립니다!</t>
        </is>
      </c>
      <c r="G20" s="5">
        <f>HYPERLINK("https://www.youtube.com/watch?v=z3kOpCtpj_g", "영상 보기 ▶")</f>
        <v/>
      </c>
    </row>
    <row r="21" ht="26" customHeight="1">
      <c r="A21" s="6" t="n">
        <v>770</v>
      </c>
      <c r="B21" s="7" t="inlineStr">
        <is>
          <t>아쉬운 근접</t>
        </is>
      </c>
      <c r="C21" s="8" t="inlineStr">
        <is>
          <t>so close</t>
        </is>
      </c>
      <c r="D21" s="12" t="inlineStr">
        <is>
          <t>거의 다 됐는데! / 너무 아깝다!</t>
        </is>
      </c>
      <c r="E21" s="12" t="inlineStr">
        <is>
          <t>We missed the championship by one point; we were so close!</t>
        </is>
      </c>
      <c r="F21" s="12" t="inlineStr">
        <is>
          <t>1점 차이로 우승을 놓쳤어, 정말 코앞이었는데 너무 아까워!</t>
        </is>
      </c>
      <c r="G21" s="9">
        <f>HYPERLINK("https://www.youtube.com/watch?v=z3kOpCtpj_g", "영상 보기 ▶")</f>
        <v/>
      </c>
    </row>
    <row r="22" ht="26" customHeight="1">
      <c r="A22" s="2" t="n">
        <v>771</v>
      </c>
      <c r="B22" s="3" t="inlineStr">
        <is>
          <t>기회 열림</t>
        </is>
      </c>
      <c r="C22" s="4" t="inlineStr">
        <is>
          <t>up for grabs</t>
        </is>
      </c>
      <c r="D22" s="11" t="inlineStr">
        <is>
          <t>누구나 차지할 수 있는, 열려 있는</t>
        </is>
      </c>
      <c r="E22" s="11" t="inlineStr">
        <is>
          <t>The regional manager position is currently up for grabs.</t>
        </is>
      </c>
      <c r="F22" s="11" t="inlineStr">
        <is>
          <t>지역 본부장 자리는 현재 누구에게나 기회가 열려 있습니다.</t>
        </is>
      </c>
      <c r="G22" s="5">
        <f>HYPERLINK("https://www.youtube.com/watch?v=z3kOpCtpj_g", "영상 보기 ▶")</f>
        <v/>
      </c>
    </row>
    <row r="23" ht="26" customHeight="1">
      <c r="A23" s="6" t="n">
        <v>772</v>
      </c>
      <c r="B23" s="7" t="inlineStr">
        <is>
          <t>논의 대상</t>
        </is>
      </c>
      <c r="C23" s="8" t="inlineStr">
        <is>
          <t>up for discussion</t>
        </is>
      </c>
      <c r="D23" s="12" t="inlineStr">
        <is>
          <t>논의/검토의 대상이 되는</t>
        </is>
      </c>
      <c r="E23" s="12" t="inlineStr">
        <is>
          <t>The budget allocation is still up for discussion.</t>
        </is>
      </c>
      <c r="F23" s="12" t="inlineStr">
        <is>
          <t>예산 배정 문제는 여전히 논의 중인 안건입니다.</t>
        </is>
      </c>
      <c r="G23" s="9">
        <f>HYPERLINK("https://www.youtube.com/watch?v=z3kOpCtpj_g", "영상 보기 ▶")</f>
        <v/>
      </c>
    </row>
    <row r="24" ht="26" customHeight="1">
      <c r="A24" s="2" t="n">
        <v>773</v>
      </c>
      <c r="B24" s="3" t="inlineStr">
        <is>
          <t>검토 가치</t>
        </is>
      </c>
      <c r="C24" s="4" t="inlineStr">
        <is>
          <t>I think it's worth considering</t>
        </is>
      </c>
      <c r="D24" s="11" t="inlineStr">
        <is>
          <t>충분히 검토해 볼 만한 가치가 있다고 생각합니다</t>
        </is>
      </c>
      <c r="E24" s="11" t="inlineStr">
        <is>
          <t>Her proposal is unconventional, but I think it's worth considering.</t>
        </is>
      </c>
      <c r="F24" s="11" t="inlineStr">
        <is>
          <t>그녀의 제안은 파격적이지만, 충분히 검토해 볼 가치가 있다고 봅니다.</t>
        </is>
      </c>
      <c r="G24" s="5">
        <f>HYPERLINK("https://www.youtube.com/watch?v=z3kOpCtpj_g", "영상 보기 ▶")</f>
        <v/>
      </c>
    </row>
    <row r="25" ht="26" customHeight="1">
      <c r="A25" s="6" t="n">
        <v>774</v>
      </c>
      <c r="B25" s="7" t="inlineStr">
        <is>
          <t>만족스러운 소비</t>
        </is>
      </c>
      <c r="C25" s="8" t="inlineStr">
        <is>
          <t>get my money's worth</t>
        </is>
      </c>
      <c r="D25" s="12" t="inlineStr">
        <is>
          <t>본전 생각을 잊을 만큼 돈값을 충분히 하다</t>
        </is>
      </c>
      <c r="E25" s="12" t="inlineStr">
        <is>
          <t>I've worn this sturdy coat for five years; I got my money's worth.</t>
        </is>
      </c>
      <c r="F25" s="12" t="inlineStr">
        <is>
          <t>이 튼튼한 코트를 5년 동안 입었으니 본전은 뽑고도 남았지.</t>
        </is>
      </c>
      <c r="G25" s="9">
        <f>HYPERLINK("https://www.youtube.com/watch?v=z3kOpCtpj_g", "영상 보기 ▶")</f>
        <v/>
      </c>
    </row>
    <row r="26" ht="26" customHeight="1">
      <c r="A26" s="2" t="n">
        <v>775</v>
      </c>
      <c r="B26" s="3" t="inlineStr">
        <is>
          <t>견해 질문</t>
        </is>
      </c>
      <c r="C26" s="4" t="inlineStr">
        <is>
          <t>What's your take (on it)?</t>
        </is>
      </c>
      <c r="D26" s="11" t="inlineStr">
        <is>
          <t>그것에 대해 어떻게 생각하세요? 의견이 어떠세요?</t>
        </is>
      </c>
      <c r="E26" s="11" t="inlineStr">
        <is>
          <t>We need fresh ideas. What's your take on the new logo?</t>
        </is>
      </c>
      <c r="F26" s="11" t="inlineStr">
        <is>
          <t>신선한 아이디어가 필요해요. 새 로고에 대해 어떻게 생각하세요?</t>
        </is>
      </c>
      <c r="G26" s="5">
        <f>HYPERLINK("https://www.youtube.com/watch?v=z3kOpCtpj_g", "영상 보기 ▶")</f>
        <v/>
      </c>
    </row>
    <row r="27" ht="26" customHeight="1">
      <c r="A27" s="6" t="n">
        <v>776</v>
      </c>
      <c r="B27" s="7" t="inlineStr">
        <is>
          <t>반발/저항</t>
        </is>
      </c>
      <c r="C27" s="8" t="inlineStr">
        <is>
          <t>pushback</t>
        </is>
      </c>
      <c r="D27" s="12" t="inlineStr">
        <is>
          <t>(새로운 방침에 대한) 반발, 반대 의견</t>
        </is>
      </c>
      <c r="E27" s="12" t="inlineStr">
        <is>
          <t>We received strong pushback from staff regarding mandatory overtime.</t>
        </is>
      </c>
      <c r="F27" s="12" t="inlineStr">
        <is>
          <t>의무 야근 방침에 대해 직원들로부터 거센 반발을 받았습니다.</t>
        </is>
      </c>
      <c r="G27" s="9">
        <f>HYPERLINK("https://www.youtube.com/watch?v=z3kOpCtpj_g", "영상 보기 ▶")</f>
        <v/>
      </c>
    </row>
    <row r="28" ht="26" customHeight="1">
      <c r="A28" s="2" t="n">
        <v>777</v>
      </c>
      <c r="B28" s="3" t="inlineStr">
        <is>
          <t>합류/찬동</t>
        </is>
      </c>
      <c r="C28" s="4" t="inlineStr">
        <is>
          <t>get on board</t>
        </is>
      </c>
      <c r="D28" s="11" t="inlineStr">
        <is>
          <t>(아이디어/변화에) 찬성하여 동참하다</t>
        </is>
      </c>
      <c r="E28" s="11" t="inlineStr">
        <is>
          <t>It took a while for everyone to get on board with the change.</t>
        </is>
      </c>
      <c r="F28" s="11" t="inlineStr">
        <is>
          <t>모든 사람이 그 변화에 찬성하고 합류하기까지 시간이 좀 걸렸어.</t>
        </is>
      </c>
      <c r="G28" s="5">
        <f>HYPERLINK("https://www.youtube.com/watch?v=z3kOpCtpj_g", "영상 보기 ▶")</f>
        <v/>
      </c>
    </row>
    <row r="29" ht="26" customHeight="1">
      <c r="A29" s="6" t="n">
        <v>778</v>
      </c>
      <c r="B29" s="7" t="inlineStr">
        <is>
          <t>품위 유지</t>
        </is>
      </c>
      <c r="C29" s="8" t="inlineStr">
        <is>
          <t>Don't lower yourself to their level</t>
        </is>
      </c>
      <c r="D29" s="12" t="inlineStr">
        <is>
          <t>그런 사람들과 똑같은 수준으로 유치하게 굴지 마</t>
        </is>
      </c>
      <c r="E29" s="12" t="inlineStr">
        <is>
          <t>Ignore their rude remarks; don't lower yourself to their level.</t>
        </is>
      </c>
      <c r="F29" s="12" t="inlineStr">
        <is>
          <t>그들의 무례한 발언은 무시해, 너까지 똑같은 수준으로 떨어지지 마.</t>
        </is>
      </c>
      <c r="G29" s="9">
        <f>HYPERLINK("https://www.youtube.com/watch?v=z3kOpCtpj_g", "영상 보기 ▶")</f>
        <v/>
      </c>
    </row>
    <row r="30" ht="26" customHeight="1">
      <c r="A30" s="2" t="n">
        <v>779</v>
      </c>
      <c r="B30" s="3" t="inlineStr">
        <is>
          <t>낮은 가능성</t>
        </is>
      </c>
      <c r="C30" s="4" t="inlineStr">
        <is>
          <t>It's a long shot</t>
        </is>
      </c>
      <c r="D30" s="11" t="inlineStr">
        <is>
          <t>승산이 희박하지만 그래도 시도해 볼 만한 모험이야</t>
        </is>
      </c>
      <c r="E30" s="11" t="inlineStr">
        <is>
          <t>Winning the grand prize is a long shot, but why not enter?</t>
        </is>
      </c>
      <c r="F30" s="11" t="inlineStr">
        <is>
          <t>대상 타는 건 가능성이 희박하지만 그래도 한번 지원해 보는 거지!</t>
        </is>
      </c>
      <c r="G30" s="5">
        <f>HYPERLINK("https://www.youtube.com/watch?v=z3kOpCtpj_g", "영상 보기 ▶")</f>
        <v/>
      </c>
    </row>
    <row r="31" ht="26" customHeight="1">
      <c r="A31" s="6" t="n">
        <v>780</v>
      </c>
      <c r="B31" s="7" t="inlineStr">
        <is>
          <t>의지와 역량</t>
        </is>
      </c>
      <c r="C31" s="8" t="inlineStr">
        <is>
          <t>willing and able</t>
        </is>
      </c>
      <c r="D31" s="12" t="inlineStr">
        <is>
          <t>기꺼이 할 의지도 있고 능력도 충분한</t>
        </is>
      </c>
      <c r="E31" s="12" t="inlineStr">
        <is>
          <t>We are willing and able to take on this ambitious contract.</t>
        </is>
      </c>
      <c r="F31" s="12" t="inlineStr">
        <is>
          <t>저희는 이 야심 찬 계약을 수행할 확고한 의지와 능력을 갖추고 있습니다.</t>
        </is>
      </c>
      <c r="G31" s="9">
        <f>HYPERLINK("https://www.youtube.com/watch?v=z3kOpCtpj_g", "영상 보기 ▶")</f>
        <v/>
      </c>
    </row>
    <row r="32" ht="26" customHeight="1">
      <c r="A32" s="2" t="n">
        <v>781</v>
      </c>
      <c r="B32" s="3" t="inlineStr">
        <is>
          <t>약간의 진척</t>
        </is>
      </c>
      <c r="C32" s="4" t="inlineStr">
        <is>
          <t>make a dent</t>
        </is>
      </c>
      <c r="D32" s="11" t="inlineStr">
        <is>
          <t>(산더미 같은 일/빚을) 조금 줄이다, 성과를 내다</t>
        </is>
      </c>
      <c r="E32" s="11" t="inlineStr">
        <is>
          <t>I answered 50 emails, but it barely made a dent in my inbox.</t>
        </is>
      </c>
      <c r="F32" s="11" t="inlineStr">
        <is>
          <t>이메일을 50통이나 답장했는데도 받은편지함이 줄어든 티도 안 나.</t>
        </is>
      </c>
      <c r="G32" s="5">
        <f>HYPERLINK("https://www.youtube.com/watch?v=z3kOpCtpj_g", "영상 보기 ▶")</f>
        <v/>
      </c>
    </row>
    <row r="33" ht="26" customHeight="1">
      <c r="A33" s="6" t="n">
        <v>782</v>
      </c>
      <c r="B33" s="7" t="inlineStr">
        <is>
          <t>사과 부족</t>
        </is>
      </c>
      <c r="C33" s="8" t="inlineStr">
        <is>
          <t>Sorry doesn't cut it</t>
        </is>
      </c>
      <c r="D33" s="12" t="inlineStr">
        <is>
          <t>미안하다는 말 한마디로는 턱없이 부족해</t>
        </is>
      </c>
      <c r="E33" s="12" t="inlineStr">
        <is>
          <t>You caused enormous damage; just saying sorry doesn't cut it.</t>
        </is>
      </c>
      <c r="F33" s="12" t="inlineStr">
        <is>
          <t>엄청난 피해를 끼쳐놓고 그냥 미안하다고 퉁칠 문제가 아니야.</t>
        </is>
      </c>
      <c r="G33" s="9">
        <f>HYPERLINK("https://www.youtube.com/watch?v=z3kOpCtpj_g", "영상 보기 ▶")</f>
        <v/>
      </c>
    </row>
    <row r="34" ht="26" customHeight="1">
      <c r="A34" s="2" t="n">
        <v>783</v>
      </c>
      <c r="B34" s="3" t="inlineStr">
        <is>
          <t>순항</t>
        </is>
      </c>
      <c r="C34" s="4" t="inlineStr">
        <is>
          <t>It's all going according to plan</t>
        </is>
      </c>
      <c r="D34" s="11" t="inlineStr">
        <is>
          <t>모든 게 계획대로 착착 순조롭게 진행되고 있어</t>
        </is>
      </c>
      <c r="E34" s="11" t="inlineStr">
        <is>
          <t>No obstacles so far; it's all going according to plan.</t>
        </is>
      </c>
      <c r="F34" s="11" t="inlineStr">
        <is>
          <t>지금까지 아무런 장애물 없이 모든 게 계획대로 순조롭게 풀리고 있어.</t>
        </is>
      </c>
      <c r="G34" s="5">
        <f>HYPERLINK("https://www.youtube.com/watch?v=z3kOpCtpj_g", "영상 보기 ▶")</f>
        <v/>
      </c>
    </row>
    <row r="35" ht="26" customHeight="1">
      <c r="A35" s="6" t="n">
        <v>784</v>
      </c>
      <c r="B35" s="7" t="inlineStr">
        <is>
          <t>불참 선언</t>
        </is>
      </c>
      <c r="C35" s="8" t="inlineStr">
        <is>
          <t>Count me out</t>
        </is>
      </c>
      <c r="D35" s="12" t="inlineStr">
        <is>
          <t>난 빼줘, 난 참여 안 할래</t>
        </is>
      </c>
      <c r="E35" s="12" t="inlineStr">
        <is>
          <t>If you're going hiking at 5 AM, count me out.</t>
        </is>
      </c>
      <c r="F35" s="12" t="inlineStr">
        <is>
          <t>새벽 5시에 등산 갈 거면 난 쏙 빼줘.</t>
        </is>
      </c>
      <c r="G35" s="9">
        <f>HYPERLINK("https://www.youtube.com/watch?v=z3kOpCtpj_g", "영상 보기 ▶")</f>
        <v/>
      </c>
    </row>
    <row r="36" ht="26" customHeight="1">
      <c r="A36" s="2" t="n">
        <v>785</v>
      </c>
      <c r="B36" s="3" t="inlineStr">
        <is>
          <t>즉석 통화</t>
        </is>
      </c>
      <c r="C36" s="4" t="inlineStr">
        <is>
          <t>jump on a call</t>
        </is>
      </c>
      <c r="D36" s="11" t="inlineStr">
        <is>
          <t>(신속한 소통을 위해) 전화/화상회의에 접속하다</t>
        </is>
      </c>
      <c r="E36" s="11" t="inlineStr">
        <is>
          <t>Can you jump on a quick five-minute call to resolve this?</t>
        </is>
      </c>
      <c r="F36" s="11" t="inlineStr">
        <is>
          <t>이 문제 해결하게 5분만 짧게 통화 연결 가능해?</t>
        </is>
      </c>
      <c r="G36" s="5">
        <f>HYPERLINK("https://www.youtube.com/watch?v=z3kOpCtpj_g", "영상 보기 ▶")</f>
        <v/>
      </c>
    </row>
    <row r="37" ht="26" customHeight="1">
      <c r="A37" s="6" t="n">
        <v>786</v>
      </c>
      <c r="B37" s="7" t="inlineStr">
        <is>
          <t>분위기</t>
        </is>
      </c>
      <c r="C37" s="8" t="inlineStr">
        <is>
          <t>vibe</t>
        </is>
      </c>
      <c r="D37" s="12" t="inlineStr">
        <is>
          <t>느낌, 분위기 (a great vibe)</t>
        </is>
      </c>
      <c r="E37" s="12" t="inlineStr">
        <is>
          <t>I really love the relaxed vibe of this coffee shop.</t>
        </is>
      </c>
      <c r="F37" s="12" t="inlineStr">
        <is>
          <t>나는 이 카페의 아늑하고 편안한 분위기가 정말 마음에 들어.</t>
        </is>
      </c>
      <c r="G37" s="9">
        <f>HYPERLINK("https://www.youtube.com/watch?v=z3kOpCtpj_g", "영상 보기 ▶")</f>
        <v/>
      </c>
    </row>
    <row r="38" ht="26" customHeight="1">
      <c r="A38" s="2" t="n">
        <v>787</v>
      </c>
      <c r="B38" s="3" t="inlineStr">
        <is>
          <t>혼잡</t>
        </is>
      </c>
      <c r="C38" s="4" t="inlineStr">
        <is>
          <t>crowded</t>
        </is>
      </c>
      <c r="D38" s="11" t="inlineStr">
        <is>
          <t>사람이 붐비는, 혼잡한</t>
        </is>
      </c>
      <c r="E38" s="11" t="inlineStr">
        <is>
          <t>The downtown subway is always crowded during rush hour.</t>
        </is>
      </c>
      <c r="F38" s="11" t="inlineStr">
        <is>
          <t>출퇴근 시간대 시내 지하철은 언제나 인파로 붐빕니다.</t>
        </is>
      </c>
      <c r="G38" s="5">
        <f>HYPERLINK("https://www.youtube.com/watch?v=z3kOpCtpj_g", "영상 보기 ▶")</f>
        <v/>
      </c>
    </row>
    <row r="39" ht="26" customHeight="1">
      <c r="A39" s="6" t="n">
        <v>788</v>
      </c>
      <c r="B39" s="7" t="inlineStr">
        <is>
          <t>속단 금지</t>
        </is>
      </c>
      <c r="C39" s="8" t="inlineStr">
        <is>
          <t>Don't jump to conclusions</t>
        </is>
      </c>
      <c r="D39" s="12" t="inlineStr">
        <is>
          <t>섣불리 결론 내리지 마, 속단하지 마</t>
        </is>
      </c>
      <c r="E39" s="12" t="inlineStr">
        <is>
          <t>Let's gather all the facts before we jump to conclusions.</t>
        </is>
      </c>
      <c r="F39" s="12" t="inlineStr">
        <is>
          <t>섣불리 결론부터 내리지 말고 모든 사실관계를 먼저 파악합시다.</t>
        </is>
      </c>
      <c r="G39" s="9">
        <f>HYPERLINK("https://www.youtube.com/watch?v=z3kOpCtpj_g", "영상 보기 ▶")</f>
        <v/>
      </c>
    </row>
    <row r="40" ht="26" customHeight="1">
      <c r="A40" s="2" t="n">
        <v>789</v>
      </c>
      <c r="B40" s="3" t="inlineStr">
        <is>
          <t>대화 참여</t>
        </is>
      </c>
      <c r="C40" s="4" t="inlineStr">
        <is>
          <t>jump in</t>
        </is>
      </c>
      <c r="D40" s="11" t="inlineStr">
        <is>
          <t>(대화나 토론에) 중간에 끼어들다, 참여하다</t>
        </is>
      </c>
      <c r="E40" s="11" t="inlineStr">
        <is>
          <t>Feel free to jump in if you have any insights to share.</t>
        </is>
      </c>
      <c r="F40" s="11" t="inlineStr">
        <is>
          <t>공유할 통찰이 있으시면 언제든지 편하게 대화에 끼어들어 주세요.</t>
        </is>
      </c>
      <c r="G40" s="5">
        <f>HYPERLINK("https://www.youtube.com/watch?v=z3kOpCtpj_g", "영상 보기 ▶")</f>
        <v/>
      </c>
    </row>
    <row r="41" ht="26" customHeight="1">
      <c r="A41" s="6" t="n">
        <v>790</v>
      </c>
      <c r="B41" s="7" t="inlineStr">
        <is>
          <t>이해 불가</t>
        </is>
      </c>
      <c r="C41" s="8" t="inlineStr">
        <is>
          <t>lost (길/이해)</t>
        </is>
      </c>
      <c r="D41" s="12" t="inlineStr">
        <is>
          <t>① 길을 잃은 ② 무슨 말인지 도통 모르는</t>
        </is>
      </c>
      <c r="E41" s="12" t="inlineStr">
        <is>
          <t>You lost me at the complex algorithm part.</t>
        </is>
      </c>
      <c r="F41" s="12" t="inlineStr">
        <is>
          <t>복잡한 알고리즘 설명 부분부터는 무슨 말인지 도통 모르겠어.</t>
        </is>
      </c>
      <c r="G41" s="9">
        <f>HYPERLINK("https://www.youtube.com/watch?v=z3kOpCtpj_g", "영상 보기 ▶")</f>
        <v/>
      </c>
    </row>
    <row r="42" ht="26" customHeight="1">
      <c r="A42" s="2" t="n">
        <v>791</v>
      </c>
      <c r="B42" s="3" t="inlineStr">
        <is>
          <t>손실/놓침</t>
        </is>
      </c>
      <c r="C42" s="4" t="inlineStr">
        <is>
          <t>lose</t>
        </is>
      </c>
      <c r="D42" s="11" t="inlineStr">
        <is>
          <t>잃어버리다, 놓치다, 패배하다</t>
        </is>
      </c>
      <c r="E42" s="11" t="inlineStr">
        <is>
          <t>We can't afford to lose this key account.</t>
        </is>
      </c>
      <c r="F42" s="11" t="inlineStr">
        <is>
          <t>우리는 이 핵심 고객사를 결코 잃어서는 안 됩니다.</t>
        </is>
      </c>
      <c r="G42" s="5">
        <f>HYPERLINK("https://www.youtube.com/watch?v=z3kOpCtpj_g", "영상 보기 ▶")</f>
        <v/>
      </c>
    </row>
    <row r="43" ht="26" customHeight="1">
      <c r="A43" s="6" t="n">
        <v>792</v>
      </c>
      <c r="B43" s="7" t="inlineStr">
        <is>
          <t>최종 기한</t>
        </is>
      </c>
      <c r="C43" s="8" t="inlineStr">
        <is>
          <t>no later than / at the latest</t>
        </is>
      </c>
      <c r="D43" s="12" t="inlineStr">
        <is>
          <t>늦어도 ~까지는 반드시</t>
        </is>
      </c>
      <c r="E43" s="12" t="inlineStr">
        <is>
          <t>Submit your final expenses no later than Friday.</t>
        </is>
      </c>
      <c r="F43" s="12" t="inlineStr">
        <is>
          <t>늦어도 금요일까지는 최종 경비 청구서를 제출하세요.</t>
        </is>
      </c>
      <c r="G43" s="9">
        <f>HYPERLINK("https://www.youtube.com/watch?v=z3kOpCtpj_g", "영상 보기 ▶")</f>
        <v/>
      </c>
    </row>
    <row r="44" ht="26" customHeight="1">
      <c r="A44" s="2" t="n">
        <v>793</v>
      </c>
      <c r="B44" s="3" t="inlineStr">
        <is>
          <t>정들다</t>
        </is>
      </c>
      <c r="C44" s="4" t="inlineStr">
        <is>
          <t>grow on</t>
        </is>
      </c>
      <c r="D44" s="11" t="inlineStr">
        <is>
          <t>(시간이 지나면서) 점점 마음에 들다, 정이 들다</t>
        </is>
      </c>
      <c r="E44" s="11" t="inlineStr">
        <is>
          <t>I didn't like the new design at first, but it's growing on me.</t>
        </is>
      </c>
      <c r="F44" s="11" t="inlineStr">
        <is>
          <t>처음엔 새 디자인이 별로였는데 볼수록 점점 마음에 들어.</t>
        </is>
      </c>
      <c r="G44" s="5">
        <f>HYPERLINK("https://www.youtube.com/watch?v=z3kOpCtpj_g", "영상 보기 ▶")</f>
        <v/>
      </c>
    </row>
    <row r="45" ht="26" customHeight="1">
      <c r="A45" s="6" t="n">
        <v>794</v>
      </c>
      <c r="B45" s="7" t="inlineStr">
        <is>
          <t>약간/조금</t>
        </is>
      </c>
      <c r="C45" s="8" t="inlineStr">
        <is>
          <t>a bit</t>
        </is>
      </c>
      <c r="D45" s="12" t="inlineStr">
        <is>
          <t>약간, 조금 (a bit expensive/tired)</t>
        </is>
      </c>
      <c r="E45" s="12" t="inlineStr">
        <is>
          <t>I'm feeling a bit tired after the flight.</t>
        </is>
      </c>
      <c r="F45" s="12" t="inlineStr">
        <is>
          <t>비행기 타고 왔더니 약간 피곤하네.</t>
        </is>
      </c>
      <c r="G45" s="9">
        <f>HYPERLINK("https://www.youtube.com/watch?v=z3kOpCtpj_g", "영상 보기 ▶")</f>
        <v/>
      </c>
    </row>
    <row r="46" ht="26" customHeight="1">
      <c r="A46" s="2" t="n">
        <v>795</v>
      </c>
      <c r="B46" s="3" t="inlineStr">
        <is>
          <t>더치페이</t>
        </is>
      </c>
      <c r="C46" s="4" t="inlineStr">
        <is>
          <t>split the bill</t>
        </is>
      </c>
      <c r="D46" s="11" t="inlineStr">
        <is>
          <t>(식사 후) 각자 몫을 나누어 계산하다</t>
        </is>
      </c>
      <c r="E46" s="11" t="inlineStr">
        <is>
          <t>Let's just split the bill evenly among us.</t>
        </is>
      </c>
      <c r="F46" s="11" t="inlineStr">
        <is>
          <t>계산서는 우리끼리 균등하게 각자 나눠서 냅시다.</t>
        </is>
      </c>
      <c r="G46" s="5">
        <f>HYPERLINK("https://www.youtube.com/watch?v=z3kOpCtpj_g", "영상 보기 ▶")</f>
        <v/>
      </c>
    </row>
    <row r="47" ht="26" customHeight="1">
      <c r="A47" s="6" t="n">
        <v>796</v>
      </c>
      <c r="B47" s="7" t="inlineStr">
        <is>
          <t>전략 논의</t>
        </is>
      </c>
      <c r="C47" s="8" t="inlineStr">
        <is>
          <t>Let's talk strategy</t>
        </is>
      </c>
      <c r="D47" s="12" t="inlineStr">
        <is>
          <t>이제 본격적인 실행 전략을 논의해 봅시다</t>
        </is>
      </c>
      <c r="E47" s="12" t="inlineStr">
        <is>
          <t>We know our objective; now let's talk strategy.</t>
        </is>
      </c>
      <c r="F47" s="12" t="inlineStr">
        <is>
          <t>목표는 정해졌으니 이제 본격적인 실행 전략을 이야기합시다.</t>
        </is>
      </c>
      <c r="G47" s="9">
        <f>HYPERLINK("https://www.youtube.com/watch?v=z3kOpCtpj_g", "영상 보기 ▶")</f>
        <v/>
      </c>
    </row>
    <row r="48" ht="26" customHeight="1">
      <c r="A48" s="2" t="n">
        <v>797</v>
      </c>
      <c r="B48" s="3" t="inlineStr">
        <is>
          <t>전략적 판단</t>
        </is>
      </c>
      <c r="C48" s="4" t="inlineStr">
        <is>
          <t>strategic</t>
        </is>
      </c>
      <c r="D48" s="11" t="inlineStr">
        <is>
          <t>전략적인, 치밀한 계획에 따른</t>
        </is>
      </c>
      <c r="E48" s="11" t="inlineStr">
        <is>
          <t>Partnering with local distributors was a strategic move.</t>
        </is>
      </c>
      <c r="F48" s="11" t="inlineStr">
        <is>
          <t>현지 유통업체들과 제휴한 것은 대단히 전략적인 선택이었습니다.</t>
        </is>
      </c>
      <c r="G48" s="5">
        <f>HYPERLINK("https://www.youtube.com/watch?v=z3kOpCtpj_g", "영상 보기 ▶")</f>
        <v/>
      </c>
    </row>
    <row r="49" ht="26" customHeight="1">
      <c r="A49" s="6" t="n">
        <v>798</v>
      </c>
      <c r="B49" s="7" t="inlineStr">
        <is>
          <t>신중한 태도</t>
        </is>
      </c>
      <c r="C49" s="8" t="inlineStr">
        <is>
          <t>prudent</t>
        </is>
      </c>
      <c r="D49" s="12" t="inlineStr">
        <is>
          <t>신중한, 빈틈없는, 분별력 있는</t>
        </is>
      </c>
      <c r="E49" s="12" t="inlineStr">
        <is>
          <t>It's prudent to hold some emergency funds in reserve.</t>
        </is>
      </c>
      <c r="F49" s="12" t="inlineStr">
        <is>
          <t>비상 자금을 따로 비축해 두는 것이 현명하고 신중한 처사입니다.</t>
        </is>
      </c>
      <c r="G49" s="9">
        <f>HYPERLINK("https://www.youtube.com/watch?v=z3kOpCtpj_g", "영상 보기 ▶")</f>
        <v/>
      </c>
    </row>
    <row r="50" ht="26" customHeight="1">
      <c r="A50" s="2" t="n">
        <v>799</v>
      </c>
      <c r="B50" s="3" t="inlineStr">
        <is>
          <t>실행 제반</t>
        </is>
      </c>
      <c r="C50" s="4" t="inlineStr">
        <is>
          <t>logistics</t>
        </is>
      </c>
      <c r="D50" s="11" t="inlineStr">
        <is>
          <t>실행 세부 계획, 물류 및 제반 운영 절차</t>
        </is>
      </c>
      <c r="E50" s="11" t="inlineStr">
        <is>
          <t>Who is responsible for the venue logistics?</t>
        </is>
      </c>
      <c r="F50" s="11" t="inlineStr">
        <is>
          <t>행사장 운영 제반 절차는 누가 담당하고 있나요?</t>
        </is>
      </c>
      <c r="G50" s="5">
        <f>HYPERLINK("https://www.youtube.com/watch?v=z3kOpCtpj_g", "영상 보기 ▶")</f>
        <v/>
      </c>
    </row>
    <row r="51" ht="26" customHeight="1">
      <c r="A51" s="6" t="n">
        <v>800</v>
      </c>
      <c r="B51" s="7" t="inlineStr">
        <is>
          <t>신속 수락</t>
        </is>
      </c>
      <c r="C51" s="8" t="inlineStr">
        <is>
          <t>Will do</t>
        </is>
      </c>
      <c r="D51" s="12" t="inlineStr">
        <is>
          <t>네, 그렇게 조치하겠습니다! (신속한 수락)</t>
        </is>
      </c>
      <c r="E51" s="12" t="inlineStr">
        <is>
          <t>Please email me the report by 3 PM. - Will do!</t>
        </is>
      </c>
      <c r="F51" s="12" t="inlineStr">
        <is>
          <t>오후 3시까지 보고서 메일로 보내줘요. - 네, 그렇게 하겠습니다!</t>
        </is>
      </c>
      <c r="G51" s="9">
        <f>HYPERLINK("https://www.youtube.com/watch?v=z3kOpCtpj_g", "영상 보기 ▶")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.9" customWidth="1" min="2" max="2"/>
    <col width="38" customWidth="1" min="3" max="3"/>
    <col width="47.7" customWidth="1" min="4" max="4"/>
    <col width="70" customWidth="1" min="5" max="5"/>
    <col width="61.6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801</v>
      </c>
      <c r="B2" s="3" t="inlineStr">
        <is>
          <t>비교 우위</t>
        </is>
      </c>
      <c r="C2" s="4" t="inlineStr">
        <is>
          <t>outweigh</t>
        </is>
      </c>
      <c r="D2" s="11" t="inlineStr">
        <is>
          <t>(장점이나 가치가 단점보다) 더 크다, 능가하다</t>
        </is>
      </c>
      <c r="E2" s="11" t="inlineStr">
        <is>
          <t>The long-term benefits clearly outweigh the initial costs.</t>
        </is>
      </c>
      <c r="F2" s="11" t="inlineStr">
        <is>
          <t>장기적인 이익이 초기 투자 비용보다 훨씬 큽니다.</t>
        </is>
      </c>
      <c r="G2" s="5">
        <f>HYPERLINK("https://www.youtube.com/watch?v=PXK2iOIjICI", "영상 보기 ▶")</f>
        <v/>
      </c>
    </row>
    <row r="3" ht="26" customHeight="1">
      <c r="A3" s="6" t="n">
        <v>802</v>
      </c>
      <c r="B3" s="7" t="inlineStr">
        <is>
          <t>의구심/거리낌</t>
        </is>
      </c>
      <c r="C3" s="8" t="inlineStr">
        <is>
          <t>reservations</t>
        </is>
      </c>
      <c r="D3" s="12" t="inlineStr">
        <is>
          <t>(어떤 결정에 대한) 일말의 의구심, 거리낌</t>
        </is>
      </c>
      <c r="E3" s="12" t="inlineStr">
        <is>
          <t>I still have a few reservations about changing our supplier.</t>
        </is>
      </c>
      <c r="F3" s="12" t="inlineStr">
        <is>
          <t>공급업체를 바꾸는 것에 대해 저는 아직 약간의 의구심이 있습니다.</t>
        </is>
      </c>
      <c r="G3" s="9">
        <f>HYPERLINK("https://www.youtube.com/watch?v=PXK2iOIjICI", "영상 보기 ▶")</f>
        <v/>
      </c>
    </row>
    <row r="4" ht="26" customHeight="1">
      <c r="A4" s="2" t="n">
        <v>803</v>
      </c>
      <c r="B4" s="3" t="inlineStr">
        <is>
          <t>과묵함</t>
        </is>
      </c>
      <c r="C4" s="4" t="inlineStr">
        <is>
          <t>reserved</t>
        </is>
      </c>
      <c r="D4" s="11" t="inlineStr">
        <is>
          <t>(말을 아끼고) 과묵한, 내성적인</t>
        </is>
      </c>
      <c r="E4" s="11" t="inlineStr">
        <is>
          <t>He is quite reserved during meetings, but an insightful thinker.</t>
        </is>
      </c>
      <c r="F4" s="11" t="inlineStr">
        <is>
          <t>그는 회의 중엔 꽤 과묵하지만 대단히 통찰력 있는 사색가입니다.</t>
        </is>
      </c>
      <c r="G4" s="5">
        <f>HYPERLINK("https://www.youtube.com/watch?v=PXK2iOIjICI", "영상 보기 ▶")</f>
        <v/>
      </c>
    </row>
    <row r="5" ht="26" customHeight="1">
      <c r="A5" s="6" t="n">
        <v>804</v>
      </c>
      <c r="B5" s="7" t="inlineStr">
        <is>
          <t>감 떨어짐</t>
        </is>
      </c>
      <c r="C5" s="8" t="inlineStr">
        <is>
          <t>rusty</t>
        </is>
      </c>
      <c r="D5" s="12" t="inlineStr">
        <is>
          <t>(한동안 안 써서) 녹슨, 실력이 무뎌진</t>
        </is>
      </c>
      <c r="E5" s="12" t="inlineStr">
        <is>
          <t>Excuse my pronunciation; my conversational English is a bit rusty.</t>
        </is>
      </c>
      <c r="F5" s="12" t="inlineStr">
        <is>
          <t>발음이 서툴러도 양해해 주세요, 영어 회화 감이 좀 무뎌져서요.</t>
        </is>
      </c>
      <c r="G5" s="9">
        <f>HYPERLINK("https://www.youtube.com/watch?v=PXK2iOIjICI", "영상 보기 ▶")</f>
        <v/>
      </c>
    </row>
    <row r="6" ht="26" customHeight="1">
      <c r="A6" s="2" t="n">
        <v>805</v>
      </c>
      <c r="B6" s="3" t="inlineStr">
        <is>
          <t>기억 재생</t>
        </is>
      </c>
      <c r="C6" s="4" t="inlineStr">
        <is>
          <t>It's all coming back to me now</t>
        </is>
      </c>
      <c r="D6" s="11" t="inlineStr">
        <is>
          <t>이제 기억이 새록새록 다 다시 떠오르네!</t>
        </is>
      </c>
      <c r="E6" s="11" t="inlineStr">
        <is>
          <t>Once you explained the context, it's all coming back to me now.</t>
        </is>
      </c>
      <c r="F6" s="11" t="inlineStr">
        <is>
          <t>배경을 설명해 주시니 이제 기억이 새록새록 다 나네요!</t>
        </is>
      </c>
      <c r="G6" s="5">
        <f>HYPERLINK("https://www.youtube.com/watch?v=PXK2iOIjICI", "영상 보기 ▶")</f>
        <v/>
      </c>
    </row>
    <row r="7" ht="26" customHeight="1">
      <c r="A7" s="6" t="n">
        <v>806</v>
      </c>
      <c r="B7" s="7" t="inlineStr">
        <is>
          <t>민폐 경계</t>
        </is>
      </c>
      <c r="C7" s="8" t="inlineStr">
        <is>
          <t>impose</t>
        </is>
      </c>
      <c r="D7" s="12" t="inlineStr">
        <is>
          <t>(타인에게) 민폐를 끼치다, 부담을 지우다</t>
        </is>
      </c>
      <c r="E7" s="12" t="inlineStr">
        <is>
          <t>I don't want to impose on your hospitality any longer.</t>
        </is>
      </c>
      <c r="F7" s="12" t="inlineStr">
        <is>
          <t>더 이상 당신의 호의에 폐를 끼치고 싶지 않습니다.</t>
        </is>
      </c>
      <c r="G7" s="9">
        <f>HYPERLINK("https://www.youtube.com/watch?v=PXK2iOIjICI", "영상 보기 ▶")</f>
        <v/>
      </c>
    </row>
    <row r="8" ht="26" customHeight="1">
      <c r="A8" s="2" t="n">
        <v>807</v>
      </c>
      <c r="B8" s="3" t="inlineStr">
        <is>
          <t>안부 전달</t>
        </is>
      </c>
      <c r="C8" s="4" t="inlineStr">
        <is>
          <t>send one's regards</t>
        </is>
      </c>
      <c r="D8" s="11" t="inlineStr">
        <is>
          <t>~에게 안부를 전하다</t>
        </is>
      </c>
      <c r="E8" s="11" t="inlineStr">
        <is>
          <t>Please send my warmest regards to your family.</t>
        </is>
      </c>
      <c r="F8" s="11" t="inlineStr">
        <is>
          <t>가족분들에게 제 따뜻한 안부 꼭 전해 주세요.</t>
        </is>
      </c>
      <c r="G8" s="5">
        <f>HYPERLINK("https://www.youtube.com/watch?v=PXK2iOIjICI", "영상 보기 ▶")</f>
        <v/>
      </c>
    </row>
    <row r="9" ht="26" customHeight="1">
      <c r="A9" s="6" t="n">
        <v>808</v>
      </c>
      <c r="B9" s="7" t="inlineStr">
        <is>
          <t>음질 확인</t>
        </is>
      </c>
      <c r="C9" s="8" t="inlineStr">
        <is>
          <t>Can you hear me okay?</t>
        </is>
      </c>
      <c r="D9" s="12" t="inlineStr">
        <is>
          <t>제 목소리 잘 들리시나요?</t>
        </is>
      </c>
      <c r="E9" s="12" t="inlineStr">
        <is>
          <t>Hi everyone, can you hear me okay on Zoom?</t>
        </is>
      </c>
      <c r="F9" s="12" t="inlineStr">
        <is>
          <t>여러분 안녕하세요, 줌에서 제 목소리 잘 들리시나요?</t>
        </is>
      </c>
      <c r="G9" s="9">
        <f>HYPERLINK("https://www.youtube.com/watch?v=PXK2iOIjICI", "영상 보기 ▶")</f>
        <v/>
      </c>
    </row>
    <row r="10" ht="26" customHeight="1">
      <c r="A10" s="2" t="n">
        <v>809</v>
      </c>
      <c r="B10" s="3" t="inlineStr">
        <is>
          <t>임박</t>
        </is>
      </c>
      <c r="C10" s="4" t="inlineStr">
        <is>
          <t>shortly</t>
        </is>
      </c>
      <c r="D10" s="11" t="inlineStr">
        <is>
          <t>곧, 머지않아 (잠시 후)</t>
        </is>
      </c>
      <c r="E10" s="11" t="inlineStr">
        <is>
          <t>The webinar will commence shortly, please stand by.</t>
        </is>
      </c>
      <c r="F10" s="11" t="inlineStr">
        <is>
          <t>웨비나가 곧 시작될 예정이오니 잠시 대기해 주시기 바랍니다.</t>
        </is>
      </c>
      <c r="G10" s="5">
        <f>HYPERLINK("https://www.youtube.com/watch?v=PXK2iOIjICI", "영상 보기 ▶")</f>
        <v/>
      </c>
    </row>
    <row r="11" ht="26" customHeight="1">
      <c r="A11" s="6" t="n">
        <v>810</v>
      </c>
      <c r="B11" s="7" t="inlineStr">
        <is>
          <t>본론 직행</t>
        </is>
      </c>
      <c r="C11" s="8" t="inlineStr">
        <is>
          <t>without further ado,</t>
        </is>
      </c>
      <c r="D11" s="12" t="inlineStr">
        <is>
          <t>더 이상의 긴 서두 없이 곧바로,</t>
        </is>
      </c>
      <c r="E11" s="12" t="inlineStr">
        <is>
          <t>Without further ado, let's welcome our keynote speaker.</t>
        </is>
      </c>
      <c r="F11" s="12" t="inlineStr">
        <is>
          <t>더 이상의 긴 서두 없이, 오늘의 기조연설자를 큰 박수로 모시겠습니다.</t>
        </is>
      </c>
      <c r="G11" s="9">
        <f>HYPERLINK("https://www.youtube.com/watch?v=PXK2iOIjICI", "영상 보기 ▶")</f>
        <v/>
      </c>
    </row>
    <row r="12" ht="26" customHeight="1">
      <c r="A12" s="2" t="n">
        <v>811</v>
      </c>
      <c r="B12" s="3" t="inlineStr">
        <is>
          <t>전환 어구</t>
        </is>
      </c>
      <c r="C12" s="4" t="inlineStr">
        <is>
          <t>With that,</t>
        </is>
      </c>
      <c r="D12" s="11" t="inlineStr">
        <is>
          <t>그 말을 끝으로, 그 점을 감안하여,</t>
        </is>
      </c>
      <c r="E12" s="11" t="inlineStr">
        <is>
          <t>With that, I'd like to open the floor to questions.</t>
        </is>
      </c>
      <c r="F12" s="11" t="inlineStr">
        <is>
          <t>이것으로 제 발표를 마치고, 질문을 받도록 하겠습니다.</t>
        </is>
      </c>
      <c r="G12" s="5">
        <f>HYPERLINK("https://www.youtube.com/watch?v=PXK2iOIjICI", "영상 보기 ▶")</f>
        <v/>
      </c>
    </row>
    <row r="13" ht="26" customHeight="1">
      <c r="A13" s="6" t="n">
        <v>812</v>
      </c>
      <c r="B13" s="7" t="inlineStr">
        <is>
          <t>합류</t>
        </is>
      </c>
      <c r="C13" s="8" t="inlineStr">
        <is>
          <t>join</t>
        </is>
      </c>
      <c r="D13" s="12" t="inlineStr">
        <is>
          <t>참석하다, 함께하다</t>
        </is>
      </c>
      <c r="E13" s="12" t="inlineStr">
        <is>
          <t>Thank you all for joining today's briefing.</t>
        </is>
      </c>
      <c r="F13" s="12" t="inlineStr">
        <is>
          <t>오늘 브리핑에 참석해 주신 모든 분께 감사드립니다.</t>
        </is>
      </c>
      <c r="G13" s="9">
        <f>HYPERLINK("https://www.youtube.com/watch?v=PXK2iOIjICI", "영상 보기 ▶")</f>
        <v/>
      </c>
    </row>
    <row r="14" ht="26" customHeight="1">
      <c r="A14" s="2" t="n">
        <v>813</v>
      </c>
      <c r="B14" s="3" t="inlineStr">
        <is>
          <t>접속 끊김</t>
        </is>
      </c>
      <c r="C14" s="4" t="inlineStr">
        <is>
          <t>lose (연결 끊김)</t>
        </is>
      </c>
      <c r="D14" s="11" t="inlineStr">
        <is>
          <t>(화상/전화 회의에서 상대가) 접속이 끊기다</t>
        </is>
      </c>
      <c r="E14" s="11" t="inlineStr">
        <is>
          <t>I think we just lost David; his video froze.</t>
        </is>
      </c>
      <c r="F14" s="11" t="inlineStr">
        <is>
          <t>화면이 멈춘 걸 보니 데이비드 접속이 방금 끊긴 것 같아요.</t>
        </is>
      </c>
      <c r="G14" s="5">
        <f>HYPERLINK("https://www.youtube.com/watch?v=PXK2iOIjICI", "영상 보기 ▶")</f>
        <v/>
      </c>
    </row>
    <row r="15" ht="26" customHeight="1">
      <c r="A15" s="6" t="n">
        <v>814</v>
      </c>
      <c r="B15" s="7" t="inlineStr">
        <is>
          <t>음성 끊김</t>
        </is>
      </c>
      <c r="C15" s="8" t="inlineStr">
        <is>
          <t>cut out</t>
        </is>
      </c>
      <c r="D15" s="12" t="inlineStr">
        <is>
          <t>(음성/마이크가) 뚝뚝 끊기다</t>
        </is>
      </c>
      <c r="E15" s="12" t="inlineStr">
        <is>
          <t>Could you repeat that? Your voice was cutting out.</t>
        </is>
      </c>
      <c r="F15" s="12" t="inlineStr">
        <is>
          <t>다시 말씀해 주시겠어요? 목소리가 뚝뚝 끊겨서 안 들렸어요.</t>
        </is>
      </c>
      <c r="G15" s="9">
        <f>HYPERLINK("https://www.youtube.com/watch?v=PXK2iOIjICI", "영상 보기 ▶")</f>
        <v/>
      </c>
    </row>
    <row r="16" ht="26" customHeight="1">
      <c r="A16" s="2" t="n">
        <v>815</v>
      </c>
      <c r="B16" s="3" t="inlineStr">
        <is>
          <t>화면 띄우기</t>
        </is>
      </c>
      <c r="C16" s="4" t="inlineStr">
        <is>
          <t>pull up</t>
        </is>
      </c>
      <c r="D16" s="11" t="inlineStr">
        <is>
          <t>(화면/모니터에 자료를) 띄우다, 불러오다</t>
        </is>
      </c>
      <c r="E16" s="11" t="inlineStr">
        <is>
          <t>Let me pull up the sales figures on the screen.</t>
        </is>
      </c>
      <c r="F16" s="11" t="inlineStr">
        <is>
          <t>화면에 매출 수치 자료를 띄워 드리겠습니다.</t>
        </is>
      </c>
      <c r="G16" s="5">
        <f>HYPERLINK("https://www.youtube.com/watch?v=PXK2iOIjICI", "영상 보기 ▶")</f>
        <v/>
      </c>
    </row>
    <row r="17" ht="26" customHeight="1">
      <c r="A17" s="6" t="n">
        <v>816</v>
      </c>
      <c r="B17" s="7" t="inlineStr">
        <is>
          <t>난처한 지목</t>
        </is>
      </c>
      <c r="C17" s="8" t="inlineStr">
        <is>
          <t>put (사람) on the spot</t>
        </is>
      </c>
      <c r="D17" s="12" t="inlineStr">
        <is>
          <t>(준비 안 된 상태에서) 곤란하게 불시에 질문을 던지다</t>
        </is>
      </c>
      <c r="E17" s="12" t="inlineStr">
        <is>
          <t>I didn't mean to put you on the spot in front of the team.</t>
        </is>
      </c>
      <c r="F17" s="12" t="inlineStr">
        <is>
          <t>팀원들 앞에서 너를 당황스럽게 곤경에 빠뜨리려던 건 아니었어.</t>
        </is>
      </c>
      <c r="G17" s="9">
        <f>HYPERLINK("https://www.youtube.com/watch?v=PXK2iOIjICI", "영상 보기 ▶")</f>
        <v/>
      </c>
    </row>
    <row r="18" ht="26" customHeight="1">
      <c r="A18" s="2" t="n">
        <v>817</v>
      </c>
      <c r="B18" s="3" t="inlineStr">
        <is>
          <t>현황 보고</t>
        </is>
      </c>
      <c r="C18" s="4" t="inlineStr">
        <is>
          <t>give an update on ~</t>
        </is>
      </c>
      <c r="D18" s="11" t="inlineStr">
        <is>
          <t>~에 관한 최신 현황을 공유하다</t>
        </is>
      </c>
      <c r="E18" s="11" t="inlineStr">
        <is>
          <t>Can someone give an update on the website launch?</t>
        </is>
      </c>
      <c r="F18" s="11" t="inlineStr">
        <is>
          <t>웹사이트 출시 최신 진행 상황 브리핑해 주실 분 계신가요?</t>
        </is>
      </c>
      <c r="G18" s="5">
        <f>HYPERLINK("https://www.youtube.com/watch?v=PXK2iOIjICI", "영상 보기 ▶")</f>
        <v/>
      </c>
    </row>
    <row r="19" ht="26" customHeight="1">
      <c r="A19" s="6" t="n">
        <v>818</v>
      </c>
      <c r="B19" s="7" t="inlineStr">
        <is>
          <t>조사/검토</t>
        </is>
      </c>
      <c r="C19" s="8" t="inlineStr">
        <is>
          <t>look into</t>
        </is>
      </c>
      <c r="D19" s="12" t="inlineStr">
        <is>
          <t>자세히 알아보다, 조사하다</t>
        </is>
      </c>
      <c r="E19" s="12" t="inlineStr">
        <is>
          <t>I'll look into the server issue right after this meeting.</t>
        </is>
      </c>
      <c r="F19" s="12" t="inlineStr">
        <is>
          <t>이번 회의 끝나는 대로 서버 문제를 면밀히 조사해 보겠습니다.</t>
        </is>
      </c>
      <c r="G19" s="9">
        <f>HYPERLINK("https://www.youtube.com/watch?v=PXK2iOIjICI", "영상 보기 ▶")</f>
        <v/>
      </c>
    </row>
    <row r="20" ht="26" customHeight="1">
      <c r="A20" s="2" t="n">
        <v>819</v>
      </c>
      <c r="B20" s="3" t="inlineStr">
        <is>
          <t>정보 검색</t>
        </is>
      </c>
      <c r="C20" s="4" t="inlineStr">
        <is>
          <t>look up</t>
        </is>
      </c>
      <c r="D20" s="11" t="inlineStr">
        <is>
          <t>① 사전을 찾아보다 ② 상황이 나아지다</t>
        </is>
      </c>
      <c r="E20" s="11" t="inlineStr">
        <is>
          <t>Things are finally looking up for our startup.</t>
        </is>
      </c>
      <c r="F20" s="11" t="inlineStr">
        <is>
          <t>우리 스타트업 사업 상황이 드디어 호전되고 있어.</t>
        </is>
      </c>
      <c r="G20" s="5">
        <f>HYPERLINK("https://www.youtube.com/watch?v=PXK2iOIjICI", "영상 보기 ▶")</f>
        <v/>
      </c>
    </row>
    <row r="21" ht="26" customHeight="1">
      <c r="A21" s="6" t="n">
        <v>820</v>
      </c>
      <c r="B21" s="7" t="inlineStr">
        <is>
          <t>용건 요약</t>
        </is>
      </c>
      <c r="C21" s="8" t="inlineStr">
        <is>
          <t>make it quick</t>
        </is>
      </c>
      <c r="D21" s="12" t="inlineStr">
        <is>
          <t>간단히 용건만 빨리 끝내다</t>
        </is>
      </c>
      <c r="E21" s="12" t="inlineStr">
        <is>
          <t>I have another call in five minutes, so please make it quick.</t>
        </is>
      </c>
      <c r="F21" s="12" t="inlineStr">
        <is>
          <t>5분 뒤에 다른 통화가 있으니 간단히 용건만 빠르게 부탁해요.</t>
        </is>
      </c>
      <c r="G21" s="9">
        <f>HYPERLINK("https://www.youtube.com/watch?v=PXK2iOIjICI", "영상 보기 ▶")</f>
        <v/>
      </c>
    </row>
    <row r="22" ht="26" customHeight="1">
      <c r="A22" s="2" t="n">
        <v>821</v>
      </c>
      <c r="B22" s="3" t="inlineStr">
        <is>
          <t>마무리 인사</t>
        </is>
      </c>
      <c r="C22" s="4" t="inlineStr">
        <is>
          <t>That's it for today</t>
        </is>
      </c>
      <c r="D22" s="11" t="inlineStr">
        <is>
          <t>오늘 준비한 내용은 여기까지입니다</t>
        </is>
      </c>
      <c r="E22" s="11" t="inlineStr">
        <is>
          <t>That's it for today, everyone. Have a great evening!</t>
        </is>
      </c>
      <c r="F22" s="11" t="inlineStr">
        <is>
          <t>오늘 준비한 내용은 여기까지입니다. 모두 좋은 저녁 보내세요!</t>
        </is>
      </c>
      <c r="G22" s="5">
        <f>HYPERLINK("https://www.youtube.com/watch?v=PXK2iOIjICI", "영상 보기 ▶")</f>
        <v/>
      </c>
    </row>
    <row r="23" ht="26" customHeight="1">
      <c r="A23" s="6" t="n">
        <v>822</v>
      </c>
      <c r="B23" s="7" t="inlineStr">
        <is>
          <t>정보 공유</t>
        </is>
      </c>
      <c r="C23" s="8" t="inlineStr">
        <is>
          <t>share</t>
        </is>
      </c>
      <c r="D23" s="12" t="inlineStr">
        <is>
          <t>(화면이나 의견을) 공유하다</t>
        </is>
      </c>
      <c r="E23" s="12" t="inlineStr">
        <is>
          <t>Let me share my screen with you.</t>
        </is>
      </c>
      <c r="F23" s="12" t="inlineStr">
        <is>
          <t>제 화면을 공유해 드리겠습니다.</t>
        </is>
      </c>
      <c r="G23" s="9">
        <f>HYPERLINK("https://www.youtube.com/watch?v=PXK2iOIjICI", "영상 보기 ▶")</f>
        <v/>
      </c>
    </row>
    <row r="24" ht="26" customHeight="1">
      <c r="A24" s="2" t="n">
        <v>823</v>
      </c>
      <c r="B24" s="3" t="inlineStr">
        <is>
          <t>계절 스몰토크</t>
        </is>
      </c>
      <c r="C24" s="4" t="inlineStr">
        <is>
          <t>this time of year</t>
        </is>
      </c>
      <c r="D24" s="11" t="inlineStr">
        <is>
          <t>연중 이맘때쯤, 계절의 이 시기</t>
        </is>
      </c>
      <c r="E24" s="11" t="inlineStr">
        <is>
          <t>It rains quite often in Seattle around this time of year.</t>
        </is>
      </c>
      <c r="F24" s="11" t="inlineStr">
        <is>
          <t>연중 이맘때 시애틀에는 비가 꽤 자주 내립니다.</t>
        </is>
      </c>
      <c r="G24" s="5">
        <f>HYPERLINK("https://www.youtube.com/watch?v=PXK2iOIjICI", "영상 보기 ▶")</f>
        <v/>
      </c>
    </row>
    <row r="25" ht="26" customHeight="1">
      <c r="A25" s="6" t="n">
        <v>824</v>
      </c>
      <c r="B25" s="7" t="inlineStr">
        <is>
          <t>새해 다짐</t>
        </is>
      </c>
      <c r="C25" s="8" t="inlineStr">
        <is>
          <t>New Year's resolution</t>
        </is>
      </c>
      <c r="D25" s="12" t="inlineStr">
        <is>
          <t>새해 결심, 새해 목표</t>
        </is>
      </c>
      <c r="E25" s="12" t="inlineStr">
        <is>
          <t>My New Year's resolution is to read one book every week.</t>
        </is>
      </c>
      <c r="F25" s="12" t="inlineStr">
        <is>
          <t>제 새해 결심은 매주 책 한 권씩 읽는 것입니다.</t>
        </is>
      </c>
      <c r="G25" s="9">
        <f>HYPERLINK("https://www.youtube.com/watch?v=PXK2iOIjICI", "영상 보기 ▶")</f>
        <v/>
      </c>
    </row>
    <row r="26" ht="26" customHeight="1">
      <c r="A26" s="2" t="n">
        <v>825</v>
      </c>
      <c r="B26" s="3" t="inlineStr">
        <is>
          <t>시간 감탄</t>
        </is>
      </c>
      <c r="C26" s="4" t="inlineStr">
        <is>
          <t>Time flies</t>
        </is>
      </c>
      <c r="D26" s="11" t="inlineStr">
        <is>
          <t>시간 참 쏜살같이 빠르다!</t>
        </is>
      </c>
      <c r="E26" s="11" t="inlineStr">
        <is>
          <t>It's already December? Wow, time flies!</t>
        </is>
      </c>
      <c r="F26" s="11" t="inlineStr">
        <is>
          <t>벌써 12월이라고? 와, 시간 진짜 쏜살같이 빠르네!</t>
        </is>
      </c>
      <c r="G26" s="5">
        <f>HYPERLINK("https://www.youtube.com/watch?v=PXK2iOIjICI", "영상 보기 ▶")</f>
        <v/>
      </c>
    </row>
    <row r="27" ht="26" customHeight="1">
      <c r="A27" s="6" t="n">
        <v>826</v>
      </c>
      <c r="B27" s="7" t="inlineStr">
        <is>
          <t>방한 당부</t>
        </is>
      </c>
      <c r="C27" s="8" t="inlineStr">
        <is>
          <t>Bundle up / Stay warm</t>
        </is>
      </c>
      <c r="D27" s="12" t="inlineStr">
        <is>
          <t>옷 따뜻하게 챙겨 입으세요! (겨울 인사)</t>
        </is>
      </c>
      <c r="E27" s="12" t="inlineStr">
        <is>
          <t>It's freezing outside; make sure you bundle up!</t>
        </is>
      </c>
      <c r="F27" s="12" t="inlineStr">
        <is>
          <t>밖이 영하로 꽁꽁 얼어붙었어요, 옷 꼭 따뜻하게 껴입으세요!</t>
        </is>
      </c>
      <c r="G27" s="9">
        <f>HYPERLINK("https://www.youtube.com/watch?v=PXK2iOIjICI", "영상 보기 ▶")</f>
        <v/>
      </c>
    </row>
    <row r="28" ht="26" customHeight="1">
      <c r="A28" s="2" t="n">
        <v>827</v>
      </c>
      <c r="B28" s="3" t="inlineStr">
        <is>
          <t>뜻밖의 발견</t>
        </is>
      </c>
      <c r="C28" s="4" t="inlineStr">
        <is>
          <t>I didn't know ~</t>
        </is>
      </c>
      <c r="D28" s="11" t="inlineStr">
        <is>
          <t>~인 줄 미처 몰랐네! (스몰토크 호응)</t>
        </is>
      </c>
      <c r="E28" s="11" t="inlineStr">
        <is>
          <t>I didn't know you played the guitar so well!</t>
        </is>
      </c>
      <c r="F28" s="11" t="inlineStr">
        <is>
          <t>너 기타를 그렇게 잘 치는 줄 미처 몰랐네!</t>
        </is>
      </c>
      <c r="G28" s="5">
        <f>HYPERLINK("https://www.youtube.com/watch?v=PXK2iOIjICI", "영상 보기 ▶")</f>
        <v/>
      </c>
    </row>
    <row r="29" ht="26" customHeight="1">
      <c r="A29" s="6" t="n">
        <v>828</v>
      </c>
      <c r="B29" s="7" t="inlineStr">
        <is>
          <t>완전 설득</t>
        </is>
      </c>
      <c r="C29" s="8" t="inlineStr">
        <is>
          <t>I'm sold</t>
        </is>
      </c>
      <c r="D29" s="12" t="inlineStr">
        <is>
          <t>나 완전 설득됐어! / 그거 대찬성이야!</t>
        </is>
      </c>
      <c r="E29" s="12" t="inlineStr">
        <is>
          <t>Unlimited cloud storage for that price? I'm sold!</t>
        </is>
      </c>
      <c r="F29" s="12" t="inlineStr">
        <is>
          <t>그 가격에 무제한 클라우드라고? 나 완전 설득됐어, 바로 결제할래!</t>
        </is>
      </c>
      <c r="G29" s="9">
        <f>HYPERLINK("https://www.youtube.com/watch?v=PXK2iOIjICI", "영상 보기 ▶")</f>
        <v/>
      </c>
    </row>
    <row r="30" ht="26" customHeight="1">
      <c r="A30" s="2" t="n">
        <v>829</v>
      </c>
      <c r="B30" s="3" t="inlineStr">
        <is>
          <t>의구심</t>
        </is>
      </c>
      <c r="C30" s="4" t="inlineStr">
        <is>
          <t>I'm not sold on this</t>
        </is>
      </c>
      <c r="D30" s="11" t="inlineStr">
        <is>
          <t>난 이거 아직 설득이 안 돼, 미심쩍어</t>
        </is>
      </c>
      <c r="E30" s="11" t="inlineStr">
        <is>
          <t>The design looks modern, but I'm not sold on its functionality.</t>
        </is>
      </c>
      <c r="F30" s="11" t="inlineStr">
        <is>
          <t>디자인은 세련돼 보이는데, 실용성에 대해선 아직 납득이 안 가.</t>
        </is>
      </c>
      <c r="G30" s="5">
        <f>HYPERLINK("https://www.youtube.com/watch?v=PXK2iOIjICI", "영상 보기 ▶")</f>
        <v/>
      </c>
    </row>
    <row r="31" ht="26" customHeight="1">
      <c r="A31" s="6" t="n">
        <v>830</v>
      </c>
      <c r="B31" s="7" t="inlineStr">
        <is>
          <t>불신</t>
        </is>
      </c>
      <c r="C31" s="8" t="inlineStr">
        <is>
          <t>I don't buy it</t>
        </is>
      </c>
      <c r="D31" s="12" t="inlineStr">
        <is>
          <t>그 말 안 믿어, 신빙성이 없어</t>
        </is>
      </c>
      <c r="E31" s="12" t="inlineStr">
        <is>
          <t>He said his alarm didn't go off, but I don't buy it.</t>
        </is>
      </c>
      <c r="F31" s="12" t="inlineStr">
        <is>
          <t>알람이 안 울렸다고 핑계를 대는데, 난 그 말 안 믿어.</t>
        </is>
      </c>
      <c r="G31" s="9">
        <f>HYPERLINK("https://www.youtube.com/watch?v=PXK2iOIjICI", "영상 보기 ▶")</f>
        <v/>
      </c>
    </row>
    <row r="32" ht="26" customHeight="1">
      <c r="A32" s="2" t="n">
        <v>831</v>
      </c>
      <c r="B32" s="3" t="inlineStr">
        <is>
          <t>문제적 요인</t>
        </is>
      </c>
      <c r="C32" s="4" t="inlineStr">
        <is>
          <t>problematic</t>
        </is>
      </c>
      <c r="D32" s="11" t="inlineStr">
        <is>
          <t>문제가 있는, 골칫거리의</t>
        </is>
      </c>
      <c r="E32" s="11" t="inlineStr">
        <is>
          <t>His lack of punctuality has become increasingly problematic.</t>
        </is>
      </c>
      <c r="F32" s="11" t="inlineStr">
        <is>
          <t>그의 잦은 지각은 점점 더 심각한 문제거리가 되고 있습니다.</t>
        </is>
      </c>
      <c r="G32" s="5">
        <f>HYPERLINK("https://www.youtube.com/watch?v=PXK2iOIjICI", "영상 보기 ▶")</f>
        <v/>
      </c>
    </row>
    <row r="33" ht="26" customHeight="1">
      <c r="A33" s="6" t="n">
        <v>832</v>
      </c>
      <c r="B33" s="7" t="inlineStr">
        <is>
          <t>첫인상</t>
        </is>
      </c>
      <c r="C33" s="8" t="inlineStr">
        <is>
          <t>strike (사람) as ~</t>
        </is>
      </c>
      <c r="D33" s="12" t="inlineStr">
        <is>
          <t>~에게 ...라는 인상을 주다</t>
        </is>
      </c>
      <c r="E33" s="12" t="inlineStr">
        <is>
          <t>He strikes me as a very reliable and honest manager.</t>
        </is>
      </c>
      <c r="F33" s="12" t="inlineStr">
        <is>
          <t>그는 대단히 신뢰할 수 있고 정직한 관리자라는 인상을 줍니다.</t>
        </is>
      </c>
      <c r="G33" s="9">
        <f>HYPERLINK("https://www.youtube.com/watch?v=PXK2iOIjICI", "영상 보기 ▶")</f>
        <v/>
      </c>
    </row>
    <row r="34" ht="26" customHeight="1">
      <c r="A34" s="2" t="n">
        <v>833</v>
      </c>
      <c r="B34" s="3" t="inlineStr">
        <is>
          <t>집순이/집돌이</t>
        </is>
      </c>
      <c r="C34" s="4" t="inlineStr">
        <is>
          <t>homebody</t>
        </is>
      </c>
      <c r="D34" s="11" t="inlineStr">
        <is>
          <t>집에 있는 걸 좋아하는 사람, 집순이/집돌이</t>
        </is>
      </c>
      <c r="E34" s="11" t="inlineStr">
        <is>
          <t>On weekends, I'm a complete homebody; I rarely go out.</t>
        </is>
      </c>
      <c r="F34" s="11" t="inlineStr">
        <is>
          <t>주말에 난 완전 집순이야, 웬만해선 밖으로 안 나가.</t>
        </is>
      </c>
      <c r="G34" s="5">
        <f>HYPERLINK("https://www.youtube.com/watch?v=PXK2iOIjICI", "영상 보기 ▶")</f>
        <v/>
      </c>
    </row>
    <row r="35" ht="26" customHeight="1">
      <c r="A35" s="6" t="n">
        <v>834</v>
      </c>
      <c r="B35" s="7" t="inlineStr">
        <is>
          <t>불행 중 다행</t>
        </is>
      </c>
      <c r="C35" s="8" t="inlineStr">
        <is>
          <t>silver lining</t>
        </is>
      </c>
      <c r="D35" s="12" t="inlineStr">
        <is>
          <t>(먹구름 뒤의) 한 줄기 빛, 불행 중 다행</t>
        </is>
      </c>
      <c r="E35" s="12" t="inlineStr">
        <is>
          <t>The flight was canceled, but the silver lining is extra rest.</t>
        </is>
      </c>
      <c r="F35" s="12" t="inlineStr">
        <is>
          <t>비행기가 결항됐지만, 불행 중 다행으로 푹 쉴 시간을 얻었어.</t>
        </is>
      </c>
      <c r="G35" s="9">
        <f>HYPERLINK("https://www.youtube.com/watch?v=PXK2iOIjICI", "영상 보기 ▶")</f>
        <v/>
      </c>
    </row>
    <row r="36" ht="26" customHeight="1">
      <c r="A36" s="2" t="n">
        <v>835</v>
      </c>
      <c r="B36" s="3" t="inlineStr">
        <is>
          <t>첫 대면 인사</t>
        </is>
      </c>
      <c r="C36" s="4" t="inlineStr">
        <is>
          <t>It's nice to put a face to the voice</t>
        </is>
      </c>
      <c r="D36" s="11" t="inlineStr">
        <is>
          <t>목소리만 듣다가 직접 얼굴 뵈니 정말 반갑습니다</t>
        </is>
      </c>
      <c r="E36" s="11" t="inlineStr">
        <is>
          <t>We've emailed for months; it's so nice to put a face to the name.</t>
        </is>
      </c>
      <c r="F36" s="11" t="inlineStr">
        <is>
          <t>몇 달간 이메일만 나누다 직접 얼굴 뵈니 정말 반갑습니다.</t>
        </is>
      </c>
      <c r="G36" s="5">
        <f>HYPERLINK("https://www.youtube.com/watch?v=PXK2iOIjICI", "영상 보기 ▶")</f>
        <v/>
      </c>
    </row>
    <row r="37" ht="26" customHeight="1">
      <c r="A37" s="6" t="n">
        <v>836</v>
      </c>
      <c r="B37" s="7" t="inlineStr">
        <is>
          <t>지인 관계</t>
        </is>
      </c>
      <c r="C37" s="8" t="inlineStr">
        <is>
          <t>acquaintance</t>
        </is>
      </c>
      <c r="D37" s="12" t="inlineStr">
        <is>
          <t>알고 지내는 사이, 안면이 있는 사람</t>
        </is>
      </c>
      <c r="E37" s="12" t="inlineStr">
        <is>
          <t>I made several new professional acquaintances at the expo.</t>
        </is>
      </c>
      <c r="F37" s="12" t="inlineStr">
        <is>
          <t>박람회에서 업계 쪽 아는 지인들을 여럿 만들었습니다.</t>
        </is>
      </c>
      <c r="G37" s="9">
        <f>HYPERLINK("https://www.youtube.com/watch?v=PXK2iOIjICI", "영상 보기 ▶")</f>
        <v/>
      </c>
    </row>
    <row r="38" ht="26" customHeight="1">
      <c r="A38" s="2" t="n">
        <v>837</v>
      </c>
      <c r="B38" s="3" t="inlineStr">
        <is>
          <t>믿음직한 해결사</t>
        </is>
      </c>
      <c r="C38" s="4" t="inlineStr">
        <is>
          <t>go-to person</t>
        </is>
      </c>
      <c r="D38" s="11" t="inlineStr">
        <is>
          <t>문제가 생기면 가장 먼저 찾는 사람, 만능 해결사</t>
        </is>
      </c>
      <c r="E38" s="11" t="inlineStr">
        <is>
          <t>When it comes to Excel formulas, Tom is our go-to person.</t>
        </is>
      </c>
      <c r="F38" s="11" t="inlineStr">
        <is>
          <t>엑셀 함수에 관한 한 톰이 우리 부서의 만능 해결사야.</t>
        </is>
      </c>
      <c r="G38" s="5">
        <f>HYPERLINK("https://www.youtube.com/watch?v=PXK2iOIjICI", "영상 보기 ▶")</f>
        <v/>
      </c>
    </row>
    <row r="39" ht="26" customHeight="1">
      <c r="A39" s="6" t="n">
        <v>838</v>
      </c>
      <c r="B39" s="7" t="inlineStr">
        <is>
          <t>회의 소집</t>
        </is>
      </c>
      <c r="C39" s="8" t="inlineStr">
        <is>
          <t>convene</t>
        </is>
      </c>
      <c r="D39" s="12" t="inlineStr">
        <is>
          <t>(공식 회의를) 소집하다</t>
        </is>
      </c>
      <c r="E39" s="12" t="inlineStr">
        <is>
          <t>The committee will convene next Tuesday at 10 AM.</t>
        </is>
      </c>
      <c r="F39" s="12" t="inlineStr">
        <is>
          <t>위원회는 다음 주 화요일 오전 10시에 소집될 예정입니다.</t>
        </is>
      </c>
      <c r="G39" s="9">
        <f>HYPERLINK("https://www.youtube.com/watch?v=PXK2iOIjICI", "영상 보기 ▶")</f>
        <v/>
      </c>
    </row>
    <row r="40" ht="26" customHeight="1">
      <c r="A40" s="2" t="n">
        <v>839</v>
      </c>
      <c r="B40" s="3" t="inlineStr">
        <is>
          <t>회의 재개</t>
        </is>
      </c>
      <c r="C40" s="4" t="inlineStr">
        <is>
          <t>reconvene</t>
        </is>
      </c>
      <c r="D40" s="11" t="inlineStr">
        <is>
          <t>(잠시 정회 후) 회의를 다시 열다, 재개하다</t>
        </is>
      </c>
      <c r="E40" s="11" t="inlineStr">
        <is>
          <t>Let's take a 15-minute break and reconvene at 2:30.</t>
        </is>
      </c>
      <c r="F40" s="11" t="inlineStr">
        <is>
          <t>15분 휴식 후 2시 30분에 다시 모여 회의를 재개합시다.</t>
        </is>
      </c>
      <c r="G40" s="5">
        <f>HYPERLINK("https://www.youtube.com/watch?v=PXK2iOIjICI", "영상 보기 ▶")</f>
        <v/>
      </c>
    </row>
    <row r="41" ht="26" customHeight="1">
      <c r="A41" s="6" t="n">
        <v>840</v>
      </c>
      <c r="B41" s="7" t="inlineStr">
        <is>
          <t>내일 첫 일과</t>
        </is>
      </c>
      <c r="C41" s="8" t="inlineStr">
        <is>
          <t>first thing tomorrow morning</t>
        </is>
      </c>
      <c r="D41" s="12" t="inlineStr">
        <is>
          <t>내일 아침 출근하자마자 맨 먼저</t>
        </is>
      </c>
      <c r="E41" s="12" t="inlineStr">
        <is>
          <t>I'll send you the revised draft first thing tomorrow morning.</t>
        </is>
      </c>
      <c r="F41" s="12" t="inlineStr">
        <is>
          <t>내일 아침 출근하자마자 수정 초안을 가장 먼저 보내드릴게요.</t>
        </is>
      </c>
      <c r="G41" s="9">
        <f>HYPERLINK("https://www.youtube.com/watch?v=PXK2iOIjICI", "영상 보기 ▶")</f>
        <v/>
      </c>
    </row>
    <row r="42" ht="26" customHeight="1">
      <c r="A42" s="2" t="n">
        <v>841</v>
      </c>
      <c r="B42" s="3" t="inlineStr">
        <is>
          <t>간단한 확인</t>
        </is>
      </c>
      <c r="C42" s="4" t="inlineStr">
        <is>
          <t>touch base</t>
        </is>
      </c>
      <c r="D42" s="11" t="inlineStr">
        <is>
          <t>간단히 현황을 확인하다, 안부를 묻다</t>
        </is>
      </c>
      <c r="E42" s="11" t="inlineStr">
        <is>
          <t>I just wanted to touch base and see how the onboarding is going.</t>
        </is>
      </c>
      <c r="F42" s="11" t="inlineStr">
        <is>
          <t>신규 온보딩이 어떻게 잘 진행되고 있는지 간단히 확인차 연락드렸어요.</t>
        </is>
      </c>
      <c r="G42" s="5">
        <f>HYPERLINK("https://www.youtube.com/watch?v=PXK2iOIjICI", "영상 보기 ▶")</f>
        <v/>
      </c>
    </row>
    <row r="43" ht="26" customHeight="1">
      <c r="A43" s="6" t="n">
        <v>842</v>
      </c>
      <c r="B43" s="7" t="inlineStr">
        <is>
          <t>비공식 단서</t>
        </is>
      </c>
      <c r="C43" s="8" t="inlineStr">
        <is>
          <t>Don't quote me on that</t>
        </is>
      </c>
      <c r="D43" s="12" t="inlineStr">
        <is>
          <t>내 말이 100% 정확한 건 아니니 장담하진 마세요</t>
        </is>
      </c>
      <c r="E43" s="12" t="inlineStr">
        <is>
          <t>The launch might be in June, but please don't quote me on that.</t>
        </is>
      </c>
      <c r="F43" s="12" t="inlineStr">
        <is>
          <t>출시가 6월일 수도 있지만, 제 말을 확정된 사실로 인용하진 마세요.</t>
        </is>
      </c>
      <c r="G43" s="9">
        <f>HYPERLINK("https://www.youtube.com/watch?v=PXK2iOIjICI", "영상 보기 ▶")</f>
        <v/>
      </c>
    </row>
    <row r="44" ht="26" customHeight="1">
      <c r="A44" s="2" t="n">
        <v>843</v>
      </c>
      <c r="B44" s="3" t="inlineStr">
        <is>
          <t>인용/견적</t>
        </is>
      </c>
      <c r="C44" s="4" t="inlineStr">
        <is>
          <t>quote</t>
        </is>
      </c>
      <c r="D44" s="11" t="inlineStr">
        <is>
          <t>① 인용하다 ② (가격 견적을) 내다</t>
        </is>
      </c>
      <c r="E44" s="11" t="inlineStr">
        <is>
          <t>Can you give me an official price quote for bulk orders?</t>
        </is>
      </c>
      <c r="F44" s="11" t="inlineStr">
        <is>
          <t>대량 주문에 대한 공식 가격 견적서를 뽑아주실 수 있나요?</t>
        </is>
      </c>
      <c r="G44" s="5">
        <f>HYPERLINK("https://www.youtube.com/watch?v=PXK2iOIjICI", "영상 보기 ▶")</f>
        <v/>
      </c>
    </row>
    <row r="45" ht="26" customHeight="1">
      <c r="A45" s="6" t="n">
        <v>844</v>
      </c>
      <c r="B45" s="7" t="inlineStr">
        <is>
          <t>시기상조</t>
        </is>
      </c>
      <c r="C45" s="8" t="inlineStr">
        <is>
          <t>premature</t>
        </is>
      </c>
      <c r="D45" s="12" t="inlineStr">
        <is>
          <t>너무 이른, 시기상조의</t>
        </is>
      </c>
      <c r="E45" s="12" t="inlineStr">
        <is>
          <t>Declaring victory right now would be highly premature.</t>
        </is>
      </c>
      <c r="F45" s="12" t="inlineStr">
        <is>
          <t>지금 승리를 선언하는 것은 대단히 시기상조입니다.</t>
        </is>
      </c>
      <c r="G45" s="9">
        <f>HYPERLINK("https://www.youtube.com/watch?v=PXK2iOIjICI", "영상 보기 ▶")</f>
        <v/>
      </c>
    </row>
    <row r="46" ht="26" customHeight="1">
      <c r="A46" s="2" t="n">
        <v>845</v>
      </c>
      <c r="B46" s="3" t="inlineStr">
        <is>
          <t>시간문제</t>
        </is>
      </c>
      <c r="C46" s="4" t="inlineStr">
        <is>
          <t>It's just/only a matter of time</t>
        </is>
      </c>
      <c r="D46" s="11" t="inlineStr">
        <is>
          <t>그것은 단지 시간문제일 뿐이야</t>
        </is>
      </c>
      <c r="E46" s="11" t="inlineStr">
        <is>
          <t>With his talent, getting a big promotion is just a matter of time.</t>
        </is>
      </c>
      <c r="F46" s="11" t="inlineStr">
        <is>
          <t>그의 재능이라면 크게 승진하는 건 단지 시간문제일 뿐이야.</t>
        </is>
      </c>
      <c r="G46" s="5">
        <f>HYPERLINK("https://www.youtube.com/watch?v=PXK2iOIjICI", "영상 보기 ▶")</f>
        <v/>
      </c>
    </row>
    <row r="47" ht="26" customHeight="1">
      <c r="A47" s="6" t="n">
        <v>846</v>
      </c>
      <c r="B47" s="7" t="inlineStr">
        <is>
          <t>관점의 차이</t>
        </is>
      </c>
      <c r="C47" s="8" t="inlineStr">
        <is>
          <t>It's a matter of perspective</t>
        </is>
      </c>
      <c r="D47" s="12" t="inlineStr">
        <is>
          <t>그건 어떤 관점으로 보느냐의 차이야</t>
        </is>
      </c>
      <c r="E47" s="12" t="inlineStr">
        <is>
          <t>Whether it's a crisis or an opportunity is a matter of perspective.</t>
        </is>
      </c>
      <c r="F47" s="12" t="inlineStr">
        <is>
          <t>이것이 위기인지 기회인지는 결국 관점의 차이입니다.</t>
        </is>
      </c>
      <c r="G47" s="9">
        <f>HYPERLINK("https://www.youtube.com/watch?v=PXK2iOIjICI", "영상 보기 ▶")</f>
        <v/>
      </c>
    </row>
    <row r="48" ht="26" customHeight="1">
      <c r="A48" s="2" t="n">
        <v>847</v>
      </c>
      <c r="B48" s="3" t="inlineStr">
        <is>
          <t>화제 전환</t>
        </is>
      </c>
      <c r="C48" s="4" t="inlineStr">
        <is>
          <t>Speaking of ~</t>
        </is>
      </c>
      <c r="D48" s="11" t="inlineStr">
        <is>
          <t>~ 이야기가 나와서 말인데,</t>
        </is>
      </c>
      <c r="E48" s="11" t="inlineStr">
        <is>
          <t>Speaking of birthdays, what are your plans for Friday?</t>
        </is>
      </c>
      <c r="F48" s="11" t="inlineStr">
        <is>
          <t>생일 얘기가 나와서 말인데, 이번 주 금요일에 무슨 계획 있어?</t>
        </is>
      </c>
      <c r="G48" s="5">
        <f>HYPERLINK("https://www.youtube.com/watch?v=PXK2iOIjICI", "영상 보기 ▶")</f>
        <v/>
      </c>
    </row>
    <row r="49" ht="26" customHeight="1">
      <c r="A49" s="6" t="n">
        <v>848</v>
      </c>
      <c r="B49" s="7" t="inlineStr">
        <is>
          <t>불명확함</t>
        </is>
      </c>
      <c r="C49" s="8" t="inlineStr">
        <is>
          <t>fuzzy</t>
        </is>
      </c>
      <c r="D49" s="12" t="inlineStr">
        <is>
          <t>(기억이나 생각이) 흐릿한, 모호한</t>
        </is>
      </c>
      <c r="E49" s="12" t="inlineStr">
        <is>
          <t>My recollection of that incident is a bit fuzzy.</t>
        </is>
      </c>
      <c r="F49" s="12" t="inlineStr">
        <is>
          <t>그 사건에 대한 내 기억이 다소 흐릿하고 가물가물해.</t>
        </is>
      </c>
      <c r="G49" s="9">
        <f>HYPERLINK("https://www.youtube.com/watch?v=PXK2iOIjICI", "영상 보기 ▶")</f>
        <v/>
      </c>
    </row>
    <row r="50" ht="26" customHeight="1">
      <c r="A50" s="2" t="n">
        <v>849</v>
      </c>
      <c r="B50" s="3" t="inlineStr">
        <is>
          <t>마음 따스함</t>
        </is>
      </c>
      <c r="C50" s="4" t="inlineStr">
        <is>
          <t>warm and fuzzy</t>
        </is>
      </c>
      <c r="D50" s="11" t="inlineStr">
        <is>
          <t>마음이 훈훈하고 몽글몽글해지는</t>
        </is>
      </c>
      <c r="E50" s="11" t="inlineStr">
        <is>
          <t>Seeing their family reunion gave me that warm and fuzzy feeling.</t>
        </is>
      </c>
      <c r="F50" s="11" t="inlineStr">
        <is>
          <t>그들의 가족 상봉을 보니 마음이 훈훈하고 몽글몽글해졌어.</t>
        </is>
      </c>
      <c r="G50" s="5">
        <f>HYPERLINK("https://www.youtube.com/watch?v=PXK2iOIjICI", "영상 보기 ▶")</f>
        <v/>
      </c>
    </row>
    <row r="51" ht="26" customHeight="1">
      <c r="A51" s="6" t="n">
        <v>850</v>
      </c>
      <c r="B51" s="7" t="inlineStr">
        <is>
          <t>격한 감사</t>
        </is>
      </c>
      <c r="C51" s="8" t="inlineStr">
        <is>
          <t>You're a lifesaver!</t>
        </is>
      </c>
      <c r="D51" s="12" t="inlineStr">
        <is>
          <t>너 덕분에 살았다! 진짜 생명의 은인이야!</t>
        </is>
      </c>
      <c r="E51" s="12" t="inlineStr">
        <is>
          <t>Thank you for lending me your car; you're a true lifesaver!</t>
        </is>
      </c>
      <c r="F51" s="12" t="inlineStr">
        <is>
          <t>차 빌려줘서 정말 고마워, 너 진짜 내 생명의 은인이야!</t>
        </is>
      </c>
      <c r="G51" s="9">
        <f>HYPERLINK("https://www.youtube.com/watch?v=PXK2iOIjICI", "영상 보기 ▶")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.2" customWidth="1" min="2" max="2"/>
    <col width="38" customWidth="1" min="3" max="3"/>
    <col width="42.3" customWidth="1" min="4" max="4"/>
    <col width="74" customWidth="1" min="5" max="5"/>
    <col width="65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851</v>
      </c>
      <c r="B2" s="3" t="inlineStr">
        <is>
          <t>무미건조</t>
        </is>
      </c>
      <c r="C2" s="4" t="inlineStr">
        <is>
          <t>dull</t>
        </is>
      </c>
      <c r="D2" s="11" t="inlineStr">
        <is>
          <t>지루한, 따분한, 흐릿한</t>
        </is>
      </c>
      <c r="E2" s="11" t="inlineStr">
        <is>
          <t>There's never a dull moment in our customer support team.</t>
        </is>
      </c>
      <c r="F2" s="11" t="inlineStr">
        <is>
          <t>우리 고객 지원팀에는 단 1초도 지루할 틈이 없어.</t>
        </is>
      </c>
      <c r="G2" s="5">
        <f>HYPERLINK("https://www.youtube.com/watch?v=twFCjBMtIXA", "영상 보기 ▶")</f>
        <v/>
      </c>
    </row>
    <row r="3" ht="26" customHeight="1">
      <c r="A3" s="6" t="n">
        <v>852</v>
      </c>
      <c r="B3" s="7" t="inlineStr">
        <is>
          <t>법적 무효</t>
        </is>
      </c>
      <c r="C3" s="8" t="inlineStr">
        <is>
          <t>null and void</t>
        </is>
      </c>
      <c r="D3" s="12" t="inlineStr">
        <is>
          <t>법적 효력이 없는, 무효인</t>
        </is>
      </c>
      <c r="E3" s="12" t="inlineStr">
        <is>
          <t>Without authorized signatures, this contract is null and void.</t>
        </is>
      </c>
      <c r="F3" s="12" t="inlineStr">
        <is>
          <t>권한 있는 서명이 없으면 이 계약서는 법적으로 완전히 무효입니다.</t>
        </is>
      </c>
      <c r="G3" s="9">
        <f>HYPERLINK("https://www.youtube.com/watch?v=twFCjBMtIXA", "영상 보기 ▶")</f>
        <v/>
      </c>
    </row>
    <row r="4" ht="26" customHeight="1">
      <c r="A4" s="2" t="n">
        <v>853</v>
      </c>
      <c r="B4" s="3" t="inlineStr">
        <is>
          <t>치밀한 계획</t>
        </is>
      </c>
      <c r="C4" s="4" t="inlineStr">
        <is>
          <t>well-thought-out</t>
        </is>
      </c>
      <c r="D4" s="11" t="inlineStr">
        <is>
          <t>심사숙고한, 치밀하게 잘 짜인</t>
        </is>
      </c>
      <c r="E4" s="11" t="inlineStr">
        <is>
          <t>The proposal was well-thought-out and addressed all risks.</t>
        </is>
      </c>
      <c r="F4" s="11" t="inlineStr">
        <is>
          <t>그 제안서는 대단히 치밀하게 잘 짜였고 모든 위험 요소를 다루었습니다.</t>
        </is>
      </c>
      <c r="G4" s="5">
        <f>HYPERLINK("https://www.youtube.com/watch?v=twFCjBMtIXA", "영상 보기 ▶")</f>
        <v/>
      </c>
    </row>
    <row r="5" ht="26" customHeight="1">
      <c r="A5" s="6" t="n">
        <v>854</v>
      </c>
      <c r="B5" s="7" t="inlineStr">
        <is>
          <t>신속 메모</t>
        </is>
      </c>
      <c r="C5" s="8" t="inlineStr">
        <is>
          <t>jot down</t>
        </is>
      </c>
      <c r="D5" s="12" t="inlineStr">
        <is>
          <t>(잊지 않게) 재빨리 간략히 적어두다</t>
        </is>
      </c>
      <c r="E5" s="12" t="inlineStr">
        <is>
          <t>Let me quickly jot down your phone number before I forget.</t>
        </is>
      </c>
      <c r="F5" s="12" t="inlineStr">
        <is>
          <t>잊어버리기 전에 당신 전화번호를 얼른 메모해 둘게요.</t>
        </is>
      </c>
      <c r="G5" s="9">
        <f>HYPERLINK("https://www.youtube.com/watch?v=twFCjBMtIXA", "영상 보기 ▶")</f>
        <v/>
      </c>
    </row>
    <row r="6" ht="26" customHeight="1">
      <c r="A6" s="2" t="n">
        <v>855</v>
      </c>
      <c r="B6" s="3" t="inlineStr">
        <is>
          <t>마지막 승부수</t>
        </is>
      </c>
      <c r="C6" s="4" t="inlineStr">
        <is>
          <t>Hail Mary</t>
        </is>
      </c>
      <c r="D6" s="11" t="inlineStr">
        <is>
          <t>절체절명의 마지막 승부수, 필사의 시도</t>
        </is>
      </c>
      <c r="E6" s="11" t="inlineStr">
        <is>
          <t>Launching this discounted product was our company's Hail Mary.</t>
        </is>
      </c>
      <c r="F6" s="11" t="inlineStr">
        <is>
          <t>이 할인 제품을 출시한 것은 우리 회사의 절체절명의 마지막 승부수였어.</t>
        </is>
      </c>
      <c r="G6" s="5">
        <f>HYPERLINK("https://www.youtube.com/watch?v=twFCjBMtIXA", "영상 보기 ▶")</f>
        <v/>
      </c>
    </row>
    <row r="7" ht="26" customHeight="1">
      <c r="A7" s="6" t="n">
        <v>856</v>
      </c>
      <c r="B7" s="7" t="inlineStr">
        <is>
          <t>임시 일정</t>
        </is>
      </c>
      <c r="C7" s="8" t="inlineStr">
        <is>
          <t>pencil in</t>
        </is>
      </c>
      <c r="D7" s="12" t="inlineStr">
        <is>
          <t>일단 임시로 일정을 잡아두다</t>
        </is>
      </c>
      <c r="E7" s="12" t="inlineStr">
        <is>
          <t>Let's pencil in a lunch meeting for next Thursday.</t>
        </is>
      </c>
      <c r="F7" s="12" t="inlineStr">
        <is>
          <t>다음 주 목요일로 점심 미팅 일정을 일단 잠정적으로 잡아둡시다.</t>
        </is>
      </c>
      <c r="G7" s="9">
        <f>HYPERLINK("https://www.youtube.com/watch?v=twFCjBMtIXA", "영상 보기 ▶")</f>
        <v/>
      </c>
    </row>
    <row r="8" ht="26" customHeight="1">
      <c r="A8" s="2" t="n">
        <v>857</v>
      </c>
      <c r="B8" s="3" t="inlineStr">
        <is>
          <t>불변/확정</t>
        </is>
      </c>
      <c r="C8" s="4" t="inlineStr">
        <is>
          <t>set in stone</t>
        </is>
      </c>
      <c r="D8" s="11" t="inlineStr">
        <is>
          <t>돌에 새겨진 듯 바꿀 수 없는, 확정된</t>
        </is>
      </c>
      <c r="E8" s="11" t="inlineStr">
        <is>
          <t>These are preliminary ideas; nothing is set in stone yet.</t>
        </is>
      </c>
      <c r="F8" s="11" t="inlineStr">
        <is>
          <t>이것들은 예비 아이디어일 뿐이며, 아직 어떤 것도 확정된 건 없습니다.</t>
        </is>
      </c>
      <c r="G8" s="5">
        <f>HYPERLINK("https://www.youtube.com/watch?v=twFCjBMtIXA", "영상 보기 ▶")</f>
        <v/>
      </c>
    </row>
    <row r="9" ht="26" customHeight="1">
      <c r="A9" s="6" t="n">
        <v>858</v>
      </c>
      <c r="B9" s="7" t="inlineStr">
        <is>
          <t>요약 브리핑</t>
        </is>
      </c>
      <c r="C9" s="8" t="inlineStr">
        <is>
          <t>rundown</t>
        </is>
      </c>
      <c r="D9" s="12" t="inlineStr">
        <is>
          <t>간단한 요약 설명, 브리핑</t>
        </is>
      </c>
      <c r="E9" s="12" t="inlineStr">
        <is>
          <t>Could you give me a quick rundown of what happened in the meeting?</t>
        </is>
      </c>
      <c r="F9" s="12" t="inlineStr">
        <is>
          <t>오늘 회의에서 무슨 논의가 있었는지 간단히 요약 브리핑해 주실 수 있나요?</t>
        </is>
      </c>
      <c r="G9" s="9">
        <f>HYPERLINK("https://www.youtube.com/watch?v=twFCjBMtIXA", "영상 보기 ▶")</f>
        <v/>
      </c>
    </row>
    <row r="10" ht="26" customHeight="1">
      <c r="A10" s="2" t="n">
        <v>859</v>
      </c>
      <c r="B10" s="3" t="inlineStr">
        <is>
          <t>여력/역량</t>
        </is>
      </c>
      <c r="C10" s="4" t="inlineStr">
        <is>
          <t>bandwidth</t>
        </is>
      </c>
      <c r="D10" s="11" t="inlineStr">
        <is>
          <t>(정신적/시간적) 여유, 처리 역량</t>
        </is>
      </c>
      <c r="E10" s="11" t="inlineStr">
        <is>
          <t>I'd love to help, but I just don't have the bandwidth this week.</t>
        </is>
      </c>
      <c r="F10" s="11" t="inlineStr">
        <is>
          <t>도와드리고 싶지만 이번 주엔 제가 시간적/정신적 여력이 도저히 안 돼요.</t>
        </is>
      </c>
      <c r="G10" s="5">
        <f>HYPERLINK("https://www.youtube.com/watch?v=twFCjBMtIXA", "영상 보기 ▶")</f>
        <v/>
      </c>
    </row>
    <row r="11" ht="26" customHeight="1">
      <c r="A11" s="6" t="n">
        <v>860</v>
      </c>
      <c r="B11" s="7" t="inlineStr">
        <is>
          <t>부담 덜어주기</t>
        </is>
      </c>
      <c r="C11" s="8" t="inlineStr">
        <is>
          <t>take (대상) off your plate</t>
        </is>
      </c>
      <c r="D11" s="12" t="inlineStr">
        <is>
          <t>(상대의 부담을 덜어주려) 일감을 대신 맡아주다</t>
        </is>
      </c>
      <c r="E11" s="12" t="inlineStr">
        <is>
          <t>Let me take that report formatting off your plate.</t>
        </is>
      </c>
      <c r="F11" s="12" t="inlineStr">
        <is>
          <t>그 보고서 서식 정리 작업은 제가 맡아서 짐을 덜어드릴게요.</t>
        </is>
      </c>
      <c r="G11" s="9">
        <f>HYPERLINK("https://www.youtube.com/watch?v=twFCjBMtIXA", "영상 보기 ▶")</f>
        <v/>
      </c>
    </row>
    <row r="12" ht="26" customHeight="1">
      <c r="A12" s="2" t="n">
        <v>861</v>
      </c>
      <c r="B12" s="3" t="inlineStr">
        <is>
          <t>시간 배려</t>
        </is>
      </c>
      <c r="C12" s="4" t="inlineStr">
        <is>
          <t>I won't take up too much of your time</t>
        </is>
      </c>
      <c r="D12" s="11" t="inlineStr">
        <is>
          <t>시간 많이 뺏지 않겠습니다</t>
        </is>
      </c>
      <c r="E12" s="11" t="inlineStr">
        <is>
          <t>I have just two questions; I won't take up too much of your time.</t>
        </is>
      </c>
      <c r="F12" s="11" t="inlineStr">
        <is>
          <t>질문 딱 두 가지만 드릴게요, 시간 많이 안 뺏겠습니다.</t>
        </is>
      </c>
      <c r="G12" s="5">
        <f>HYPERLINK("https://www.youtube.com/watch?v=twFCjBMtIXA", "영상 보기 ▶")</f>
        <v/>
      </c>
    </row>
    <row r="13" ht="26" customHeight="1">
      <c r="A13" s="6" t="n">
        <v>862</v>
      </c>
      <c r="B13" s="7" t="inlineStr">
        <is>
          <t>시간 소요</t>
        </is>
      </c>
      <c r="C13" s="8" t="inlineStr">
        <is>
          <t>take a while</t>
        </is>
      </c>
      <c r="D13" s="12" t="inlineStr">
        <is>
          <t>시간이 제법 걸리다</t>
        </is>
      </c>
      <c r="E13" s="12" t="inlineStr">
        <is>
          <t>Reviewing all these financial records will take a while.</t>
        </is>
      </c>
      <c r="F13" s="12" t="inlineStr">
        <is>
          <t>이 모든 재무 기록들을 다 검토하려면 시간이 제법 걸릴 거예요.</t>
        </is>
      </c>
      <c r="G13" s="9">
        <f>HYPERLINK("https://www.youtube.com/watch?v=twFCjBMtIXA", "영상 보기 ▶")</f>
        <v/>
      </c>
    </row>
    <row r="14" ht="26" customHeight="1">
      <c r="A14" s="2" t="n">
        <v>863</v>
      </c>
      <c r="B14" s="3" t="inlineStr">
        <is>
          <t>대타/대체</t>
        </is>
      </c>
      <c r="C14" s="4" t="inlineStr">
        <is>
          <t>fill in for (사람)</t>
        </is>
      </c>
      <c r="D14" s="11" t="inlineStr">
        <is>
          <t>~의 빈자리를 대신하여 대타를 뛰다</t>
        </is>
      </c>
      <c r="E14" s="11" t="inlineStr">
        <is>
          <t>Can you fill in for Mike while he's on paternity leave?</t>
        </is>
      </c>
      <c r="F14" s="11" t="inlineStr">
        <is>
          <t>마이크가 육아휴직 중인 동안 대신 그 역할을 맡아줄 수 있나요?</t>
        </is>
      </c>
      <c r="G14" s="5">
        <f>HYPERLINK("https://www.youtube.com/watch?v=twFCjBMtIXA", "영상 보기 ▶")</f>
        <v/>
      </c>
    </row>
    <row r="15" ht="26" customHeight="1">
      <c r="A15" s="6" t="n">
        <v>864</v>
      </c>
      <c r="B15" s="7" t="inlineStr">
        <is>
          <t>내용 공유</t>
        </is>
      </c>
      <c r="C15" s="8" t="inlineStr">
        <is>
          <t>fill (사람) in on ~</t>
        </is>
      </c>
      <c r="D15" s="12" t="inlineStr">
        <is>
          <t>~에게 ...에 관한 자세한 내용을 알려주다</t>
        </is>
      </c>
      <c r="E15" s="12" t="inlineStr">
        <is>
          <t>Please fill me in on what the client discussed yesterday.</t>
        </is>
      </c>
      <c r="F15" s="12" t="inlineStr">
        <is>
          <t>어제 고객사와 어떤 이야기를 나누었는지 자세히 공유해 주세요.</t>
        </is>
      </c>
      <c r="G15" s="9">
        <f>HYPERLINK("https://www.youtube.com/watch?v=twFCjBMtIXA", "영상 보기 ▶")</f>
        <v/>
      </c>
    </row>
    <row r="16" ht="26" customHeight="1">
      <c r="A16" s="2" t="n">
        <v>865</v>
      </c>
      <c r="B16" s="3" t="inlineStr">
        <is>
          <t>용납 불가</t>
        </is>
      </c>
      <c r="C16" s="4" t="inlineStr">
        <is>
          <t>That's not gonna fly</t>
        </is>
      </c>
      <c r="D16" s="11" t="inlineStr">
        <is>
          <t>그런 식은 전혀 안 통해 / 절대 용납 안 돼</t>
        </is>
      </c>
      <c r="E16" s="11" t="inlineStr">
        <is>
          <t>Submitting poor quality work is not gonna fly with this client.</t>
        </is>
      </c>
      <c r="F16" s="11" t="inlineStr">
        <is>
          <t>이런 형편없는 결과물을 내는 건 이 고객사에게 절대 안 통할 거야.</t>
        </is>
      </c>
      <c r="G16" s="5">
        <f>HYPERLINK("https://www.youtube.com/watch?v=twFCjBMtIXA", "영상 보기 ▶")</f>
        <v/>
      </c>
    </row>
    <row r="17" ht="26" customHeight="1">
      <c r="A17" s="6" t="n">
        <v>866</v>
      </c>
      <c r="B17" s="7" t="inlineStr">
        <is>
          <t>미끼 물기</t>
        </is>
      </c>
      <c r="C17" s="8" t="inlineStr">
        <is>
          <t>I'll bite</t>
        </is>
      </c>
      <c r="D17" s="12" t="inlineStr">
        <is>
          <t>그래, 미끼를 물어줄게 (어디 한번 말해봐)</t>
        </is>
      </c>
      <c r="E17" s="12" t="inlineStr">
        <is>
          <t>You look like you're dying to tell a joke. Okay, I'll bite.</t>
        </is>
      </c>
      <c r="F17" s="12" t="inlineStr">
        <is>
          <t>농담하고 싶어 입이 근질근질한 것 같네. 그래, 어디 한번 들어보자.</t>
        </is>
      </c>
      <c r="G17" s="9">
        <f>HYPERLINK("https://www.youtube.com/watch?v=twFCjBMtIXA", "영상 보기 ▶")</f>
        <v/>
      </c>
    </row>
    <row r="18" ht="26" customHeight="1">
      <c r="A18" s="2" t="n">
        <v>867</v>
      </c>
      <c r="B18" s="3" t="inlineStr">
        <is>
          <t>수상함</t>
        </is>
      </c>
      <c r="C18" s="4" t="inlineStr">
        <is>
          <t>fishy</t>
        </is>
      </c>
      <c r="D18" s="11" t="inlineStr">
        <is>
          <t>수상쩍은, 뭔가 구린 구석이 있는</t>
        </is>
      </c>
      <c r="E18" s="11" t="inlineStr">
        <is>
          <t>His sudden change of story seems very fishy to me.</t>
        </is>
      </c>
      <c r="F18" s="11" t="inlineStr">
        <is>
          <t>갑자기 말을 바꾸는 그의 태도가 내겐 몹시 수상쩍어 보여.</t>
        </is>
      </c>
      <c r="G18" s="5">
        <f>HYPERLINK("https://www.youtube.com/watch?v=twFCjBMtIXA", "영상 보기 ▶")</f>
        <v/>
      </c>
    </row>
    <row r="19" ht="26" customHeight="1">
      <c r="A19" s="6" t="n">
        <v>868</v>
      </c>
      <c r="B19" s="7" t="inlineStr">
        <is>
          <t>안심 유도</t>
        </is>
      </c>
      <c r="C19" s="8" t="inlineStr">
        <is>
          <t>I won't bite</t>
        </is>
      </c>
      <c r="D19" s="12" t="inlineStr">
        <is>
          <t>안 물어뜯으니 겁먹지 마 / 편하게 다가와</t>
        </is>
      </c>
      <c r="E19" s="12" t="inlineStr">
        <is>
          <t>Come on in and have a seat; I won't bite!</t>
        </is>
      </c>
      <c r="F19" s="12" t="inlineStr">
        <is>
          <t>어서 들어와서 편하게 앉아요, 해치지 않으니 겁먹지 말아요!</t>
        </is>
      </c>
      <c r="G19" s="9">
        <f>HYPERLINK("https://www.youtube.com/watch?v=twFCjBMtIXA", "영상 보기 ▶")</f>
        <v/>
      </c>
    </row>
    <row r="20" ht="26" customHeight="1">
      <c r="A20" s="2" t="n">
        <v>869</v>
      </c>
      <c r="B20" s="3" t="inlineStr">
        <is>
          <t>취향 아님</t>
        </is>
      </c>
      <c r="C20" s="4" t="inlineStr">
        <is>
          <t>It's not my thing</t>
        </is>
      </c>
      <c r="D20" s="11" t="inlineStr">
        <is>
          <t>내 취향/스타일이 아니야</t>
        </is>
      </c>
      <c r="E20" s="11" t="inlineStr">
        <is>
          <t>Heavy metal music is just not really my thing.</t>
        </is>
      </c>
      <c r="F20" s="11" t="inlineStr">
        <is>
          <t>헤비메탈 음악은 솔직히 내 취향은 아니야.</t>
        </is>
      </c>
      <c r="G20" s="5">
        <f>HYPERLINK("https://www.youtube.com/watch?v=twFCjBMtIXA", "영상 보기 ▶")</f>
        <v/>
      </c>
    </row>
    <row r="21" ht="26" customHeight="1">
      <c r="A21" s="6" t="n">
        <v>870</v>
      </c>
      <c r="B21" s="7" t="inlineStr">
        <is>
          <t>강한 확신</t>
        </is>
      </c>
      <c r="C21" s="8" t="inlineStr">
        <is>
          <t>I'm telling you</t>
        </is>
      </c>
      <c r="D21" s="12" t="inlineStr">
        <is>
          <t>진짜라니까! 내 말 좀 믿어봐</t>
        </is>
      </c>
      <c r="E21" s="12" t="inlineStr">
        <is>
          <t>I'm telling you, this new marketing tool will save hours!</t>
        </is>
      </c>
      <c r="F21" s="12" t="inlineStr">
        <is>
          <t>진짜라니까! 이 새로운 마케팅 툴 쓰면 몇 시간은 절약된다니까!</t>
        </is>
      </c>
      <c r="G21" s="9">
        <f>HYPERLINK("https://www.youtube.com/watch?v=twFCjBMtIXA", "영상 보기 ▶")</f>
        <v/>
      </c>
    </row>
    <row r="22" ht="26" customHeight="1">
      <c r="A22" s="2" t="n">
        <v>871</v>
      </c>
      <c r="B22" s="3" t="inlineStr">
        <is>
          <t>대립/충돌</t>
        </is>
      </c>
      <c r="C22" s="4" t="inlineStr">
        <is>
          <t>confrontation</t>
        </is>
      </c>
      <c r="D22" s="11" t="inlineStr">
        <is>
          <t>대립, 충돌 (avoid confrontation)</t>
        </is>
      </c>
      <c r="E22" s="11" t="inlineStr">
        <is>
          <t>He always tries to avoid unnecessary confrontation at work.</t>
        </is>
      </c>
      <c r="F22" s="11" t="inlineStr">
        <is>
          <t>그는 직장에서 불필요한 충돌과 대립을 항상 피하려 노력해요.</t>
        </is>
      </c>
      <c r="G22" s="5">
        <f>HYPERLINK("https://www.youtube.com/watch?v=twFCjBMtIXA", "영상 보기 ▶")</f>
        <v/>
      </c>
    </row>
    <row r="23" ht="26" customHeight="1">
      <c r="A23" s="6" t="n">
        <v>872</v>
      </c>
      <c r="B23" s="7" t="inlineStr">
        <is>
          <t>잠정적인</t>
        </is>
      </c>
      <c r="C23" s="8" t="inlineStr">
        <is>
          <t>tentative</t>
        </is>
      </c>
      <c r="D23" s="12" t="inlineStr">
        <is>
          <t>잠정적인, 확정되지 않은</t>
        </is>
      </c>
      <c r="E23" s="12" t="inlineStr">
        <is>
          <t>We agreed on a tentative launch date of November 15th.</t>
        </is>
      </c>
      <c r="F23" s="12" t="inlineStr">
        <is>
          <t>우리는 잠정적인 출시일을 11월 15일로 협의했습니다.</t>
        </is>
      </c>
      <c r="G23" s="9">
        <f>HYPERLINK("https://www.youtube.com/watch?v=twFCjBMtIXA", "영상 보기 ▶")</f>
        <v/>
      </c>
    </row>
    <row r="24" ht="26" customHeight="1">
      <c r="A24" s="2" t="n">
        <v>873</v>
      </c>
      <c r="B24" s="3" t="inlineStr">
        <is>
          <t>당사자 측</t>
        </is>
      </c>
      <c r="C24" s="4" t="inlineStr">
        <is>
          <t>on my end</t>
        </is>
      </c>
      <c r="D24" s="11" t="inlineStr">
        <is>
          <t>내 쪽에서는, 우리 측에서는</t>
        </is>
      </c>
      <c r="E24" s="11" t="inlineStr">
        <is>
          <t>Everything is ready on my end; we can proceed anytime.</t>
        </is>
      </c>
      <c r="F24" s="11" t="inlineStr">
        <is>
          <t>저희 측 준비는 다 끝났으니 언제든 진행하시면 됩니다.</t>
        </is>
      </c>
      <c r="G24" s="5">
        <f>HYPERLINK("https://www.youtube.com/watch?v=twFCjBMtIXA", "영상 보기 ▶")</f>
        <v/>
      </c>
    </row>
    <row r="25" ht="26" customHeight="1">
      <c r="A25" s="6" t="n">
        <v>874</v>
      </c>
      <c r="B25" s="7" t="inlineStr">
        <is>
          <t>완전 한산</t>
        </is>
      </c>
      <c r="C25" s="8" t="inlineStr">
        <is>
          <t>dead (한산함)</t>
        </is>
      </c>
      <c r="D25" s="12" t="inlineStr">
        <is>
          <t>손님이 없어 썰렁한, 파리 날리는</t>
        </is>
      </c>
      <c r="E25" s="12" t="inlineStr">
        <is>
          <t>The restaurant was completely dead on Monday afternoon.</t>
        </is>
      </c>
      <c r="F25" s="12" t="inlineStr">
        <is>
          <t>월요일 오후라 식당에 손님이 전혀 없고 완전히 썰렁했어.</t>
        </is>
      </c>
      <c r="G25" s="9">
        <f>HYPERLINK("https://www.youtube.com/watch?v=twFCjBMtIXA", "영상 보기 ▶")</f>
        <v/>
      </c>
    </row>
    <row r="26" ht="26" customHeight="1">
      <c r="A26" s="2" t="n">
        <v>875</v>
      </c>
      <c r="B26" s="3" t="inlineStr">
        <is>
          <t>생산성</t>
        </is>
      </c>
      <c r="C26" s="4" t="inlineStr">
        <is>
          <t>productive</t>
        </is>
      </c>
      <c r="D26" s="11" t="inlineStr">
        <is>
          <t>생산적인, 결실이 풍성한</t>
        </is>
      </c>
      <c r="E26" s="11" t="inlineStr">
        <is>
          <t>Today was one of the most productive days I've had all year.</t>
        </is>
      </c>
      <c r="F26" s="11" t="inlineStr">
        <is>
          <t>오늘은 올해 들어 가장 알차고 생산적인 하루 중 하나였어.</t>
        </is>
      </c>
      <c r="G26" s="5">
        <f>HYPERLINK("https://www.youtube.com/watch?v=twFCjBMtIXA", "영상 보기 ▶")</f>
        <v/>
      </c>
    </row>
    <row r="27" ht="26" customHeight="1">
      <c r="A27" s="6" t="n">
        <v>876</v>
      </c>
      <c r="B27" s="7" t="inlineStr">
        <is>
          <t>안부/위로</t>
        </is>
      </c>
      <c r="C27" s="8" t="inlineStr">
        <is>
          <t>How are you holding up?</t>
        </is>
      </c>
      <c r="D27" s="12" t="inlineStr">
        <is>
          <t>(힘든 상황인데) 어떻게 잘 버티고 계세요?</t>
        </is>
      </c>
      <c r="E27" s="12" t="inlineStr">
        <is>
          <t>I heard about the project crisis. How are you holding up?</t>
        </is>
      </c>
      <c r="F27" s="12" t="inlineStr">
        <is>
          <t>프로젝트에 큰 위기가 왔다고 들었어요. 마음 추스르고 잘 버티고 계신가요?</t>
        </is>
      </c>
      <c r="G27" s="9">
        <f>HYPERLINK("https://www.youtube.com/watch?v=twFCjBMtIXA", "영상 보기 ▶")</f>
        <v/>
      </c>
    </row>
    <row r="28" ht="26" customHeight="1">
      <c r="A28" s="2" t="n">
        <v>877</v>
      </c>
      <c r="B28" s="3" t="inlineStr">
        <is>
          <t>근근이 버팀</t>
        </is>
      </c>
      <c r="C28" s="4" t="inlineStr">
        <is>
          <t>get by</t>
        </is>
      </c>
      <c r="D28" s="11" t="inlineStr">
        <is>
          <t>그럭저럭 살아가다, 근근이 버티다</t>
        </is>
      </c>
      <c r="E28" s="11" t="inlineStr">
        <is>
          <t>My salary isn't high, but it's enough to get by comfortably.</t>
        </is>
      </c>
      <c r="F28" s="11" t="inlineStr">
        <is>
          <t>월급이 많지는 않지만 그럭저럭 살아가기엔 충분해요.</t>
        </is>
      </c>
      <c r="G28" s="5">
        <f>HYPERLINK("https://www.youtube.com/watch?v=twFCjBMtIXA", "영상 보기 ▶")</f>
        <v/>
      </c>
    </row>
    <row r="29" ht="26" customHeight="1">
      <c r="A29" s="6" t="n">
        <v>878</v>
      </c>
      <c r="B29" s="7" t="inlineStr">
        <is>
          <t>질색하는 것</t>
        </is>
      </c>
      <c r="C29" s="8" t="inlineStr">
        <is>
          <t>pet peeve</t>
        </is>
      </c>
      <c r="D29" s="12" t="inlineStr">
        <is>
          <t>유독 거슬리고 질색하는 버릇/행동</t>
        </is>
      </c>
      <c r="E29" s="12" t="inlineStr">
        <is>
          <t>Chewing loudly with an open mouth is my biggest pet peeve.</t>
        </is>
      </c>
      <c r="F29" s="12" t="inlineStr">
        <is>
          <t>입 벌리고 쩝쩝거리며 먹는 게 내가 가장 질색하는 꼴불견이야.</t>
        </is>
      </c>
      <c r="G29" s="9">
        <f>HYPERLINK("https://www.youtube.com/watch?v=twFCjBMtIXA", "영상 보기 ▶")</f>
        <v/>
      </c>
    </row>
    <row r="30" ht="26" customHeight="1">
      <c r="A30" s="2" t="n">
        <v>879</v>
      </c>
      <c r="B30" s="3" t="inlineStr">
        <is>
          <t>혼선/착오</t>
        </is>
      </c>
      <c r="C30" s="4" t="inlineStr">
        <is>
          <t>mix-up</t>
        </is>
      </c>
      <c r="D30" s="11" t="inlineStr">
        <is>
          <t>착오, 혼선 (a scheduling mix-up)</t>
        </is>
      </c>
      <c r="E30" s="11" t="inlineStr">
        <is>
          <t>There was a mix-up with the reservation dates at the hotel.</t>
        </is>
      </c>
      <c r="F30" s="11" t="inlineStr">
        <is>
          <t>호텔 예약 날짜에 착오와 혼선이 좀 있었습니다.</t>
        </is>
      </c>
      <c r="G30" s="5">
        <f>HYPERLINK("https://www.youtube.com/watch?v=twFCjBMtIXA", "영상 보기 ▶")</f>
        <v/>
      </c>
    </row>
    <row r="31" ht="26" customHeight="1">
      <c r="A31" s="6" t="n">
        <v>880</v>
      </c>
      <c r="B31" s="7" t="inlineStr">
        <is>
          <t>지친 퇴근 바람</t>
        </is>
      </c>
      <c r="C31" s="8" t="inlineStr">
        <is>
          <t>I can't wait for this day to be over</t>
        </is>
      </c>
      <c r="D31" s="12" t="inlineStr">
        <is>
          <t>오늘 하루가 제발 빨리 끝나기만을 바랄 뿐이야</t>
        </is>
      </c>
      <c r="E31" s="12" t="inlineStr">
        <is>
          <t>So many stressful meetings today; I can't wait for this day to be over.</t>
        </is>
      </c>
      <c r="F31" s="12" t="inlineStr">
        <is>
          <t>오늘 스트레스받는 회의가 너무 많아서 하루가 빨리 끝났으면 좋겠어.</t>
        </is>
      </c>
      <c r="G31" s="9">
        <f>HYPERLINK("https://www.youtube.com/watch?v=twFCjBMtIXA", "영상 보기 ▶")</f>
        <v/>
      </c>
    </row>
    <row r="32" ht="26" customHeight="1">
      <c r="A32" s="2" t="n">
        <v>881</v>
      </c>
      <c r="B32" s="3" t="inlineStr">
        <is>
          <t>간소화</t>
        </is>
      </c>
      <c r="C32" s="4" t="inlineStr">
        <is>
          <t>streamline</t>
        </is>
      </c>
      <c r="D32" s="11" t="inlineStr">
        <is>
          <t>(절차를) 간소화하다, 능률화하다</t>
        </is>
      </c>
      <c r="E32" s="11" t="inlineStr">
        <is>
          <t>We introduced software to streamline our invoice approval process.</t>
        </is>
      </c>
      <c r="F32" s="11" t="inlineStr">
        <is>
          <t>송장 결재 절차를 간소화하고 능률을 높이고자 소프트웨어를 도입했습니다.</t>
        </is>
      </c>
      <c r="G32" s="5">
        <f>HYPERLINK("https://www.youtube.com/watch?v=twFCjBMtIXA", "영상 보기 ▶")</f>
        <v/>
      </c>
    </row>
    <row r="33" ht="26" customHeight="1">
      <c r="A33" s="6" t="n">
        <v>882</v>
      </c>
      <c r="B33" s="7" t="inlineStr">
        <is>
          <t>수익원</t>
        </is>
      </c>
      <c r="C33" s="8" t="inlineStr">
        <is>
          <t>revenue stream</t>
        </is>
      </c>
      <c r="D33" s="12" t="inlineStr">
        <is>
          <t>수익원, 매출 창출 경로</t>
        </is>
      </c>
      <c r="E33" s="12" t="inlineStr">
        <is>
          <t>Subscription services provide a steady, reliable revenue stream.</t>
        </is>
      </c>
      <c r="F33" s="12" t="inlineStr">
        <is>
          <t>구독 서비스는 안정적이고 신뢰할 수 있는 수익원을 제공합니다.</t>
        </is>
      </c>
      <c r="G33" s="9">
        <f>HYPERLINK("https://www.youtube.com/watch?v=twFCjBMtIXA", "영상 보기 ▶")</f>
        <v/>
      </c>
    </row>
    <row r="34" ht="26" customHeight="1">
      <c r="A34" s="2" t="n">
        <v>883</v>
      </c>
      <c r="B34" s="3" t="inlineStr">
        <is>
          <t>상대의 손해</t>
        </is>
      </c>
      <c r="C34" s="4" t="inlineStr">
        <is>
          <t>It's their loss</t>
        </is>
      </c>
      <c r="D34" s="11" t="inlineStr">
        <is>
          <t>그들이 아쉬운 거지, 그들 손해지 뭐</t>
        </is>
      </c>
      <c r="E34" s="11" t="inlineStr">
        <is>
          <t>If they don't want to hire you, honestly, it's their loss.</t>
        </is>
      </c>
      <c r="F34" s="11" t="inlineStr">
        <is>
          <t>그들이 너를 채용하지 않는다면, 솔직히 그 회사 손해지 뭐.</t>
        </is>
      </c>
      <c r="G34" s="5">
        <f>HYPERLINK("https://www.youtube.com/watch?v=twFCjBMtIXA", "영상 보기 ▶")</f>
        <v/>
      </c>
    </row>
    <row r="35" ht="26" customHeight="1">
      <c r="A35" s="6" t="n">
        <v>884</v>
      </c>
      <c r="B35" s="7" t="inlineStr">
        <is>
          <t>뜻밖의 전개</t>
        </is>
      </c>
      <c r="C35" s="8" t="inlineStr">
        <is>
          <t>Turns out</t>
        </is>
      </c>
      <c r="D35" s="12" t="inlineStr">
        <is>
          <t>알고 보니까 ~하더라고</t>
        </is>
      </c>
      <c r="E35" s="12" t="inlineStr">
        <is>
          <t>Turns out the rumor about the merger was completely false.</t>
        </is>
      </c>
      <c r="F35" s="12" t="inlineStr">
        <is>
          <t>알고 보니까 합병에 관한 그 소문은 완전히 헛소문이더라고.</t>
        </is>
      </c>
      <c r="G35" s="9">
        <f>HYPERLINK("https://www.youtube.com/watch?v=twFCjBMtIXA", "영상 보기 ▶")</f>
        <v/>
      </c>
    </row>
    <row r="36" ht="26" customHeight="1">
      <c r="A36" s="2" t="n">
        <v>885</v>
      </c>
      <c r="B36" s="3" t="inlineStr">
        <is>
          <t>주선/설정</t>
        </is>
      </c>
      <c r="C36" s="4" t="inlineStr">
        <is>
          <t>set up (미팅 주선)</t>
        </is>
      </c>
      <c r="D36" s="11" t="inlineStr">
        <is>
          <t>(미팅/일정을) 마련하다, 주선하다</t>
        </is>
      </c>
      <c r="E36" s="11" t="inlineStr">
        <is>
          <t>Can you set up a call with the prospective investor?</t>
        </is>
      </c>
      <c r="F36" s="11" t="inlineStr">
        <is>
          <t>잠재 투자자와 통화 일정을 주선해 줄 수 있나요?</t>
        </is>
      </c>
      <c r="G36" s="5">
        <f>HYPERLINK("https://www.youtube.com/watch?v=twFCjBMtIXA", "영상 보기 ▶")</f>
        <v/>
      </c>
    </row>
    <row r="37" ht="26" customHeight="1">
      <c r="A37" s="6" t="n">
        <v>886</v>
      </c>
      <c r="B37" s="7" t="inlineStr">
        <is>
          <t>설치/구축</t>
        </is>
      </c>
      <c r="C37" s="8" t="inlineStr">
        <is>
          <t>set up (설치)</t>
        </is>
      </c>
      <c r="D37" s="12" t="inlineStr">
        <is>
          <t>(장비/시스템을) 설치하다, 준비하다</t>
        </is>
      </c>
      <c r="E37" s="12" t="inlineStr">
        <is>
          <t>He helped me set up my new monitor and dock.</t>
        </is>
      </c>
      <c r="F37" s="12" t="inlineStr">
        <is>
          <t>그가 새 모니터와 도킹 스테이션 설치하는 걸 도와줬어.</t>
        </is>
      </c>
      <c r="G37" s="9">
        <f>HYPERLINK("https://www.youtube.com/watch?v=twFCjBMtIXA", "영상 보기 ▶")</f>
        <v/>
      </c>
    </row>
    <row r="38" ht="26" customHeight="1">
      <c r="A38" s="2" t="n">
        <v>887</v>
      </c>
      <c r="B38" s="3" t="inlineStr">
        <is>
          <t>함정</t>
        </is>
      </c>
      <c r="C38" s="4" t="inlineStr">
        <is>
          <t>set up (함정)</t>
        </is>
      </c>
      <c r="D38" s="11" t="inlineStr">
        <is>
          <t>누명을 씌우다, 함정에 빠뜨리다</t>
        </is>
      </c>
      <c r="E38" s="11" t="inlineStr">
        <is>
          <t>I didn't leak that confidential email; I was set up!</t>
        </is>
      </c>
      <c r="F38" s="11" t="inlineStr">
        <is>
          <t>내가 기밀 메일을 유출한 게 아니야, 난 함정에 빠진 거라고!</t>
        </is>
      </c>
      <c r="G38" s="5">
        <f>HYPERLINK("https://www.youtube.com/watch?v=twFCjBMtIXA", "영상 보기 ▶")</f>
        <v/>
      </c>
    </row>
    <row r="39" ht="26" customHeight="1">
      <c r="A39" s="6" t="n">
        <v>888</v>
      </c>
      <c r="B39" s="7" t="inlineStr">
        <is>
          <t>따로 떼어둠</t>
        </is>
      </c>
      <c r="C39" s="8" t="inlineStr">
        <is>
          <t>set aside (자금 비축)</t>
        </is>
      </c>
      <c r="D39" s="12" t="inlineStr">
        <is>
          <t>(돈이나 시간을) 따로 비축하다, 떼어놓다</t>
        </is>
      </c>
      <c r="E39" s="12" t="inlineStr">
        <is>
          <t>We should set aside at least 10% of profits for R&amp;D.</t>
        </is>
      </c>
      <c r="F39" s="12" t="inlineStr">
        <is>
          <t>우리는 연구개발을 위해 수익의 10% 이상을 따로 떼어두어야 합니다.</t>
        </is>
      </c>
      <c r="G39" s="9">
        <f>HYPERLINK("https://www.youtube.com/watch?v=twFCjBMtIXA", "영상 보기 ▶")</f>
        <v/>
      </c>
    </row>
    <row r="40" ht="26" customHeight="1">
      <c r="A40" s="2" t="n">
        <v>889</v>
      </c>
      <c r="B40" s="3" t="inlineStr">
        <is>
          <t>제쳐둠</t>
        </is>
      </c>
      <c r="C40" s="4" t="inlineStr">
        <is>
          <t>set aside (의견 보류)</t>
        </is>
      </c>
      <c r="D40" s="11" t="inlineStr">
        <is>
          <t>(갈등/차이를) 잠시 제쳐두다</t>
        </is>
      </c>
      <c r="E40" s="11" t="inlineStr">
        <is>
          <t>Let's set aside our personal differences and collaborate.</t>
        </is>
      </c>
      <c r="F40" s="11" t="inlineStr">
        <is>
          <t>개인적인 견해차는 잠시 제쳐두고 함께 협력합시다.</t>
        </is>
      </c>
      <c r="G40" s="5">
        <f>HYPERLINK("https://www.youtube.com/watch?v=twFCjBMtIXA", "영상 보기 ▶")</f>
        <v/>
      </c>
    </row>
    <row r="41" ht="26" customHeight="1">
      <c r="A41" s="6" t="n">
        <v>890</v>
      </c>
      <c r="B41" s="7" t="inlineStr">
        <is>
          <t>차질/비용</t>
        </is>
      </c>
      <c r="C41" s="8" t="inlineStr">
        <is>
          <t>set back</t>
        </is>
      </c>
      <c r="D41" s="12" t="inlineStr">
        <is>
          <t>① 지연시키다 ② 비용이 들게 하다</t>
        </is>
      </c>
      <c r="E41" s="12" t="inlineStr">
        <is>
          <t>This repair will set us back about two thousand dollars.</t>
        </is>
      </c>
      <c r="F41" s="12" t="inlineStr">
        <is>
          <t>이번 수리로 인해 약 2천 달러 정도의 큰 비용이 깨질 거야.</t>
        </is>
      </c>
      <c r="G41" s="9">
        <f>HYPERLINK("https://www.youtube.com/watch?v=twFCjBMtIXA", "영상 보기 ▶")</f>
        <v/>
      </c>
    </row>
    <row r="42" ht="26" customHeight="1">
      <c r="A42" s="2" t="n">
        <v>891</v>
      </c>
      <c r="B42" s="3" t="inlineStr">
        <is>
          <t>헤아림 불가</t>
        </is>
      </c>
      <c r="C42" s="4" t="inlineStr">
        <is>
          <t>fathom</t>
        </is>
      </c>
      <c r="D42" s="11" t="inlineStr">
        <is>
          <t>(이유나 깊이를) 헤아리다, 가늠하다</t>
        </is>
      </c>
      <c r="E42" s="11" t="inlineStr">
        <is>
          <t>I cannot fathom why anyone would make such a foolish decision.</t>
        </is>
      </c>
      <c r="F42" s="11" t="inlineStr">
        <is>
          <t>도대체 왜 그런 어리석은 결정을 내렸는지 도무지 이해할 수가 없어.</t>
        </is>
      </c>
      <c r="G42" s="5">
        <f>HYPERLINK("https://www.youtube.com/watch?v=twFCjBMtIXA", "영상 보기 ▶")</f>
        <v/>
      </c>
    </row>
    <row r="43" ht="26" customHeight="1">
      <c r="A43" s="6" t="n">
        <v>892</v>
      </c>
      <c r="B43" s="7" t="inlineStr">
        <is>
          <t>발맞춤</t>
        </is>
      </c>
      <c r="C43" s="8" t="inlineStr">
        <is>
          <t>align</t>
        </is>
      </c>
      <c r="D43" s="12" t="inlineStr">
        <is>
          <t>(목표나 방침을) 일치시키다, 발을 맞추다</t>
        </is>
      </c>
      <c r="E43" s="12" t="inlineStr">
        <is>
          <t>We need to align our department goals with corporate vision.</t>
        </is>
      </c>
      <c r="F43" s="12" t="inlineStr">
        <is>
          <t>우리 부서의 목표를 전사적 비전과 일치시켜 발을 맞춰야 합니다.</t>
        </is>
      </c>
      <c r="G43" s="9">
        <f>HYPERLINK("https://www.youtube.com/watch?v=twFCjBMtIXA", "영상 보기 ▶")</f>
        <v/>
      </c>
    </row>
    <row r="44" ht="26" customHeight="1">
      <c r="A44" s="2" t="n">
        <v>893</v>
      </c>
      <c r="B44" s="3" t="inlineStr">
        <is>
          <t>궁극적 결론</t>
        </is>
      </c>
      <c r="C44" s="4" t="inlineStr">
        <is>
          <t>At the end of the day</t>
        </is>
      </c>
      <c r="D44" s="11" t="inlineStr">
        <is>
          <t>결국, 궁극적으로 가장 중요한 것은</t>
        </is>
      </c>
      <c r="E44" s="11" t="inlineStr">
        <is>
          <t>At the end of the day, customer satisfaction is what matters most.</t>
        </is>
      </c>
      <c r="F44" s="11" t="inlineStr">
        <is>
          <t>결국 가장 중요한 본질은 고객 만족입니다.</t>
        </is>
      </c>
      <c r="G44" s="5">
        <f>HYPERLINK("https://www.youtube.com/watch?v=twFCjBMtIXA", "영상 보기 ▶")</f>
        <v/>
      </c>
    </row>
    <row r="45" ht="26" customHeight="1">
      <c r="A45" s="6" t="n">
        <v>894</v>
      </c>
      <c r="B45" s="7" t="inlineStr">
        <is>
          <t>일리가 있음</t>
        </is>
      </c>
      <c r="C45" s="8" t="inlineStr">
        <is>
          <t>have a point</t>
        </is>
      </c>
      <c r="D45" s="12" t="inlineStr">
        <is>
          <t>일리가 있다, 맞는 말을 하다</t>
        </is>
      </c>
      <c r="E45" s="12" t="inlineStr">
        <is>
          <t>You definitely have a point; maybe we should reconsider.</t>
        </is>
      </c>
      <c r="F45" s="12" t="inlineStr">
        <is>
          <t>네 말에 확실히 일리가 있어, 어쩌면 우리가 재고해 봐야겠어.</t>
        </is>
      </c>
      <c r="G45" s="9">
        <f>HYPERLINK("https://www.youtube.com/watch?v=twFCjBMtIXA", "영상 보기 ▶")</f>
        <v/>
      </c>
    </row>
    <row r="46" ht="26" customHeight="1">
      <c r="A46" s="2" t="n">
        <v>895</v>
      </c>
      <c r="B46" s="3" t="inlineStr">
        <is>
          <t>방향 제시</t>
        </is>
      </c>
      <c r="C46" s="4" t="inlineStr">
        <is>
          <t>point in the right direction</t>
        </is>
      </c>
      <c r="D46" s="11" t="inlineStr">
        <is>
          <t>올바른 방향을 가리켜주다, 올바르게 인도하다</t>
        </is>
      </c>
      <c r="E46" s="11" t="inlineStr">
        <is>
          <t>Thanks for pointing me in the right direction when I was lost.</t>
        </is>
      </c>
      <c r="F46" s="11" t="inlineStr">
        <is>
          <t>내가 길을 잃고 헤맬 때 올바른 방향을 짚어주셔서 감사합니다.</t>
        </is>
      </c>
      <c r="G46" s="5">
        <f>HYPERLINK("https://www.youtube.com/watch?v=twFCjBMtIXA", "영상 보기 ▶")</f>
        <v/>
      </c>
    </row>
    <row r="47" ht="26" customHeight="1">
      <c r="A47" s="6" t="n">
        <v>896</v>
      </c>
      <c r="B47" s="7" t="inlineStr">
        <is>
          <t>책임 공방</t>
        </is>
      </c>
      <c r="C47" s="8" t="inlineStr">
        <is>
          <t>point fingers</t>
        </is>
      </c>
      <c r="D47" s="12" t="inlineStr">
        <is>
          <t>(잘못에 대해) 남에게 손가락질하다, 탓하다</t>
        </is>
      </c>
      <c r="E47" s="12" t="inlineStr">
        <is>
          <t>Stop pointing fingers and focus on solving the breakdown.</t>
        </is>
      </c>
      <c r="F47" s="12" t="inlineStr">
        <is>
          <t>남 탓하며 손가락질 그만하고 고장 난 문제 해결에 집중해.</t>
        </is>
      </c>
      <c r="G47" s="9">
        <f>HYPERLINK("https://www.youtube.com/watch?v=twFCjBMtIXA", "영상 보기 ▶")</f>
        <v/>
      </c>
    </row>
    <row r="48" ht="26" customHeight="1">
      <c r="A48" s="2" t="n">
        <v>897</v>
      </c>
      <c r="B48" s="3" t="inlineStr">
        <is>
          <t>흥미로운 지적</t>
        </is>
      </c>
      <c r="C48" s="4" t="inlineStr">
        <is>
          <t>an interesting point</t>
        </is>
      </c>
      <c r="D48" s="11" t="inlineStr">
        <is>
          <t>흥미로운 지적, 생각할 만한 의견</t>
        </is>
      </c>
      <c r="E48" s="11" t="inlineStr">
        <is>
          <t>That's an interesting point that hadn't crossed my mind.</t>
        </is>
      </c>
      <c r="F48" s="11" t="inlineStr">
        <is>
          <t>미처 생각지 못했던 대단히 흥미롭고 예리한 지적이네요.</t>
        </is>
      </c>
      <c r="G48" s="5">
        <f>HYPERLINK("https://www.youtube.com/watch?v=twFCjBMtIXA", "영상 보기 ▶")</f>
        <v/>
      </c>
    </row>
    <row r="49" ht="26" customHeight="1">
      <c r="A49" s="6" t="n">
        <v>898</v>
      </c>
      <c r="B49" s="7" t="inlineStr">
        <is>
          <t>요점/본질</t>
        </is>
      </c>
      <c r="C49" s="8" t="inlineStr">
        <is>
          <t>the point</t>
        </is>
      </c>
      <c r="D49" s="12" t="inlineStr">
        <is>
          <t>요점, 본질, 핵심 취지</t>
        </is>
      </c>
      <c r="E49" s="12" t="inlineStr">
        <is>
          <t>You're completely missing the point of my argument.</t>
        </is>
      </c>
      <c r="F49" s="12" t="inlineStr">
        <is>
          <t>너는 내 주장의 핵심 요점을 완전히 잘못 짚고 있어.</t>
        </is>
      </c>
      <c r="G49" s="9">
        <f>HYPERLINK("https://www.youtube.com/watch?v=twFCjBMtIXA", "영상 보기 ▶")</f>
        <v/>
      </c>
    </row>
    <row r="50" ht="26" customHeight="1">
      <c r="A50" s="2" t="n">
        <v>899</v>
      </c>
      <c r="B50" s="3" t="inlineStr">
        <is>
          <t>핵심 강조</t>
        </is>
      </c>
      <c r="C50" s="4" t="inlineStr">
        <is>
          <t>The point is ~</t>
        </is>
      </c>
      <c r="D50" s="11" t="inlineStr">
        <is>
          <t>요점/핵심은 바로 ~라는 거야</t>
        </is>
      </c>
      <c r="E50" s="11" t="inlineStr">
        <is>
          <t>The point is, we need to adapt quickly or we'll fail.</t>
        </is>
      </c>
      <c r="F50" s="11" t="inlineStr">
        <is>
          <t>핵심 요점은, 우리가 빠르게 적응하지 않으면 도태된다는 거야.</t>
        </is>
      </c>
      <c r="G50" s="5">
        <f>HYPERLINK("https://www.youtube.com/watch?v=twFCjBMtIXA", "영상 보기 ▶")</f>
        <v/>
      </c>
    </row>
    <row r="51" ht="26" customHeight="1">
      <c r="A51" s="6" t="n">
        <v>900</v>
      </c>
      <c r="B51" s="7" t="inlineStr">
        <is>
          <t>본론 직행</t>
        </is>
      </c>
      <c r="C51" s="8" t="inlineStr">
        <is>
          <t>get to the point</t>
        </is>
      </c>
      <c r="D51" s="12" t="inlineStr">
        <is>
          <t>본론/핵심으로 들어가다, 단도직입적으로 말하다</t>
        </is>
      </c>
      <c r="E51" s="12" t="inlineStr">
        <is>
          <t>Please stop beating around the bush and get to the point.</t>
        </is>
      </c>
      <c r="F51" s="12" t="inlineStr">
        <is>
          <t>돌려 말하지 말고 제발 단도직입적으로 본론만 말씀해 주세요.</t>
        </is>
      </c>
      <c r="G51" s="9">
        <f>HYPERLINK("https://www.youtube.com/watch?v=twFCjBMtIXA", "영상 보기 ▶")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.9" customWidth="1" min="2" max="2"/>
    <col width="34" customWidth="1" min="3" max="3"/>
    <col width="45.3" customWidth="1" min="4" max="4"/>
    <col width="72" customWidth="1" min="5" max="5"/>
    <col width="66.7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901</v>
      </c>
      <c r="B2" s="3" t="inlineStr">
        <is>
          <t>중추적 역할</t>
        </is>
      </c>
      <c r="C2" s="4" t="inlineStr">
        <is>
          <t>pivotal</t>
        </is>
      </c>
      <c r="D2" s="11" t="inlineStr">
        <is>
          <t>중추적인, 극히 중요한 (a pivotal role/moment)</t>
        </is>
      </c>
      <c r="E2" s="11" t="inlineStr">
        <is>
          <t>Her leadership played a pivotal role in the project's success.</t>
        </is>
      </c>
      <c r="F2" s="11" t="inlineStr">
        <is>
          <t>그녀의 리더십은 프로젝트 성공에 결정적이고 중추적인 역할을 했습니다.</t>
        </is>
      </c>
      <c r="G2" s="5">
        <f>HYPERLINK("https://www.youtube.com/watch?v=xebpJhFWOaA", "영상 보기 ▶")</f>
        <v/>
      </c>
    </row>
    <row r="3" ht="26" customHeight="1">
      <c r="A3" s="6" t="n">
        <v>902</v>
      </c>
      <c r="B3" s="7" t="inlineStr">
        <is>
          <t>난제 착수</t>
        </is>
      </c>
      <c r="C3" s="8" t="inlineStr">
        <is>
          <t>tackle</t>
        </is>
      </c>
      <c r="D3" s="12" t="inlineStr">
        <is>
          <t>(어려운 문제/과제에) 적극적으로 맞서다, 착수하다</t>
        </is>
      </c>
      <c r="E3" s="12" t="inlineStr">
        <is>
          <t>Let's tackle the most challenging bug first thing tomorrow.</t>
        </is>
      </c>
      <c r="F3" s="12" t="inlineStr">
        <is>
          <t>내일 아침 제일 먼저 가장 까다로운 버그부터 정면으로 해결합시다.</t>
        </is>
      </c>
      <c r="G3" s="9">
        <f>HYPERLINK("https://www.youtube.com/watch?v=xebpJhFWOaA", "영상 보기 ▶")</f>
        <v/>
      </c>
    </row>
    <row r="4" ht="26" customHeight="1">
      <c r="A4" s="2" t="n">
        <v>903</v>
      </c>
      <c r="B4" s="3" t="inlineStr">
        <is>
          <t>희생</t>
        </is>
      </c>
      <c r="C4" s="4" t="inlineStr">
        <is>
          <t>sacrifice</t>
        </is>
      </c>
      <c r="D4" s="11" t="inlineStr">
        <is>
          <t>희생하다, 희생 (make a sacrifice)</t>
        </is>
      </c>
      <c r="E4" s="11" t="inlineStr">
        <is>
          <t>He made countless sacrifices to build this successful business.</t>
        </is>
      </c>
      <c r="F4" s="11" t="inlineStr">
        <is>
          <t>그는 이 성공적인 사업을 일구기 위해 수많은 희생을 감수했습니다.</t>
        </is>
      </c>
      <c r="G4" s="5">
        <f>HYPERLINK("https://www.youtube.com/watch?v=xebpJhFWOaA", "영상 보기 ▶")</f>
        <v/>
      </c>
    </row>
    <row r="5" ht="26" customHeight="1">
      <c r="A5" s="6" t="n">
        <v>904</v>
      </c>
      <c r="B5" s="7" t="inlineStr">
        <is>
          <t>총대 메기</t>
        </is>
      </c>
      <c r="C5" s="8" t="inlineStr">
        <is>
          <t>I'll take one for the team</t>
        </is>
      </c>
      <c r="D5" s="12" t="inlineStr">
        <is>
          <t>내가 팀을 위해 총대 멜게 / 희생할게</t>
        </is>
      </c>
      <c r="E5" s="12" t="inlineStr">
        <is>
          <t>Someone needs to work this holiday? Okay, I'll take one for the team.</t>
        </is>
      </c>
      <c r="F5" s="12" t="inlineStr">
        <is>
          <t>이번 연휴에 당직 설 사람이 필요해? 좋아, 내가 팀을 위해 총대 멜게.</t>
        </is>
      </c>
      <c r="G5" s="9">
        <f>HYPERLINK("https://www.youtube.com/watch?v=xebpJhFWOaA", "영상 보기 ▶")</f>
        <v/>
      </c>
    </row>
    <row r="6" ht="26" customHeight="1">
      <c r="A6" s="2" t="n">
        <v>905</v>
      </c>
      <c r="B6" s="3" t="inlineStr">
        <is>
          <t>기여/공헌</t>
        </is>
      </c>
      <c r="C6" s="4" t="inlineStr">
        <is>
          <t>contribute</t>
        </is>
      </c>
      <c r="D6" s="11" t="inlineStr">
        <is>
          <t>기여하다, 공헌하다, 의견을 내다</t>
        </is>
      </c>
      <c r="E6" s="11" t="inlineStr">
        <is>
          <t>Everyone is encouraged to contribute their ideas freely.</t>
        </is>
      </c>
      <c r="F6" s="11" t="inlineStr">
        <is>
          <t>모든 분이 자유롭게 아이디어를 개진하고 기여하시기를 권장합니다.</t>
        </is>
      </c>
      <c r="G6" s="5">
        <f>HYPERLINK("https://www.youtube.com/watch?v=xebpJhFWOaA", "영상 보기 ▶")</f>
        <v/>
      </c>
    </row>
    <row r="7" ht="26" customHeight="1">
      <c r="A7" s="6" t="n">
        <v>906</v>
      </c>
      <c r="B7" s="7" t="inlineStr">
        <is>
          <t>전혀/조금이라도</t>
        </is>
      </c>
      <c r="C7" s="8" t="inlineStr">
        <is>
          <t>at all</t>
        </is>
      </c>
      <c r="D7" s="12" t="inlineStr">
        <is>
          <t>조금이라도 (의문문) / 전혀 (부정문)</t>
        </is>
      </c>
      <c r="E7" s="12" t="inlineStr">
        <is>
          <t>Do you mind at all if I open the window?</t>
        </is>
      </c>
      <c r="F7" s="12" t="inlineStr">
        <is>
          <t>창문 좀 열어도 혹시 조금이라도 불편하지 않으세요?</t>
        </is>
      </c>
      <c r="G7" s="9">
        <f>HYPERLINK("https://www.youtube.com/watch?v=xebpJhFWOaA", "영상 보기 ▶")</f>
        <v/>
      </c>
    </row>
    <row r="8" ht="26" customHeight="1">
      <c r="A8" s="2" t="n">
        <v>907</v>
      </c>
      <c r="B8" s="3" t="inlineStr">
        <is>
          <t>흔쾌한 수락</t>
        </is>
      </c>
      <c r="C8" s="4" t="inlineStr">
        <is>
          <t>No problem at all</t>
        </is>
      </c>
      <c r="D8" s="11" t="inlineStr">
        <is>
          <t>전혀 문제없습니다 / 천만에요</t>
        </is>
      </c>
      <c r="E8" s="11" t="inlineStr">
        <is>
          <t>Thanks for waiting. - No problem at all!</t>
        </is>
      </c>
      <c r="F8" s="11" t="inlineStr">
        <is>
          <t>기다려주셔서 감사합니다. - 전혀 문제없습니다, 천만에요!</t>
        </is>
      </c>
      <c r="G8" s="5">
        <f>HYPERLINK("https://www.youtube.com/watch?v=xebpJhFWOaA", "영상 보기 ▶")</f>
        <v/>
      </c>
    </row>
    <row r="9" ht="26" customHeight="1">
      <c r="A9" s="6" t="n">
        <v>908</v>
      </c>
      <c r="B9" s="7" t="inlineStr">
        <is>
          <t>가물가물</t>
        </is>
      </c>
      <c r="C9" s="8" t="inlineStr">
        <is>
          <t>It's on the tip of my tongue</t>
        </is>
      </c>
      <c r="D9" s="12" t="inlineStr">
        <is>
          <t>입안에서 맴돌고 기억이 날 듯 말 듯 해</t>
        </is>
      </c>
      <c r="E9" s="12" t="inlineStr">
        <is>
          <t>What was his name again? It's right on the tip of my tongue!</t>
        </is>
      </c>
      <c r="F9" s="12" t="inlineStr">
        <is>
          <t>그 사람 이름이 뭐였더라? 입안에서 맴도는데 기억이 안 나네!</t>
        </is>
      </c>
      <c r="G9" s="9">
        <f>HYPERLINK("https://www.youtube.com/watch?v=xebpJhFWOaA", "영상 보기 ▶")</f>
        <v/>
      </c>
    </row>
    <row r="10" ht="26" customHeight="1">
      <c r="A10" s="2" t="n">
        <v>909</v>
      </c>
      <c r="B10" s="3" t="inlineStr">
        <is>
          <t>편안한 권유</t>
        </is>
      </c>
      <c r="C10" s="4" t="inlineStr">
        <is>
          <t>You're welcome to + 동사원형</t>
        </is>
      </c>
      <c r="D10" s="11" t="inlineStr">
        <is>
          <t>얼마든지 편하게 ~하셔도 좋습니다</t>
        </is>
      </c>
      <c r="E10" s="11" t="inlineStr">
        <is>
          <t>You're welcome to borrow any books from my shelf.</t>
        </is>
      </c>
      <c r="F10" s="11" t="inlineStr">
        <is>
          <t>제 책장에 있는 책들 얼마든지 편하게 빌려 가셔도 좋아요.</t>
        </is>
      </c>
      <c r="G10" s="5">
        <f>HYPERLINK("https://www.youtube.com/watch?v=xebpJhFWOaA", "영상 보기 ▶")</f>
        <v/>
      </c>
    </row>
    <row r="11" ht="26" customHeight="1">
      <c r="A11" s="6" t="n">
        <v>910</v>
      </c>
      <c r="B11" s="7" t="inlineStr">
        <is>
          <t>사양 없는 이용</t>
        </is>
      </c>
      <c r="C11" s="8" t="inlineStr">
        <is>
          <t>You're welcome to (명사)</t>
        </is>
      </c>
      <c r="D11" s="12" t="inlineStr">
        <is>
          <t>마음껏 쓰세요 / 편하게 누리세요</t>
        </is>
      </c>
      <c r="E11" s="12" t="inlineStr">
        <is>
          <t>Help yourself; you're welcome to the refreshments.</t>
        </is>
      </c>
      <c r="F11" s="12" t="inlineStr">
        <is>
          <t>사양 말고 드세요, 다과 얼마든지 마음껏 드셔도 됩니다.</t>
        </is>
      </c>
      <c r="G11" s="9">
        <f>HYPERLINK("https://www.youtube.com/watch?v=xebpJhFWOaA", "영상 보기 ▶")</f>
        <v/>
      </c>
    </row>
    <row r="12" ht="26" customHeight="1">
      <c r="A12" s="2" t="n">
        <v>911</v>
      </c>
      <c r="B12" s="3" t="inlineStr">
        <is>
          <t>무작위</t>
        </is>
      </c>
      <c r="C12" s="4" t="inlineStr">
        <is>
          <t>at random</t>
        </is>
      </c>
      <c r="D12" s="11" t="inlineStr">
        <is>
          <t>무작위로, 닥치는 대로</t>
        </is>
      </c>
      <c r="E12" s="11" t="inlineStr">
        <is>
          <t>The auditor picked sample files completely at random.</t>
        </is>
      </c>
      <c r="F12" s="11" t="inlineStr">
        <is>
          <t>감사관은 완전히 무작위로 표본 파일들을 골라냈습니다.</t>
        </is>
      </c>
      <c r="G12" s="5">
        <f>HYPERLINK("https://www.youtube.com/watch?v=xebpJhFWOaA", "영상 보기 ▶")</f>
        <v/>
      </c>
    </row>
    <row r="13" ht="26" customHeight="1">
      <c r="A13" s="6" t="n">
        <v>912</v>
      </c>
      <c r="B13" s="7" t="inlineStr">
        <is>
          <t>속도 내기</t>
        </is>
      </c>
      <c r="C13" s="8" t="inlineStr">
        <is>
          <t>pick up the pace</t>
        </is>
      </c>
      <c r="D13" s="12" t="inlineStr">
        <is>
          <t>속도를 올리다, 서두르다</t>
        </is>
      </c>
      <c r="E13" s="12" t="inlineStr">
        <is>
          <t>We need to pick up the pace if we want to finish by 5 PM.</t>
        </is>
      </c>
      <c r="F13" s="12" t="inlineStr">
        <is>
          <t>오후 5시까지 끝내려면 작업 속도를 좀 더 올려야 해.</t>
        </is>
      </c>
      <c r="G13" s="9">
        <f>HYPERLINK("https://www.youtube.com/watch?v=xebpJhFWOaA", "영상 보기 ▶")</f>
        <v/>
      </c>
    </row>
    <row r="14" ht="26" customHeight="1">
      <c r="A14" s="2" t="n">
        <v>913</v>
      </c>
      <c r="B14" s="3" t="inlineStr">
        <is>
          <t>회복/호전</t>
        </is>
      </c>
      <c r="C14" s="4" t="inlineStr">
        <is>
          <t>pick up (경기 회복)</t>
        </is>
      </c>
      <c r="D14" s="11" t="inlineStr">
        <is>
          <t>(매출/상황이) 회복되다, 활기를 띠다</t>
        </is>
      </c>
      <c r="E14" s="11" t="inlineStr">
        <is>
          <t>Business usually picks up significantly around the holidays.</t>
        </is>
      </c>
      <c r="F14" s="11" t="inlineStr">
        <is>
          <t>연말연시가 되면 비즈니스는 대개 크게 회복되어 활기를 띱니다.</t>
        </is>
      </c>
      <c r="G14" s="5">
        <f>HYPERLINK("https://www.youtube.com/watch?v=xebpJhFWOaA", "영상 보기 ▶")</f>
        <v/>
      </c>
    </row>
    <row r="15" ht="26" customHeight="1">
      <c r="A15" s="6" t="n">
        <v>914</v>
      </c>
      <c r="B15" s="7" t="inlineStr">
        <is>
          <t>재개</t>
        </is>
      </c>
      <c r="C15" s="8" t="inlineStr">
        <is>
          <t>pick up (이어서 계속)</t>
        </is>
      </c>
      <c r="D15" s="12" t="inlineStr">
        <is>
          <t>(중단된 부분으로 돌아가) 다시 계속하다</t>
        </is>
      </c>
      <c r="E15" s="12" t="inlineStr">
        <is>
          <t>Let's pick this up tomorrow after a good night's sleep.</t>
        </is>
      </c>
      <c r="F15" s="12" t="inlineStr">
        <is>
          <t>오늘 푹 자고 내일 이 부분부터 다시 이어서 계속합시다.</t>
        </is>
      </c>
      <c r="G15" s="9">
        <f>HYPERLINK("https://www.youtube.com/watch?v=xebpJhFWOaA", "영상 보기 ▶")</f>
        <v/>
      </c>
    </row>
    <row r="16" ht="26" customHeight="1">
      <c r="A16" s="2" t="n">
        <v>915</v>
      </c>
      <c r="B16" s="3" t="inlineStr">
        <is>
          <t>체득</t>
        </is>
      </c>
      <c r="C16" s="4" t="inlineStr">
        <is>
          <t>pick up (익히다)</t>
        </is>
      </c>
      <c r="D16" s="11" t="inlineStr">
        <is>
          <t>(자연스럽게 보고 들으며) 요령을 익히다</t>
        </is>
      </c>
      <c r="E16" s="11" t="inlineStr">
        <is>
          <t>Kids pick up new languages remarkably fast.</t>
        </is>
      </c>
      <c r="F16" s="11" t="inlineStr">
        <is>
          <t>아이들은 새로운 언어를 놀라울 정도로 빠르게 체득해.</t>
        </is>
      </c>
      <c r="G16" s="5">
        <f>HYPERLINK("https://www.youtube.com/watch?v=xebpJhFWOaA", "영상 보기 ▶")</f>
        <v/>
      </c>
    </row>
    <row r="17" ht="26" customHeight="1">
      <c r="A17" s="6" t="n">
        <v>916</v>
      </c>
      <c r="B17" s="7" t="inlineStr">
        <is>
          <t>간단 구매</t>
        </is>
      </c>
      <c r="C17" s="8" t="inlineStr">
        <is>
          <t>pick up (사오다)</t>
        </is>
      </c>
      <c r="D17" s="12" t="inlineStr">
        <is>
          <t>(장소에 들러) 간단히 사 오다, 찾다</t>
        </is>
      </c>
      <c r="E17" s="12" t="inlineStr">
        <is>
          <t>Could you pick up some milk on your way home?</t>
        </is>
      </c>
      <c r="F17" s="12" t="inlineStr">
        <is>
          <t>퇴근하는 길에 우유 좀 간단히 사 올 수 있어?</t>
        </is>
      </c>
      <c r="G17" s="9">
        <f>HYPERLINK("https://www.youtube.com/watch?v=xebpJhFWOaA", "영상 보기 ▶")</f>
        <v/>
      </c>
    </row>
    <row r="18" ht="26" customHeight="1">
      <c r="A18" s="2" t="n">
        <v>917</v>
      </c>
      <c r="B18" s="3" t="inlineStr">
        <is>
          <t>최상의 찬사</t>
        </is>
      </c>
      <c r="C18" s="4" t="inlineStr">
        <is>
          <t>couldn't have p.p.</t>
        </is>
      </c>
      <c r="D18" s="11" t="inlineStr">
        <is>
          <t>더할 나위 없이 완벽했다 (더 잘할 수 없었을 정도)</t>
        </is>
      </c>
      <c r="E18" s="11" t="inlineStr">
        <is>
          <t>You did an incredible job; it couldn't have gone better.</t>
        </is>
      </c>
      <c r="F18" s="11" t="inlineStr">
        <is>
          <t>정말 훌륭하게 해냈어, 이보다 더 완벽하게 잘 풀릴 순 없었을 거야.</t>
        </is>
      </c>
      <c r="G18" s="5">
        <f>HYPERLINK("https://www.youtube.com/watch?v=xebpJhFWOaA", "영상 보기 ▶")</f>
        <v/>
      </c>
    </row>
    <row r="19" ht="26" customHeight="1">
      <c r="A19" s="6" t="n">
        <v>918</v>
      </c>
      <c r="B19" s="7" t="inlineStr">
        <is>
          <t>홈런/대성공</t>
        </is>
      </c>
      <c r="C19" s="8" t="inlineStr">
        <is>
          <t>home run</t>
        </is>
      </c>
      <c r="D19" s="12" t="inlineStr">
        <is>
          <t>대성공, 완벽한 대박 (hit a home run)</t>
        </is>
      </c>
      <c r="E19" s="12" t="inlineStr">
        <is>
          <t>Your creative product campaign was an absolute home run!</t>
        </is>
      </c>
      <c r="F19" s="12" t="inlineStr">
        <is>
          <t>네가 기획한 크리에이티브 제품 캠페인은 그야말로 대박 홈런이었어!</t>
        </is>
      </c>
      <c r="G19" s="9">
        <f>HYPERLINK("https://www.youtube.com/watch?v=xebpJhFWOaA", "영상 보기 ▶")</f>
        <v/>
      </c>
    </row>
    <row r="20" ht="26" customHeight="1">
      <c r="A20" s="2" t="n">
        <v>919</v>
      </c>
      <c r="B20" s="3" t="inlineStr">
        <is>
          <t>소신 견해</t>
        </is>
      </c>
      <c r="C20" s="4" t="inlineStr">
        <is>
          <t>As far as I'm concerned</t>
        </is>
      </c>
      <c r="D20" s="11" t="inlineStr">
        <is>
          <t>내 소견으로는, 내가 보기에는</t>
        </is>
      </c>
      <c r="E20" s="11" t="inlineStr">
        <is>
          <t>As far as I'm concerned, quality is non-negotiable.</t>
        </is>
      </c>
      <c r="F20" s="11" t="inlineStr">
        <is>
          <t>제 소견으로는 품질은 결코 타협할 수 없는 절대 가치입니다.</t>
        </is>
      </c>
      <c r="G20" s="5">
        <f>HYPERLINK("https://www.youtube.com/watch?v=xebpJhFWOaA", "영상 보기 ▶")</f>
        <v/>
      </c>
    </row>
    <row r="21" ht="26" customHeight="1">
      <c r="A21" s="6" t="n">
        <v>920</v>
      </c>
      <c r="B21" s="7" t="inlineStr">
        <is>
          <t>눈치챔</t>
        </is>
      </c>
      <c r="C21" s="8" t="inlineStr">
        <is>
          <t>pick up on</t>
        </is>
      </c>
      <c r="D21" s="12" t="inlineStr">
        <is>
          <t>(뉘앙스나 신호를) 눈치채다, 알아채다</t>
        </is>
      </c>
      <c r="E21" s="12" t="inlineStr">
        <is>
          <t>She immediately picked up on his anxious tone of voice.</t>
        </is>
      </c>
      <c r="F21" s="12" t="inlineStr">
        <is>
          <t>그녀는 그의 불안해하는 목소리 톤을 단번에 눈치챘어.</t>
        </is>
      </c>
      <c r="G21" s="9">
        <f>HYPERLINK("https://www.youtube.com/watch?v=xebpJhFWOaA", "영상 보기 ▶")</f>
        <v/>
      </c>
    </row>
    <row r="22" ht="26" customHeight="1">
      <c r="A22" s="2" t="n">
        <v>921</v>
      </c>
      <c r="B22" s="3" t="inlineStr">
        <is>
          <t>선별</t>
        </is>
      </c>
      <c r="C22" s="4" t="inlineStr">
        <is>
          <t>pick out</t>
        </is>
      </c>
      <c r="D22" s="11" t="inlineStr">
        <is>
          <t>골라내다, 선택하다</t>
        </is>
      </c>
      <c r="E22" s="11" t="inlineStr">
        <is>
          <t>Help me pick out a suitable necktie for the interview.</t>
        </is>
      </c>
      <c r="F22" s="11" t="inlineStr">
        <is>
          <t>면접에 어울릴 만한 넥타이 좀 골라줘.</t>
        </is>
      </c>
      <c r="G22" s="5">
        <f>HYPERLINK("https://www.youtube.com/watch?v=xebpJhFWOaA", "영상 보기 ▶")</f>
        <v/>
      </c>
    </row>
    <row r="23" ht="26" customHeight="1">
      <c r="A23" s="6" t="n">
        <v>922</v>
      </c>
      <c r="B23" s="7" t="inlineStr">
        <is>
          <t>괴롭힘/표적</t>
        </is>
      </c>
      <c r="C23" s="8" t="inlineStr">
        <is>
          <t>pick on</t>
        </is>
      </c>
      <c r="D23" s="12" t="inlineStr">
        <is>
          <t>~를 유독 괴롭히다, 꼬투리 잡다</t>
        </is>
      </c>
      <c r="E23" s="12" t="inlineStr">
        <is>
          <t>Why does the manager always pick on me for small things?</t>
        </is>
      </c>
      <c r="F23" s="12" t="inlineStr">
        <is>
          <t>부장님은 왜 사소한 일로 항상 나한테만 꼬투리를 잡으실까?</t>
        </is>
      </c>
      <c r="G23" s="9">
        <f>HYPERLINK("https://www.youtube.com/watch?v=xebpJhFWOaA", "영상 보기 ▶")</f>
        <v/>
      </c>
    </row>
    <row r="24" ht="26" customHeight="1">
      <c r="A24" s="2" t="n">
        <v>923</v>
      </c>
      <c r="B24" s="3" t="inlineStr">
        <is>
          <t>심층 탐구</t>
        </is>
      </c>
      <c r="C24" s="4" t="inlineStr">
        <is>
          <t>delve into</t>
        </is>
      </c>
      <c r="D24" s="11" t="inlineStr">
        <is>
          <t>깊이 파고들다, 철저히 조사하다</t>
        </is>
      </c>
      <c r="E24" s="11" t="inlineStr">
        <is>
          <t>The investigative journalist delved into the corporate scandal.</t>
        </is>
      </c>
      <c r="F24" s="11" t="inlineStr">
        <is>
          <t>그 탐사보도 기자는 기업 비리 스캔들을 깊이 파고들었습니다.</t>
        </is>
      </c>
      <c r="G24" s="5">
        <f>HYPERLINK("https://www.youtube.com/watch?v=xebpJhFWOaA", "영상 보기 ▶")</f>
        <v/>
      </c>
    </row>
    <row r="25" ht="26" customHeight="1">
      <c r="A25" s="6" t="n">
        <v>924</v>
      </c>
      <c r="B25" s="7" t="inlineStr">
        <is>
          <t>열정적 몰입</t>
        </is>
      </c>
      <c r="C25" s="8" t="inlineStr">
        <is>
          <t>dive in</t>
        </is>
      </c>
      <c r="D25" s="12" t="inlineStr">
        <is>
          <t>망설임 없이 뛰어들다, 몰입하다</t>
        </is>
      </c>
      <c r="E25" s="12" t="inlineStr">
        <is>
          <t>Instead of hesitating, dive in with an open mind.</t>
        </is>
      </c>
      <c r="F25" s="12" t="inlineStr">
        <is>
          <t>망설이지 말고 열린 마음으로 과감하게 뛰어들어 보세요.</t>
        </is>
      </c>
      <c r="G25" s="9">
        <f>HYPERLINK("https://www.youtube.com/watch?v=xebpJhFWOaA", "영상 보기 ▶")</f>
        <v/>
      </c>
    </row>
    <row r="26" ht="26" customHeight="1">
      <c r="A26" s="2" t="n">
        <v>925</v>
      </c>
      <c r="B26" s="3" t="inlineStr">
        <is>
          <t>바이럴/입소문</t>
        </is>
      </c>
      <c r="C26" s="4" t="inlineStr">
        <is>
          <t>go viral</t>
        </is>
      </c>
      <c r="D26" s="11" t="inlineStr">
        <is>
          <t>인터넷상에서 엄청나게 화제가 되다/입소문을 타다</t>
        </is>
      </c>
      <c r="E26" s="11" t="inlineStr">
        <is>
          <t>Their funny promotional video went viral overnight.</t>
        </is>
      </c>
      <c r="F26" s="11" t="inlineStr">
        <is>
          <t>그들의 재미있는 홍보 영상이 하룻밤 사이에 엄청나게 바이럴을 탔어.</t>
        </is>
      </c>
      <c r="G26" s="5">
        <f>HYPERLINK("https://www.youtube.com/watch?v=xebpJhFWOaA", "영상 보기 ▶")</f>
        <v/>
      </c>
    </row>
    <row r="27" ht="26" customHeight="1">
      <c r="A27" s="6" t="n">
        <v>926</v>
      </c>
      <c r="B27" s="7" t="inlineStr">
        <is>
          <t>자신감 제안</t>
        </is>
      </c>
      <c r="C27" s="8" t="inlineStr">
        <is>
          <t>Try me</t>
        </is>
      </c>
      <c r="D27" s="12" t="inlineStr">
        <is>
          <t>어디 한번 말해봐, 나 다 이해하고 감당할 수 있어</t>
        </is>
      </c>
      <c r="E27" s="12" t="inlineStr">
        <is>
          <t>You think I don't understand coding? Try me.</t>
        </is>
      </c>
      <c r="F27" s="12" t="inlineStr">
        <is>
          <t>내가 코딩 모를 것 같아? 어디 한번 질문해 봐, 다 맞출 테니.</t>
        </is>
      </c>
      <c r="G27" s="9">
        <f>HYPERLINK("https://www.youtube.com/watch?v=xebpJhFWOaA", "영상 보기 ▶")</f>
        <v/>
      </c>
    </row>
    <row r="28" ht="26" customHeight="1">
      <c r="A28" s="2" t="n">
        <v>927</v>
      </c>
      <c r="B28" s="3" t="inlineStr">
        <is>
          <t>경고</t>
        </is>
      </c>
      <c r="C28" s="4" t="inlineStr">
        <is>
          <t>Try me (경고)</t>
        </is>
      </c>
      <c r="D28" s="11" t="inlineStr">
        <is>
          <t>덤벼봐 어디, 진짜 가만 안 둔다 (경고)</t>
        </is>
      </c>
      <c r="E28" s="11" t="inlineStr">
        <is>
          <t>Don't test my patience; try me and you'll regret it.</t>
        </is>
      </c>
      <c r="F28" s="11" t="inlineStr">
        <is>
          <t>내 인내심 시험하지 마, 어디 한번 선 넘어봐, 후회하게 될 테니.</t>
        </is>
      </c>
      <c r="G28" s="5">
        <f>HYPERLINK("https://www.youtube.com/watch?v=xebpJhFWOaA", "영상 보기 ▶")</f>
        <v/>
      </c>
    </row>
    <row r="29" ht="26" customHeight="1">
      <c r="A29" s="6" t="n">
        <v>928</v>
      </c>
      <c r="B29" s="7" t="inlineStr">
        <is>
          <t>공식 절차</t>
        </is>
      </c>
      <c r="C29" s="8" t="inlineStr">
        <is>
          <t>procedure</t>
        </is>
      </c>
      <c r="D29" s="12" t="inlineStr">
        <is>
          <t>정식 절차, 수순 (follow proper procedure)</t>
        </is>
      </c>
      <c r="E29" s="12" t="inlineStr">
        <is>
          <t>Please follow the standard refund procedure outlined here.</t>
        </is>
      </c>
      <c r="F29" s="12" t="inlineStr">
        <is>
          <t>여기에 명시된 표준 환불 정식 절차를 준수해 주시기 바랍니다.</t>
        </is>
      </c>
      <c r="G29" s="9">
        <f>HYPERLINK("https://www.youtube.com/watch?v=xebpJhFWOaA", "영상 보기 ▶")</f>
        <v/>
      </c>
    </row>
    <row r="30" ht="26" customHeight="1">
      <c r="A30" s="2" t="n">
        <v>929</v>
      </c>
      <c r="B30" s="3" t="inlineStr">
        <is>
          <t>육성/조성</t>
        </is>
      </c>
      <c r="C30" s="4" t="inlineStr">
        <is>
          <t>foster</t>
        </is>
      </c>
      <c r="D30" s="11" t="inlineStr">
        <is>
          <t>(좋은 분위기/관계를) 발전시키다, 육성하다</t>
        </is>
      </c>
      <c r="E30" s="11" t="inlineStr">
        <is>
          <t>We strive to foster a culture of open communication.</t>
        </is>
      </c>
      <c r="F30" s="11" t="inlineStr">
        <is>
          <t>우리는 열린 소통의 조직 문화를 육성하고자 부단히 노력합니다.</t>
        </is>
      </c>
      <c r="G30" s="5">
        <f>HYPERLINK("https://www.youtube.com/watch?v=xebpJhFWOaA", "영상 보기 ▶")</f>
        <v/>
      </c>
    </row>
    <row r="31" ht="26" customHeight="1">
      <c r="A31" s="6" t="n">
        <v>930</v>
      </c>
      <c r="B31" s="7" t="inlineStr">
        <is>
          <t>촉발/스파크</t>
        </is>
      </c>
      <c r="C31" s="8" t="inlineStr">
        <is>
          <t>spark</t>
        </is>
      </c>
      <c r="D31" s="12" t="inlineStr">
        <is>
          <t>불꽃을 일으키다, 흥미나 영감을 촉발하다</t>
        </is>
      </c>
      <c r="E31" s="12" t="inlineStr">
        <is>
          <t>Her insightful comment sparked a lively debate in the room.</t>
        </is>
      </c>
      <c r="F31" s="12" t="inlineStr">
        <is>
          <t>그녀의 통찰력 있는 한마디가 회의실 안에 열띤 토론의 불을 지폈어.</t>
        </is>
      </c>
      <c r="G31" s="9">
        <f>HYPERLINK("https://www.youtube.com/watch?v=xebpJhFWOaA", "영상 보기 ▶")</f>
        <v/>
      </c>
    </row>
    <row r="32" ht="26" customHeight="1">
      <c r="A32" s="2" t="n">
        <v>931</v>
      </c>
      <c r="B32" s="3" t="inlineStr">
        <is>
          <t>어색함</t>
        </is>
      </c>
      <c r="C32" s="4" t="inlineStr">
        <is>
          <t>awkward</t>
        </is>
      </c>
      <c r="D32" s="11" t="inlineStr">
        <is>
          <t>어색한, 서투른, 난처한</t>
        </is>
      </c>
      <c r="E32" s="11" t="inlineStr">
        <is>
          <t>There was an awkward silence when nobody knew the answer.</t>
        </is>
      </c>
      <c r="F32" s="11" t="inlineStr">
        <is>
          <t>아무도 정답을 모르는 어색한 침묵이 감돌았어.</t>
        </is>
      </c>
      <c r="G32" s="5">
        <f>HYPERLINK("https://www.youtube.com/watch?v=xebpJhFWOaA", "영상 보기 ▶")</f>
        <v/>
      </c>
    </row>
    <row r="33" ht="26" customHeight="1">
      <c r="A33" s="6" t="n">
        <v>932</v>
      </c>
      <c r="B33" s="7" t="inlineStr">
        <is>
          <t>완급 조절</t>
        </is>
      </c>
      <c r="C33" s="8" t="inlineStr">
        <is>
          <t>Pace yourself</t>
        </is>
      </c>
      <c r="D33" s="12" t="inlineStr">
        <is>
          <t>너무 무리하지 말고 자기 페이스를 조절해</t>
        </is>
      </c>
      <c r="E33" s="12" t="inlineStr">
        <is>
          <t>It's a marathon, not a sprint. Pace yourself!</t>
        </is>
      </c>
      <c r="F33" s="12" t="inlineStr">
        <is>
          <t>단거리 달리기가 아니라 마라톤이야. 너무 무리 말고 완급 조절해!</t>
        </is>
      </c>
      <c r="G33" s="9">
        <f>HYPERLINK("https://www.youtube.com/watch?v=xebpJhFWOaA", "영상 보기 ▶")</f>
        <v/>
      </c>
    </row>
    <row r="34" ht="26" customHeight="1">
      <c r="A34" s="2" t="n">
        <v>933</v>
      </c>
      <c r="B34" s="3" t="inlineStr">
        <is>
          <t>치팅데이</t>
        </is>
      </c>
      <c r="C34" s="4" t="inlineStr">
        <is>
          <t>It's my cheat day</t>
        </is>
      </c>
      <c r="D34" s="11" t="inlineStr">
        <is>
          <t>오늘 내 치팅데이야! (마음껏 먹는 날)</t>
        </is>
      </c>
      <c r="E34" s="11" t="inlineStr">
        <is>
          <t>I'm having a huge double cheeseburger; it's my cheat day!</t>
        </is>
      </c>
      <c r="F34" s="11" t="inlineStr">
        <is>
          <t>나 오늘 더블 치즈버거 먹을 거야, 오늘 내 치팅데이라고!</t>
        </is>
      </c>
      <c r="G34" s="5">
        <f>HYPERLINK("https://www.youtube.com/watch?v=xebpJhFWOaA", "영상 보기 ▶")</f>
        <v/>
      </c>
    </row>
    <row r="35" ht="26" customHeight="1">
      <c r="A35" s="6" t="n">
        <v>934</v>
      </c>
      <c r="B35" s="7" t="inlineStr">
        <is>
          <t>치팅 메뉴</t>
        </is>
      </c>
      <c r="C35" s="8" t="inlineStr">
        <is>
          <t>what I'm having on my cheat day</t>
        </is>
      </c>
      <c r="D35" s="12" t="inlineStr">
        <is>
          <t>치팅데이에 내가 꼭 먹을 메뉴</t>
        </is>
      </c>
      <c r="E35" s="12" t="inlineStr">
        <is>
          <t>Crispy fried chicken is definitely what I'm having on my cheat day.</t>
        </is>
      </c>
      <c r="F35" s="12" t="inlineStr">
        <is>
          <t>바삭한 프라이드치킨은 내 치팅데이에 무조건 먹을 원픽 메뉴야.</t>
        </is>
      </c>
      <c r="G35" s="9">
        <f>HYPERLINK("https://www.youtube.com/watch?v=xebpJhFWOaA", "영상 보기 ▶")</f>
        <v/>
      </c>
    </row>
    <row r="36" ht="26" customHeight="1">
      <c r="A36" s="2" t="n">
        <v>935</v>
      </c>
      <c r="B36" s="3" t="inlineStr">
        <is>
          <t>완곡한 만류</t>
        </is>
      </c>
      <c r="C36" s="4" t="inlineStr">
        <is>
          <t>You don't wanna ~</t>
        </is>
      </c>
      <c r="D36" s="11" t="inlineStr">
        <is>
          <t>~하지 않는 게 좋을 거야 (부드러운 충고)</t>
        </is>
      </c>
      <c r="E36" s="11" t="inlineStr">
        <is>
          <t>You don't wanna miss the opening keynote tomorrow.</t>
        </is>
      </c>
      <c r="F36" s="11" t="inlineStr">
        <is>
          <t>내일 오프닝 기조연설은 웬만하면 안 놓치는 게 좋을 거야.</t>
        </is>
      </c>
      <c r="G36" s="5">
        <f>HYPERLINK("https://www.youtube.com/watch?v=xebpJhFWOaA", "영상 보기 ▶")</f>
        <v/>
      </c>
    </row>
    <row r="37" ht="26" customHeight="1">
      <c r="A37" s="6" t="n">
        <v>936</v>
      </c>
      <c r="B37" s="7" t="inlineStr">
        <is>
          <t>조심스런 제안</t>
        </is>
      </c>
      <c r="C37" s="8" t="inlineStr">
        <is>
          <t>You might wanna ~</t>
        </is>
      </c>
      <c r="D37" s="12" t="inlineStr">
        <is>
          <t>~해보시는 것도 좋을 것 같아요 (부드러운 권유)</t>
        </is>
      </c>
      <c r="E37" s="12" t="inlineStr">
        <is>
          <t>You might wanna double-check the recipient's email address.</t>
        </is>
      </c>
      <c r="F37" s="12" t="inlineStr">
        <is>
          <t>받는 분 이메일 주소를 한 번 더 확인해 보시는 게 좋을 듯해요.</t>
        </is>
      </c>
      <c r="G37" s="9">
        <f>HYPERLINK("https://www.youtube.com/watch?v=xebpJhFWOaA", "영상 보기 ▶")</f>
        <v/>
      </c>
    </row>
    <row r="38" ht="26" customHeight="1">
      <c r="A38" s="2" t="n">
        <v>937</v>
      </c>
      <c r="B38" s="3" t="inlineStr">
        <is>
          <t>맥락 팔로우</t>
        </is>
      </c>
      <c r="C38" s="4" t="inlineStr">
        <is>
          <t>follow (흐름)</t>
        </is>
      </c>
      <c r="D38" s="11" t="inlineStr">
        <is>
          <t>내용의 흐름을 잘 따라오다</t>
        </is>
      </c>
      <c r="E38" s="11" t="inlineStr">
        <is>
          <t>I couldn't quite follow his rapid line of reasoning.</t>
        </is>
      </c>
      <c r="F38" s="11" t="inlineStr">
        <is>
          <t>그의 너무 빠른 논리 전개를 온전히 따라가기가 힘들었어.</t>
        </is>
      </c>
      <c r="G38" s="5">
        <f>HYPERLINK("https://www.youtube.com/watch?v=xebpJhFWOaA", "영상 보기 ▶")</f>
        <v/>
      </c>
    </row>
    <row r="39" ht="26" customHeight="1">
      <c r="A39" s="6" t="n">
        <v>938</v>
      </c>
      <c r="B39" s="7" t="inlineStr">
        <is>
          <t>어조 완화</t>
        </is>
      </c>
      <c r="C39" s="8" t="inlineStr">
        <is>
          <t>soften</t>
        </is>
      </c>
      <c r="D39" s="12" t="inlineStr">
        <is>
          <t>(비판이나 어조를) 부드럽게 완화하다</t>
        </is>
      </c>
      <c r="E39" s="12" t="inlineStr">
        <is>
          <t>You might want to soften your wording so as not to sound harsh.</t>
        </is>
      </c>
      <c r="F39" s="12" t="inlineStr">
        <is>
          <t>너무 날카롭게 들리지 않도록 표현을 좀 부드럽게 완화하는 게 좋겠어요.</t>
        </is>
      </c>
      <c r="G39" s="9">
        <f>HYPERLINK("https://www.youtube.com/watch?v=xebpJhFWOaA", "영상 보기 ▶")</f>
        <v/>
      </c>
    </row>
    <row r="40" ht="26" customHeight="1">
      <c r="A40" s="2" t="n">
        <v>939</v>
      </c>
      <c r="B40" s="3" t="inlineStr">
        <is>
          <t>자기 보폭</t>
        </is>
      </c>
      <c r="C40" s="4" t="inlineStr">
        <is>
          <t>at your own pace</t>
        </is>
      </c>
      <c r="D40" s="11" t="inlineStr">
        <is>
          <t>남 신경 쓰지 않고 자기만의 속도로</t>
        </is>
      </c>
      <c r="E40" s="11" t="inlineStr">
        <is>
          <t>Don't rush through the tutorial; learn at your own pace.</t>
        </is>
      </c>
      <c r="F40" s="11" t="inlineStr">
        <is>
          <t>서두르지 말고 자기만의 보폭과 속도에 맞춰 차근차근 배워.</t>
        </is>
      </c>
      <c r="G40" s="5">
        <f>HYPERLINK("https://www.youtube.com/watch?v=xebpJhFWOaA", "영상 보기 ▶")</f>
        <v/>
      </c>
    </row>
    <row r="41" ht="26" customHeight="1">
      <c r="A41" s="6" t="n">
        <v>940</v>
      </c>
      <c r="B41" s="7" t="inlineStr">
        <is>
          <t>간발의 차이</t>
        </is>
      </c>
      <c r="C41" s="8" t="inlineStr">
        <is>
          <t>close (아슬아슬)</t>
        </is>
      </c>
      <c r="D41" s="12" t="inlineStr">
        <is>
          <t>아슬아슬한, 간발의 차이인</t>
        </is>
      </c>
      <c r="E41" s="12" t="inlineStr">
        <is>
          <t>Phew, that was close! We almost missed our boarding call.</t>
        </is>
      </c>
      <c r="F41" s="12" t="inlineStr">
        <is>
          <t>휴, 진짜 아슬아슬했다! 탑승 마감 놓칠 뻔했잖아.</t>
        </is>
      </c>
      <c r="G41" s="9">
        <f>HYPERLINK("https://www.youtube.com/watch?v=xebpJhFWOaA", "영상 보기 ▶")</f>
        <v/>
      </c>
    </row>
    <row r="42" ht="26" customHeight="1">
      <c r="A42" s="2" t="n">
        <v>941</v>
      </c>
      <c r="B42" s="3" t="inlineStr">
        <is>
          <t>장악/관리</t>
        </is>
      </c>
      <c r="C42" s="4" t="inlineStr">
        <is>
          <t>stay on top of</t>
        </is>
      </c>
      <c r="D42" s="11" t="inlineStr">
        <is>
          <t>상황을 완벽하게 꿰뚫고 관리하다</t>
        </is>
      </c>
      <c r="E42" s="11" t="inlineStr">
        <is>
          <t>Use a daily checklist to stay on top of all deadlines.</t>
        </is>
      </c>
      <c r="F42" s="11" t="inlineStr">
        <is>
          <t>모든 마감 기한을 빈틈없이 챙기려면 매일 체크리스트를 활용하세요.</t>
        </is>
      </c>
      <c r="G42" s="5">
        <f>HYPERLINK("https://www.youtube.com/watch?v=xebpJhFWOaA", "영상 보기 ▶")</f>
        <v/>
      </c>
    </row>
    <row r="43" ht="26" customHeight="1">
      <c r="A43" s="6" t="n">
        <v>942</v>
      </c>
      <c r="B43" s="7" t="inlineStr">
        <is>
          <t>변동 공유</t>
        </is>
      </c>
      <c r="C43" s="8" t="inlineStr">
        <is>
          <t>Let me know if anything changes</t>
        </is>
      </c>
      <c r="D43" s="12" t="inlineStr">
        <is>
          <t>변동 사항이 생기면 언제든 바로 알려주세요</t>
        </is>
      </c>
      <c r="E43" s="12" t="inlineStr">
        <is>
          <t>The schedule looks good for now; let me know if anything changes.</t>
        </is>
      </c>
      <c r="F43" s="12" t="inlineStr">
        <is>
          <t>현재로선 일정 괜찮아 보입니다. 변동 사항 생기면 바로 알려주세요.</t>
        </is>
      </c>
      <c r="G43" s="9">
        <f>HYPERLINK("https://www.youtube.com/watch?v=xebpJhFWOaA", "영상 보기 ▶")</f>
        <v/>
      </c>
    </row>
    <row r="44" ht="26" customHeight="1">
      <c r="A44" s="2" t="n">
        <v>943</v>
      </c>
      <c r="B44" s="3" t="inlineStr">
        <is>
          <t>눈에 띄지 않음</t>
        </is>
      </c>
      <c r="C44" s="4" t="inlineStr">
        <is>
          <t>Nothing stood out to me</t>
        </is>
      </c>
      <c r="D44" s="11" t="inlineStr">
        <is>
          <t>딱히 인상적이거나 눈에 띄는 것은 없었어</t>
        </is>
      </c>
      <c r="E44" s="11" t="inlineStr">
        <is>
          <t>I reviewed all ten applicants, but nothing stood out to me.</t>
        </is>
      </c>
      <c r="F44" s="11" t="inlineStr">
        <is>
          <t>지원자 10명을 다 검토해 봤는데 딱히 눈에 띄는 인재는 없었어.</t>
        </is>
      </c>
      <c r="G44" s="5">
        <f>HYPERLINK("https://www.youtube.com/watch?v=xebpJhFWOaA", "영상 보기 ▶")</f>
        <v/>
      </c>
    </row>
    <row r="45" ht="26" customHeight="1">
      <c r="A45" s="6" t="n">
        <v>944</v>
      </c>
      <c r="B45" s="7" t="inlineStr">
        <is>
          <t>평범/그저 그런</t>
        </is>
      </c>
      <c r="C45" s="8" t="inlineStr">
        <is>
          <t>mediocre</t>
        </is>
      </c>
      <c r="D45" s="12" t="inlineStr">
        <is>
          <t>그저 그런, 평범한, 이류의</t>
        </is>
      </c>
      <c r="E45" s="12" t="inlineStr">
        <is>
          <t>The service was mediocre despite the exorbitant prices.</t>
        </is>
      </c>
      <c r="F45" s="12" t="inlineStr">
        <is>
          <t>턱없이 비싼 가격에 비해 서비스 품질은 영 그저 그랬어.</t>
        </is>
      </c>
      <c r="G45" s="9">
        <f>HYPERLINK("https://www.youtube.com/watch?v=xebpJhFWOaA", "영상 보기 ▶")</f>
        <v/>
      </c>
    </row>
    <row r="46" ht="26" customHeight="1">
      <c r="A46" s="2" t="n">
        <v>945</v>
      </c>
      <c r="B46" s="3" t="inlineStr">
        <is>
          <t>발전 여지</t>
        </is>
      </c>
      <c r="C46" s="4" t="inlineStr">
        <is>
          <t>room for improvement</t>
        </is>
      </c>
      <c r="D46" s="11" t="inlineStr">
        <is>
          <t>발전/개선의 여지</t>
        </is>
      </c>
      <c r="E46" s="11" t="inlineStr">
        <is>
          <t>Good initial draft, but there's definitely room for improvement.</t>
        </is>
      </c>
      <c r="F46" s="11" t="inlineStr">
        <is>
          <t>첫 초안치곤 괜찮지만, 분명 개선의 여지가 있는 부분들이 보여.</t>
        </is>
      </c>
      <c r="G46" s="5">
        <f>HYPERLINK("https://www.youtube.com/watch?v=xebpJhFWOaA", "영상 보기 ▶")</f>
        <v/>
      </c>
    </row>
    <row r="47" ht="26" customHeight="1">
      <c r="A47" s="6" t="n">
        <v>946</v>
      </c>
      <c r="B47" s="7" t="inlineStr">
        <is>
          <t>기껏해야</t>
        </is>
      </c>
      <c r="C47" s="8" t="inlineStr">
        <is>
          <t>at best</t>
        </is>
      </c>
      <c r="D47" s="12" t="inlineStr">
        <is>
          <t>기껏해야, 가장 낙관적으로 보아도</t>
        </is>
      </c>
      <c r="E47" s="12" t="inlineStr">
        <is>
          <t>If everything goes perfectly, we'll break even at best.</t>
        </is>
      </c>
      <c r="F47" s="12" t="inlineStr">
        <is>
          <t>모든 게 완벽히 풀려도 기껏해야 손익분기점을 맞추는 수준일 거야.</t>
        </is>
      </c>
      <c r="G47" s="9">
        <f>HYPERLINK("https://www.youtube.com/watch?v=xebpJhFWOaA", "영상 보기 ▶")</f>
        <v/>
      </c>
    </row>
    <row r="48" ht="26" customHeight="1">
      <c r="A48" s="2" t="n">
        <v>947</v>
      </c>
      <c r="B48" s="3" t="inlineStr">
        <is>
          <t>선점 우위</t>
        </is>
      </c>
      <c r="C48" s="4" t="inlineStr">
        <is>
          <t>head start</t>
        </is>
      </c>
      <c r="D48" s="11" t="inlineStr">
        <is>
          <t>남보다 앞선 유리한 출발, 선점 우위</t>
        </is>
      </c>
      <c r="E48" s="11" t="inlineStr">
        <is>
          <t>Early market entry gave our brand a huge head start.</t>
        </is>
      </c>
      <c r="F48" s="11" t="inlineStr">
        <is>
          <t>시장에 일찍 진입한 덕분에 우리 브랜드는 대단히 유리한 선점 우위를 누렸어.</t>
        </is>
      </c>
      <c r="G48" s="5">
        <f>HYPERLINK("https://www.youtube.com/watch?v=xebpJhFWOaA", "영상 보기 ▶")</f>
        <v/>
      </c>
    </row>
    <row r="49" ht="26" customHeight="1">
      <c r="A49" s="6" t="n">
        <v>948</v>
      </c>
      <c r="B49" s="7" t="inlineStr">
        <is>
          <t>허세/엄포</t>
        </is>
      </c>
      <c r="C49" s="8" t="inlineStr">
        <is>
          <t>bluff</t>
        </is>
      </c>
      <c r="D49" s="12" t="inlineStr">
        <is>
          <t>허세, 엄포를 놓다 (call one's bluff)</t>
        </is>
      </c>
      <c r="E49" s="12" t="inlineStr">
        <is>
          <t>He threatened to cancel the deal, but it was just a bluff.</t>
        </is>
      </c>
      <c r="F49" s="12" t="inlineStr">
        <is>
          <t>그는 계약을 파기하겠다고 위협했지만 그냥 엄포용 허세였어.</t>
        </is>
      </c>
      <c r="G49" s="9">
        <f>HYPERLINK("https://www.youtube.com/watch?v=xebpJhFWOaA", "영상 보기 ▶")</f>
        <v/>
      </c>
    </row>
    <row r="50" ht="26" customHeight="1">
      <c r="A50" s="2" t="n">
        <v>949</v>
      </c>
      <c r="B50" s="3" t="inlineStr">
        <is>
          <t>공감 경청</t>
        </is>
      </c>
      <c r="C50" s="4" t="inlineStr">
        <is>
          <t>I hear you</t>
        </is>
      </c>
      <c r="D50" s="11" t="inlineStr">
        <is>
          <t>무슨 말인지 잘 알아, 네 심정 충분히 이해해</t>
        </is>
      </c>
      <c r="E50" s="11" t="inlineStr">
        <is>
          <t>I hear you, and I completely share your frustration.</t>
        </is>
      </c>
      <c r="F50" s="11" t="inlineStr">
        <is>
          <t>무슨 말씀인지 잘 압니다, 저 역시 그 답답함에 깊이 공감해요.</t>
        </is>
      </c>
      <c r="G50" s="5">
        <f>HYPERLINK("https://www.youtube.com/watch?v=xebpJhFWOaA", "영상 보기 ▶")</f>
        <v/>
      </c>
    </row>
    <row r="51" ht="26" customHeight="1">
      <c r="A51" s="6" t="n">
        <v>950</v>
      </c>
      <c r="B51" s="7" t="inlineStr">
        <is>
          <t>너그러움</t>
        </is>
      </c>
      <c r="C51" s="8" t="inlineStr">
        <is>
          <t>cut (사람) slack</t>
        </is>
      </c>
      <c r="D51" s="12" t="inlineStr">
        <is>
          <t>~를 너무 옥죄지 않고 융통성 있게 봐주다</t>
        </is>
      </c>
      <c r="E51" s="12" t="inlineStr">
        <is>
          <t>Give him a break and cut him some slack today.</t>
        </is>
      </c>
      <c r="F51" s="12" t="inlineStr">
        <is>
          <t>오늘만큼은 그 친구 너무 옥죄지 말고 좀 너그럽게 봐줘.</t>
        </is>
      </c>
      <c r="G51" s="9">
        <f>HYPERLINK("https://www.youtube.com/watch?v=xebpJhFWOaA", "영상 보기 ▶")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.9" customWidth="1" min="2" max="2"/>
    <col width="36.8" customWidth="1" min="3" max="3"/>
    <col width="48" customWidth="1" min="4" max="4"/>
    <col width="74" customWidth="1" min="5" max="5"/>
    <col width="73.5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951</v>
      </c>
      <c r="B2" s="3" t="inlineStr">
        <is>
          <t>사전 발품</t>
        </is>
      </c>
      <c r="C2" s="4" t="inlineStr">
        <is>
          <t>legwork</t>
        </is>
      </c>
      <c r="D2" s="11" t="inlineStr">
        <is>
          <t>발품 파는 수고, 사전 현장 조사/준비 작업</t>
        </is>
      </c>
      <c r="E2" s="11" t="inlineStr">
        <is>
          <t>I spent the entire week doing the legwork for this contract.</t>
        </is>
      </c>
      <c r="F2" s="11" t="inlineStr">
        <is>
          <t>이 계약을 따내기 위해 일주일 내내 발품 팔며 밑작업을 다 해뒀어.</t>
        </is>
      </c>
      <c r="G2" s="5">
        <f>HYPERLINK("https://www.youtube.com/watch?v=yPBRoGqCefg", "영상 보기 ▶")</f>
        <v/>
      </c>
    </row>
    <row r="3" ht="26" customHeight="1">
      <c r="A3" s="6" t="n">
        <v>952</v>
      </c>
      <c r="B3" s="7" t="inlineStr">
        <is>
          <t>결과 초래</t>
        </is>
      </c>
      <c r="C3" s="8" t="inlineStr">
        <is>
          <t>lead to</t>
        </is>
      </c>
      <c r="D3" s="12" t="inlineStr">
        <is>
          <t>~로 이어지다, 초래하다</t>
        </is>
      </c>
      <c r="E3" s="12" t="inlineStr">
        <is>
          <t>Careful preparation will naturally lead to successful results.</t>
        </is>
      </c>
      <c r="F3" s="12" t="inlineStr">
        <is>
          <t>철저한 준비는 자연스럽게 성공적인 결과로 이어집니다.</t>
        </is>
      </c>
      <c r="G3" s="9">
        <f>HYPERLINK("https://www.youtube.com/watch?v=yPBRoGqCefg", "영상 보기 ▶")</f>
        <v/>
      </c>
    </row>
    <row r="4" ht="26" customHeight="1">
      <c r="A4" s="2" t="n">
        <v>953</v>
      </c>
      <c r="B4" s="3" t="inlineStr">
        <is>
          <t>공감대 형성</t>
        </is>
      </c>
      <c r="C4" s="4" t="inlineStr">
        <is>
          <t>relate to</t>
        </is>
      </c>
      <c r="D4" s="11" t="inlineStr">
        <is>
          <t>~의 마음에 깊이 공감하다, 동질감을 느끼다</t>
        </is>
      </c>
      <c r="E4" s="11" t="inlineStr">
        <is>
          <t>Her heartfelt story was easy for everyone to relate to.</t>
        </is>
      </c>
      <c r="F4" s="11" t="inlineStr">
        <is>
          <t>그녀의 진솔한 이야기는 모든 사람이 쉽게 공감할 수 있었어.</t>
        </is>
      </c>
      <c r="G4" s="5">
        <f>HYPERLINK("https://www.youtube.com/watch?v=yPBRoGqCefg", "영상 보기 ▶")</f>
        <v/>
      </c>
    </row>
    <row r="5" ht="26" customHeight="1">
      <c r="A5" s="6" t="n">
        <v>954</v>
      </c>
      <c r="B5" s="7" t="inlineStr">
        <is>
          <t>깊은 울림</t>
        </is>
      </c>
      <c r="C5" s="8" t="inlineStr">
        <is>
          <t>resonate</t>
        </is>
      </c>
      <c r="D5" s="12" t="inlineStr">
        <is>
          <t>(마음에) 깊은 울림을 주다, 큰 공감을 얻다</t>
        </is>
      </c>
      <c r="E5" s="12" t="inlineStr">
        <is>
          <t>The founder's philosophy resonated deeply with young consumers.</t>
        </is>
      </c>
      <c r="F5" s="12" t="inlineStr">
        <is>
          <t>창업자의 철학은 젊은 소비자들의 마음에 깊은 울림과 공감을 주었습니다.</t>
        </is>
      </c>
      <c r="G5" s="9">
        <f>HYPERLINK("https://www.youtube.com/watch?v=yPBRoGqCefg", "영상 보기 ▶")</f>
        <v/>
      </c>
    </row>
    <row r="6" ht="26" customHeight="1">
      <c r="A6" s="2" t="n">
        <v>955</v>
      </c>
      <c r="B6" s="3" t="inlineStr">
        <is>
          <t>경솔함</t>
        </is>
      </c>
      <c r="C6" s="4" t="inlineStr">
        <is>
          <t>rash</t>
        </is>
      </c>
      <c r="D6" s="11" t="inlineStr">
        <is>
          <t>성급한, 경솔한 (a rash decision)</t>
        </is>
      </c>
      <c r="E6" s="11" t="inlineStr">
        <is>
          <t>Don't make any rash decisions when you are emotional.</t>
        </is>
      </c>
      <c r="F6" s="11" t="inlineStr">
        <is>
          <t>감정적인 상태일 때 성급하고 경솔한 결정을 내리지 마세요.</t>
        </is>
      </c>
      <c r="G6" s="5">
        <f>HYPERLINK("https://www.youtube.com/watch?v=yPBRoGqCefg", "영상 보기 ▶")</f>
        <v/>
      </c>
    </row>
    <row r="7" ht="26" customHeight="1">
      <c r="A7" s="6" t="n">
        <v>956</v>
      </c>
      <c r="B7" s="7" t="inlineStr">
        <is>
          <t>분별력 훈계</t>
        </is>
      </c>
      <c r="C7" s="8" t="inlineStr">
        <is>
          <t>You should know better than ~</t>
        </is>
      </c>
      <c r="D7" s="12" t="inlineStr">
        <is>
          <t>알 만한 사람이 그러면 안 되지, 분별력을 가져야지</t>
        </is>
      </c>
      <c r="E7" s="12" t="inlineStr">
        <is>
          <t>You should know better than to believe unverified rumors.</t>
        </is>
      </c>
      <c r="F7" s="12" t="inlineStr">
        <is>
          <t>검증되지도 않은 헛소문을 믿다니, 알 만한 사람이 왜 그래.</t>
        </is>
      </c>
      <c r="G7" s="9">
        <f>HYPERLINK("https://www.youtube.com/watch?v=yPBRoGqCefg", "영상 보기 ▶")</f>
        <v/>
      </c>
    </row>
    <row r="8" ht="26" customHeight="1">
      <c r="A8" s="2" t="n">
        <v>957</v>
      </c>
      <c r="B8" s="3" t="inlineStr">
        <is>
          <t>성숙한 처신</t>
        </is>
      </c>
      <c r="C8" s="4" t="inlineStr">
        <is>
          <t>I know better than that</t>
        </is>
      </c>
      <c r="D8" s="11" t="inlineStr">
        <is>
          <t>나도 그 정도 사리분별은 있어 (그런 어리석은 짓 안 해)</t>
        </is>
      </c>
      <c r="E8" s="11" t="inlineStr">
        <is>
          <t>I won't argue with angry clients; I know better than that.</t>
        </is>
      </c>
      <c r="F8" s="11" t="inlineStr">
        <is>
          <t>화난 고객과 말싸움하지 않아요, 저도 그 정도 사리분별은 있습니다.</t>
        </is>
      </c>
      <c r="G8" s="5">
        <f>HYPERLINK("https://www.youtube.com/watch?v=yPBRoGqCefg", "영상 보기 ▶")</f>
        <v/>
      </c>
    </row>
    <row r="9" ht="26" customHeight="1">
      <c r="A9" s="6" t="n">
        <v>958</v>
      </c>
      <c r="B9" s="7" t="inlineStr">
        <is>
          <t>시간 망각</t>
        </is>
      </c>
      <c r="C9" s="8" t="inlineStr">
        <is>
          <t>I lost track of time</t>
        </is>
      </c>
      <c r="D9" s="12" t="inlineStr">
        <is>
          <t>시간 가는 줄 까맣게 몰랐어</t>
        </is>
      </c>
      <c r="E9" s="12" t="inlineStr">
        <is>
          <t>I was so immersed in writing that I lost track of time.</t>
        </is>
      </c>
      <c r="F9" s="12" t="inlineStr">
        <is>
          <t>글 쓰는 데 너무 몰입해서 시간 가는 줄 까맣게 몰랐어.</t>
        </is>
      </c>
      <c r="G9" s="9">
        <f>HYPERLINK("https://www.youtube.com/watch?v=yPBRoGqCefg", "영상 보기 ▶")</f>
        <v/>
      </c>
    </row>
    <row r="10" ht="26" customHeight="1">
      <c r="A10" s="2" t="n">
        <v>959</v>
      </c>
      <c r="B10" s="3" t="inlineStr">
        <is>
          <t>습관 경계</t>
        </is>
      </c>
      <c r="C10" s="4" t="inlineStr">
        <is>
          <t>Don't make a habit of it</t>
        </is>
      </c>
      <c r="D10" s="11" t="inlineStr">
        <is>
          <t>습관 들이지는 마 (이번 한 번만 봐주는 거야)</t>
        </is>
      </c>
      <c r="E10" s="11" t="inlineStr">
        <is>
          <t>I'll let you slide today, but don't make a habit of it.</t>
        </is>
      </c>
      <c r="F10" s="11" t="inlineStr">
        <is>
          <t>오늘은 그냥 넘어가 주겠지만, 습관 들여선 절대 안 돼.</t>
        </is>
      </c>
      <c r="G10" s="5">
        <f>HYPERLINK("https://www.youtube.com/watch?v=yPBRoGqCefg", "영상 보기 ▶")</f>
        <v/>
      </c>
    </row>
    <row r="11" ht="26" customHeight="1">
      <c r="A11" s="6" t="n">
        <v>960</v>
      </c>
      <c r="B11" s="7" t="inlineStr">
        <is>
          <t>너그러운 환영</t>
        </is>
      </c>
      <c r="C11" s="8" t="inlineStr">
        <is>
          <t>It's okay. You're here now</t>
        </is>
      </c>
      <c r="D11" s="12" t="inlineStr">
        <is>
          <t>괜찮아, 지금이라도 도착했으니 됐어</t>
        </is>
      </c>
      <c r="E11" s="12" t="inlineStr">
        <is>
          <t>Sorry for being late! - It's okay. You're here now.</t>
        </is>
      </c>
      <c r="F11" s="12" t="inlineStr">
        <is>
          <t>늦어서 죄송합니다! - 괜찮아요, 지금이라도 왔으니 됐어요.</t>
        </is>
      </c>
      <c r="G11" s="9">
        <f>HYPERLINK("https://www.youtube.com/watch?v=yPBRoGqCefg", "영상 보기 ▶")</f>
        <v/>
      </c>
    </row>
    <row r="12" ht="26" customHeight="1">
      <c r="A12" s="2" t="n">
        <v>961</v>
      </c>
      <c r="B12" s="3" t="inlineStr">
        <is>
          <t>관계 개선</t>
        </is>
      </c>
      <c r="C12" s="4" t="inlineStr">
        <is>
          <t>mend fences</t>
        </is>
      </c>
      <c r="D12" s="11" t="inlineStr">
        <is>
          <t>(틀어진) 관계를 회복하다, 개선하다</t>
        </is>
      </c>
      <c r="E12" s="11" t="inlineStr">
        <is>
          <t>It's time for the two executives to sit down and mend fences.</t>
        </is>
      </c>
      <c r="F12" s="11" t="inlineStr">
        <is>
          <t>두 임원이 마주 앉아 틀어진 관계를 개선하고 화해할 때입니다.</t>
        </is>
      </c>
      <c r="G12" s="5">
        <f>HYPERLINK("https://www.youtube.com/watch?v=yPBRoGqCefg", "영상 보기 ▶")</f>
        <v/>
      </c>
    </row>
    <row r="13" ht="26" customHeight="1">
      <c r="A13" s="6" t="n">
        <v>962</v>
      </c>
      <c r="B13" s="7" t="inlineStr">
        <is>
          <t>가치 인정</t>
        </is>
      </c>
      <c r="C13" s="8" t="inlineStr">
        <is>
          <t>value</t>
        </is>
      </c>
      <c r="D13" s="12" t="inlineStr">
        <is>
          <t>소중히 여기다, 높이 평가하다</t>
        </is>
      </c>
      <c r="E13" s="12" t="inlineStr">
        <is>
          <t>We truly value your continued partnership and loyalty.</t>
        </is>
      </c>
      <c r="F13" s="12" t="inlineStr">
        <is>
          <t>저희는 귀사의 지속적인 협력과 신뢰를 대단히 소중하게 여깁니다.</t>
        </is>
      </c>
      <c r="G13" s="9">
        <f>HYPERLINK("https://www.youtube.com/watch?v=yPBRoGqCefg", "영상 보기 ▶")</f>
        <v/>
      </c>
    </row>
    <row r="14" ht="26" customHeight="1">
      <c r="A14" s="2" t="n">
        <v>963</v>
      </c>
      <c r="B14" s="3" t="inlineStr">
        <is>
          <t>값을 매길 수 없음</t>
        </is>
      </c>
      <c r="C14" s="4" t="inlineStr">
        <is>
          <t>invaluable</t>
        </is>
      </c>
      <c r="D14" s="11" t="inlineStr">
        <is>
          <t>값을 매길 수 없을 만큼 매우 귀중한</t>
        </is>
      </c>
      <c r="E14" s="11" t="inlineStr">
        <is>
          <t>Her advice proved to be invaluable during the negotiation.</t>
        </is>
      </c>
      <c r="F14" s="11" t="inlineStr">
        <is>
          <t>협상 과정에서 그녀의 조언은 값을 매길 수 없을 만큼 귀중했습니다.</t>
        </is>
      </c>
      <c r="G14" s="5">
        <f>HYPERLINK("https://www.youtube.com/watch?v=yPBRoGqCefg", "영상 보기 ▶")</f>
        <v/>
      </c>
    </row>
    <row r="15" ht="26" customHeight="1">
      <c r="A15" s="6" t="n">
        <v>964</v>
      </c>
      <c r="B15" s="7" t="inlineStr">
        <is>
          <t>연락 소원</t>
        </is>
      </c>
      <c r="C15" s="8" t="inlineStr">
        <is>
          <t>lose touch</t>
        </is>
      </c>
      <c r="D15" s="12" t="inlineStr">
        <is>
          <t>(오랫동안) 연락이 끊기다, 소원해지다</t>
        </is>
      </c>
      <c r="E15" s="12" t="inlineStr">
        <is>
          <t>We used to be inseparable, but we lost touch after graduation.</t>
        </is>
      </c>
      <c r="F15" s="12" t="inlineStr">
        <is>
          <t>우리 둘도 없는 단짝이었는데 졸업하고 나서 연락이 끊겼어.</t>
        </is>
      </c>
      <c r="G15" s="9">
        <f>HYPERLINK("https://www.youtube.com/watch?v=yPBRoGqCefg", "영상 보기 ▶")</f>
        <v/>
      </c>
    </row>
    <row r="16" ht="26" customHeight="1">
      <c r="A16" s="2" t="n">
        <v>965</v>
      </c>
      <c r="B16" s="3" t="inlineStr">
        <is>
          <t>재량 부재</t>
        </is>
      </c>
      <c r="C16" s="4" t="inlineStr">
        <is>
          <t>My hands are tied</t>
        </is>
      </c>
      <c r="D16" s="11" t="inlineStr">
        <is>
          <t>손이 묶여 있어서 어쩔 수가 없어 (권한/규정상 한계)</t>
        </is>
      </c>
      <c r="E16" s="11" t="inlineStr">
        <is>
          <t>I wish I could offer a bigger discount, but my hands are tied.</t>
        </is>
      </c>
      <c r="F16" s="11" t="inlineStr">
        <is>
          <t>더 큰 할인을 해드리고 싶지만 규정상 제 손이 묶여 있어 어쩔 수가 없습니다.</t>
        </is>
      </c>
      <c r="G16" s="5">
        <f>HYPERLINK("https://www.youtube.com/watch?v=yPBRoGqCefg", "영상 보기 ▶")</f>
        <v/>
      </c>
    </row>
    <row r="17" ht="26" customHeight="1">
      <c r="A17" s="6" t="n">
        <v>966</v>
      </c>
      <c r="B17" s="7" t="inlineStr">
        <is>
          <t>입장 곤란</t>
        </is>
      </c>
      <c r="C17" s="8" t="inlineStr">
        <is>
          <t>I'm not in a position to + 동사원형</t>
        </is>
      </c>
      <c r="D17" s="12" t="inlineStr">
        <is>
          <t>제가 ~할 처지/입장이 아닙니다</t>
        </is>
      </c>
      <c r="E17" s="12" t="inlineStr">
        <is>
          <t>I'm not in a position to comment on ongoing personnel matters.</t>
        </is>
      </c>
      <c r="F17" s="12" t="inlineStr">
        <is>
          <t>제가 현재 진행 중인 인사 문제에 대해 언급할 입장이 아닙니다.</t>
        </is>
      </c>
      <c r="G17" s="9">
        <f>HYPERLINK("https://www.youtube.com/watch?v=yPBRoGqCefg", "영상 보기 ▶")</f>
        <v/>
      </c>
    </row>
    <row r="18" ht="26" customHeight="1">
      <c r="A18" s="2" t="n">
        <v>967</v>
      </c>
      <c r="B18" s="3" t="inlineStr">
        <is>
          <t>심한 고민</t>
        </is>
      </c>
      <c r="C18" s="4" t="inlineStr">
        <is>
          <t>agonize over</t>
        </is>
      </c>
      <c r="D18" s="11" t="inlineStr">
        <is>
          <t>~ 때문에 끙끙 앓다, 몹시 괴로워하다</t>
        </is>
      </c>
      <c r="E18" s="11" t="inlineStr">
        <is>
          <t>Stop agonizing over past mistakes; look ahead.</t>
        </is>
      </c>
      <c r="F18" s="11" t="inlineStr">
        <is>
          <t>지나간 실수 때문에 끙끙 앓지 말고 앞을 봐.</t>
        </is>
      </c>
      <c r="G18" s="5">
        <f>HYPERLINK("https://www.youtube.com/watch?v=yPBRoGqCefg", "영상 보기 ▶")</f>
        <v/>
      </c>
    </row>
    <row r="19" ht="26" customHeight="1">
      <c r="A19" s="6" t="n">
        <v>968</v>
      </c>
      <c r="B19" s="7" t="inlineStr">
        <is>
          <t>연결 주선</t>
        </is>
      </c>
      <c r="C19" s="8" t="inlineStr">
        <is>
          <t>put (사람) in touch with ~</t>
        </is>
      </c>
      <c r="D19" s="12" t="inlineStr">
        <is>
          <t>~와 연락이 닿도록 다리를 놓아주다</t>
        </is>
      </c>
      <c r="E19" s="12" t="inlineStr">
        <is>
          <t>Let me put you in touch with our lead architect.</t>
        </is>
      </c>
      <c r="F19" s="12" t="inlineStr">
        <is>
          <t>저희 수석 설계자와 연락이 닿으시도록 직접 연결해 드릴게요.</t>
        </is>
      </c>
      <c r="G19" s="9">
        <f>HYPERLINK("https://www.youtube.com/watch?v=yPBRoGqCefg", "영상 보기 ▶")</f>
        <v/>
      </c>
    </row>
    <row r="20" ht="26" customHeight="1">
      <c r="A20" s="2" t="n">
        <v>969</v>
      </c>
      <c r="B20" s="3" t="inlineStr">
        <is>
          <t>손발 묶임</t>
        </is>
      </c>
      <c r="C20" s="4" t="inlineStr">
        <is>
          <t>be tied up</t>
        </is>
      </c>
      <c r="D20" s="11" t="inlineStr">
        <is>
          <t>일이 밀려 손발이 묶여 있다, 꼼짝 못 하다</t>
        </is>
      </c>
      <c r="E20" s="11" t="inlineStr">
        <is>
          <t>I'm tied up in conference calls all morning.</t>
        </is>
      </c>
      <c r="F20" s="11" t="inlineStr">
        <is>
          <t>오전 내내 화상 회의에 묶여 있어서 꼼짝도 못 하고 있어.</t>
        </is>
      </c>
      <c r="G20" s="5">
        <f>HYPERLINK("https://www.youtube.com/watch?v=yPBRoGqCefg", "영상 보기 ▶")</f>
        <v/>
      </c>
    </row>
    <row r="21" ht="26" customHeight="1">
      <c r="A21" s="6" t="n">
        <v>970</v>
      </c>
      <c r="B21" s="7" t="inlineStr">
        <is>
          <t>뜻밖의 행운</t>
        </is>
      </c>
      <c r="C21" s="8" t="inlineStr">
        <is>
          <t>happy accident</t>
        </is>
      </c>
      <c r="D21" s="12" t="inlineStr">
        <is>
          <t>우연이 빚어낸 뜻밖의 좋은 결과/행운</t>
        </is>
      </c>
      <c r="E21" s="12" t="inlineStr">
        <is>
          <t>Discovering this charming bistro was a purely happy accident.</t>
        </is>
      </c>
      <c r="F21" s="12" t="inlineStr">
        <is>
          <t>이 매력적인 비스트로를 발견한 건 완전히 뜻밖의 기분 좋은 우연이었어.</t>
        </is>
      </c>
      <c r="G21" s="9">
        <f>HYPERLINK("https://www.youtube.com/watch?v=yPBRoGqCefg", "영상 보기 ▶")</f>
        <v/>
      </c>
    </row>
    <row r="22" ht="26" customHeight="1">
      <c r="A22" s="2" t="n">
        <v>971</v>
      </c>
      <c r="B22" s="3" t="inlineStr">
        <is>
          <t>물거품</t>
        </is>
      </c>
      <c r="C22" s="4" t="inlineStr">
        <is>
          <t>There goes (대상)</t>
        </is>
      </c>
      <c r="D22" s="11" t="inlineStr">
        <is>
          <t>아이고, ~는 날아갔네/끝장났네</t>
        </is>
      </c>
      <c r="E22" s="11" t="inlineStr">
        <is>
          <t>There goes our quiet weekend; the client just called.</t>
        </is>
      </c>
      <c r="F22" s="11" t="inlineStr">
        <is>
          <t>아이고, 평화로운 주말은 다 날아갔네, 고객사에서 방금 전화 왔어.</t>
        </is>
      </c>
      <c r="G22" s="5">
        <f>HYPERLINK("https://www.youtube.com/watch?v=yPBRoGqCefg", "영상 보기 ▶")</f>
        <v/>
      </c>
    </row>
    <row r="23" ht="26" customHeight="1">
      <c r="A23" s="6" t="n">
        <v>972</v>
      </c>
      <c r="B23" s="7" t="inlineStr">
        <is>
          <t>공개 감사</t>
        </is>
      </c>
      <c r="C23" s="8" t="inlineStr">
        <is>
          <t>give a shout-out</t>
        </is>
      </c>
      <c r="D23" s="12" t="inlineStr">
        <is>
          <t>공개적으로 감사의 마음/응원을 전하다</t>
        </is>
      </c>
      <c r="E23" s="12" t="inlineStr">
        <is>
          <t>I want to give a special shout-out to our design intern.</t>
        </is>
      </c>
      <c r="F23" s="12" t="inlineStr">
        <is>
          <t>우리 디자인 인턴에게 특별한 감사와 응원의 박수를 보내고 싶습니다.</t>
        </is>
      </c>
      <c r="G23" s="9">
        <f>HYPERLINK("https://www.youtube.com/watch?v=yPBRoGqCefg", "영상 보기 ▶")</f>
        <v/>
      </c>
    </row>
    <row r="24" ht="26" customHeight="1">
      <c r="A24" s="2" t="n">
        <v>973</v>
      </c>
      <c r="B24" s="3" t="inlineStr">
        <is>
          <t>과도함</t>
        </is>
      </c>
      <c r="C24" s="4" t="inlineStr">
        <is>
          <t>outrageous</t>
        </is>
      </c>
      <c r="D24" s="11" t="inlineStr">
        <is>
          <t>터무니없이 충격적인, 상식을 벗어난</t>
        </is>
      </c>
      <c r="E24" s="11" t="inlineStr">
        <is>
          <t>Demanding a full refund after six months is simply outrageous.</t>
        </is>
      </c>
      <c r="F24" s="11" t="inlineStr">
        <is>
          <t>6개월이 지나 전액 환불을 요구하는 건 정말 상식 밖의 터무니없는 짓이야.</t>
        </is>
      </c>
      <c r="G24" s="5">
        <f>HYPERLINK("https://www.youtube.com/watch?v=yPBRoGqCefg", "영상 보기 ▶")</f>
        <v/>
      </c>
    </row>
    <row r="25" ht="26" customHeight="1">
      <c r="A25" s="6" t="n">
        <v>974</v>
      </c>
      <c r="B25" s="7" t="inlineStr">
        <is>
          <t>가성비 우수</t>
        </is>
      </c>
      <c r="C25" s="8" t="inlineStr">
        <is>
          <t>good value</t>
        </is>
      </c>
      <c r="D25" s="12" t="inlineStr">
        <is>
          <t>가격 대비 가치가 훌륭한, 가성비 좋은</t>
        </is>
      </c>
      <c r="E25" s="12" t="inlineStr">
        <is>
          <t>This lunch set is exceptionally good value for money.</t>
        </is>
      </c>
      <c r="F25" s="12" t="inlineStr">
        <is>
          <t>이 점심 세트 메뉴는 가격 대비 구성이 정말 훌륭해.</t>
        </is>
      </c>
      <c r="G25" s="9">
        <f>HYPERLINK("https://www.youtube.com/watch?v=yPBRoGqCefg", "영상 보기 ▶")</f>
        <v/>
      </c>
    </row>
    <row r="26" ht="26" customHeight="1">
      <c r="A26" s="2" t="n">
        <v>975</v>
      </c>
      <c r="B26" s="3" t="inlineStr">
        <is>
          <t>요식 행위</t>
        </is>
      </c>
      <c r="C26" s="4" t="inlineStr">
        <is>
          <t>It's just a formality</t>
        </is>
      </c>
      <c r="D26" s="11" t="inlineStr">
        <is>
          <t>단순한 형식/요식 행위일 뿐이야 (형식적 절차)</t>
        </is>
      </c>
      <c r="E26" s="11" t="inlineStr">
        <is>
          <t>Don't worry about the background check; it's just a formality.</t>
        </is>
      </c>
      <c r="F26" s="11" t="inlineStr">
        <is>
          <t>신원 조회 너무 걱정하지 마, 그건 그냥 통상적인 형식일 뿐이야.</t>
        </is>
      </c>
      <c r="G26" s="5">
        <f>HYPERLINK("https://www.youtube.com/watch?v=yPBRoGqCefg", "영상 보기 ▶")</f>
        <v/>
      </c>
    </row>
    <row r="27" ht="26" customHeight="1">
      <c r="A27" s="6" t="n">
        <v>976</v>
      </c>
      <c r="B27" s="7" t="inlineStr">
        <is>
          <t>단서 조항</t>
        </is>
      </c>
      <c r="C27" s="8" t="inlineStr">
        <is>
          <t>caveat</t>
        </is>
      </c>
      <c r="D27" s="12" t="inlineStr">
        <is>
          <t>(주의해야 할) 단서 조항, 경고 사항</t>
        </is>
      </c>
      <c r="E27" s="12" t="inlineStr">
        <is>
          <t>The offer is fantastic, but with one important caveat.</t>
        </is>
      </c>
      <c r="F27" s="12" t="inlineStr">
        <is>
          <t>제안은 환상적이지만, 한 가지 중요한 단서 조항이 붙어 있습니다.</t>
        </is>
      </c>
      <c r="G27" s="9">
        <f>HYPERLINK("https://www.youtube.com/watch?v=yPBRoGqCefg", "영상 보기 ▶")</f>
        <v/>
      </c>
    </row>
    <row r="28" ht="26" customHeight="1">
      <c r="A28" s="2" t="n">
        <v>977</v>
      </c>
      <c r="B28" s="3" t="inlineStr">
        <is>
          <t>최우선 처리</t>
        </is>
      </c>
      <c r="C28" s="4" t="inlineStr">
        <is>
          <t>first thing tomorrow</t>
        </is>
      </c>
      <c r="D28" s="11" t="inlineStr">
        <is>
          <t>내일 아침 출근하자마자 맨 먼저</t>
        </is>
      </c>
      <c r="E28" s="11" t="inlineStr">
        <is>
          <t>I will deliver the signed agreement first thing tomorrow.</t>
        </is>
      </c>
      <c r="F28" s="11" t="inlineStr">
        <is>
          <t>내일 아침 첫 일과로 서명된 합의서를 가장 먼저 전달하겠습니다.</t>
        </is>
      </c>
      <c r="G28" s="5">
        <f>HYPERLINK("https://www.youtube.com/watch?v=yPBRoGqCefg", "영상 보기 ▶")</f>
        <v/>
      </c>
    </row>
    <row r="29" ht="26" customHeight="1">
      <c r="A29" s="6" t="n">
        <v>978</v>
      </c>
      <c r="B29" s="7" t="inlineStr">
        <is>
          <t>투명성</t>
        </is>
      </c>
      <c r="C29" s="8" t="inlineStr">
        <is>
          <t>transparent</t>
        </is>
      </c>
      <c r="D29" s="12" t="inlineStr">
        <is>
          <t>투명한, 솔직하고 명백한</t>
        </is>
      </c>
      <c r="E29" s="12" t="inlineStr">
        <is>
          <t>We are committed to maintaining completely transparent pricing.</t>
        </is>
      </c>
      <c r="F29" s="12" t="inlineStr">
        <is>
          <t>저희는 완전히 투명하고 명백한 가격 정책을 유지할 것을 약속합니다.</t>
        </is>
      </c>
      <c r="G29" s="9">
        <f>HYPERLINK("https://www.youtube.com/watch?v=yPBRoGqCefg", "영상 보기 ▶")</f>
        <v/>
      </c>
    </row>
    <row r="30" ht="26" customHeight="1">
      <c r="A30" s="2" t="n">
        <v>979</v>
      </c>
      <c r="B30" s="3" t="inlineStr">
        <is>
          <t>변동</t>
        </is>
      </c>
      <c r="C30" s="4" t="inlineStr">
        <is>
          <t>fluctuate</t>
        </is>
      </c>
      <c r="D30" s="11" t="inlineStr">
        <is>
          <t>(수치/기온이) 끊임없이 요동치다, 오르내리다</t>
        </is>
      </c>
      <c r="E30" s="11" t="inlineStr">
        <is>
          <t>Fuel prices continue to fluctuate wildly due to market tension.</t>
        </is>
      </c>
      <c r="F30" s="11" t="inlineStr">
        <is>
          <t>시장 긴장으로 인해 유가가 계속해서 널뛰듯 요동치고 있습니다.</t>
        </is>
      </c>
      <c r="G30" s="5">
        <f>HYPERLINK("https://www.youtube.com/watch?v=yPBRoGqCefg", "영상 보기 ▶")</f>
        <v/>
      </c>
    </row>
    <row r="31" ht="26" customHeight="1">
      <c r="A31" s="6" t="n">
        <v>980</v>
      </c>
      <c r="B31" s="7" t="inlineStr">
        <is>
          <t>주눅 들게 함</t>
        </is>
      </c>
      <c r="C31" s="8" t="inlineStr">
        <is>
          <t>intimidating</t>
        </is>
      </c>
      <c r="D31" s="12" t="inlineStr">
        <is>
          <t>위압감을 주는, 기가 죽게 만드는</t>
        </is>
      </c>
      <c r="E31" s="12" t="inlineStr">
        <is>
          <t>Speaking before five hundred executives can be quite intimidating.</t>
        </is>
      </c>
      <c r="F31" s="12" t="inlineStr">
        <is>
          <t>500명의 임원들 앞에서 발표하는 것은 꽤 위압적이고 떨릴 수 있습니다.</t>
        </is>
      </c>
      <c r="G31" s="9">
        <f>HYPERLINK("https://www.youtube.com/watch?v=yPBRoGqCefg", "영상 보기 ▶")</f>
        <v/>
      </c>
    </row>
    <row r="32" ht="26" customHeight="1">
      <c r="A32" s="2" t="n">
        <v>981</v>
      </c>
      <c r="B32" s="3" t="inlineStr">
        <is>
          <t>확신 넘치는 일임</t>
        </is>
      </c>
      <c r="C32" s="4" t="inlineStr">
        <is>
          <t>Leave it to me</t>
        </is>
      </c>
      <c r="D32" s="11" t="inlineStr">
        <is>
          <t>나한테 맡겨둬, 내가 완벽히 처리할게</t>
        </is>
      </c>
      <c r="E32" s="11" t="inlineStr">
        <is>
          <t>You handle the client; leave the technical demo to me.</t>
        </is>
      </c>
      <c r="F32" s="11" t="inlineStr">
        <is>
          <t>너는 고객 응대해, 기술 시연은 나한테 맡겨두면 내가 알아서 할게.</t>
        </is>
      </c>
      <c r="G32" s="5">
        <f>HYPERLINK("https://www.youtube.com/watch?v=yPBRoGqCefg", "영상 보기 ▶")</f>
        <v/>
      </c>
    </row>
    <row r="33" ht="26" customHeight="1">
      <c r="A33" s="6" t="n">
        <v>982</v>
      </c>
      <c r="B33" s="7" t="inlineStr">
        <is>
          <t>현재 향유</t>
        </is>
      </c>
      <c r="C33" s="8" t="inlineStr">
        <is>
          <t>We should enjoy it while it lasts</t>
        </is>
      </c>
      <c r="D33" s="12" t="inlineStr">
        <is>
          <t>좋을 때 한껏 즐겨둬야지 (영원하진 않으니)</t>
        </is>
      </c>
      <c r="E33" s="12" t="inlineStr">
        <is>
          <t>This mild autumn weather won't linger; let's enjoy it while it lasts.</t>
        </is>
      </c>
      <c r="F33" s="12" t="inlineStr">
        <is>
          <t>이 포근한 가을 날씨도 오래 안 갈 테니 좋을 때 한껏 만끽하자.</t>
        </is>
      </c>
      <c r="G33" s="9">
        <f>HYPERLINK("https://www.youtube.com/watch?v=yPBRoGqCefg", "영상 보기 ▶")</f>
        <v/>
      </c>
    </row>
    <row r="34" ht="26" customHeight="1">
      <c r="A34" s="2" t="n">
        <v>983</v>
      </c>
      <c r="B34" s="3" t="inlineStr">
        <is>
          <t>동등 비교</t>
        </is>
      </c>
      <c r="C34" s="4" t="inlineStr">
        <is>
          <t>as ... as</t>
        </is>
      </c>
      <c r="D34" s="11" t="inlineStr">
        <is>
          <t>~만큼 ...한 (as soon as possible, as much as)</t>
        </is>
      </c>
      <c r="E34" s="11" t="inlineStr">
        <is>
          <t>Please deliver the revised mockups as soon as possible.</t>
        </is>
      </c>
      <c r="F34" s="11" t="inlineStr">
        <is>
          <t>가능한 한 신속하게 수정된 목업을 전달해 주세요.</t>
        </is>
      </c>
      <c r="G34" s="5">
        <f>HYPERLINK("https://www.youtube.com/watch?v=yPBRoGqCefg", "영상 보기 ▶")</f>
        <v/>
      </c>
    </row>
    <row r="35" ht="26" customHeight="1">
      <c r="A35" s="6" t="n">
        <v>984</v>
      </c>
      <c r="B35" s="7" t="inlineStr">
        <is>
          <t>과감한 행보</t>
        </is>
      </c>
      <c r="C35" s="8" t="inlineStr">
        <is>
          <t>bold move</t>
        </is>
      </c>
      <c r="D35" s="12" t="inlineStr">
        <is>
          <t>대담하고 과감한 결단/조치</t>
        </is>
      </c>
      <c r="E35" s="12" t="inlineStr">
        <is>
          <t>Acquiring their main competitor was a very bold move.</t>
        </is>
      </c>
      <c r="F35" s="12" t="inlineStr">
        <is>
          <t>주요 경쟁사를 인수한 것은 대단히 과감하고 대담한 승부수였어.</t>
        </is>
      </c>
      <c r="G35" s="9">
        <f>HYPERLINK("https://www.youtube.com/watch?v=yPBRoGqCefg", "영상 보기 ▶")</f>
        <v/>
      </c>
    </row>
    <row r="36" ht="26" customHeight="1">
      <c r="A36" s="2" t="n">
        <v>985</v>
      </c>
      <c r="B36" s="3" t="inlineStr">
        <is>
          <t>마음 진정</t>
        </is>
      </c>
      <c r="C36" s="4" t="inlineStr">
        <is>
          <t>soothing</t>
        </is>
      </c>
      <c r="D36" s="11" t="inlineStr">
        <is>
          <t>마음을 차분하게 가라앉혀 주는, 달래주는</t>
        </is>
      </c>
      <c r="E36" s="11" t="inlineStr">
        <is>
          <t>Listening to acoustic music has a soothing effect on stressed minds.</t>
        </is>
      </c>
      <c r="F36" s="11" t="inlineStr">
        <is>
          <t>어쿠스틱 음악을 듣는 것은 스트레스받은 마음에 마음을 차분히 달래주는 효과가 있어.</t>
        </is>
      </c>
      <c r="G36" s="5">
        <f>HYPERLINK("https://www.youtube.com/watch?v=yPBRoGqCefg", "영상 보기 ▶")</f>
        <v/>
      </c>
    </row>
    <row r="37" ht="26" customHeight="1">
      <c r="A37" s="6" t="n">
        <v>986</v>
      </c>
      <c r="B37" s="7" t="inlineStr">
        <is>
          <t>조건부 수용</t>
        </is>
      </c>
      <c r="C37" s="8" t="inlineStr">
        <is>
          <t>I hear you, (but)</t>
        </is>
      </c>
      <c r="D37" s="12" t="inlineStr">
        <is>
          <t>무슨 말씀인지 잘 알겠습니다만, (반론 도입)</t>
        </is>
      </c>
      <c r="E37" s="12" t="inlineStr">
        <is>
          <t>I hear you, but we simply don't have the budget this quarter.</t>
        </is>
      </c>
      <c r="F37" s="12" t="inlineStr">
        <is>
          <t>무슨 말씀인지 잘 알겠습니다만, 이번 분기엔 예산이 도저히 없습니다.</t>
        </is>
      </c>
      <c r="G37" s="9">
        <f>HYPERLINK("https://www.youtube.com/watch?v=yPBRoGqCefg", "영상 보기 ▶")</f>
        <v/>
      </c>
    </row>
    <row r="38" ht="26" customHeight="1">
      <c r="A38" s="2" t="n">
        <v>987</v>
      </c>
      <c r="B38" s="3" t="inlineStr">
        <is>
          <t>과장 경계</t>
        </is>
      </c>
      <c r="C38" s="4" t="inlineStr">
        <is>
          <t>I wouldn't go that far</t>
        </is>
      </c>
      <c r="D38" s="11" t="inlineStr">
        <is>
          <t>그렇게까지 극단적으로 말하고 싶진 않아</t>
        </is>
      </c>
      <c r="E38" s="11" t="inlineStr">
        <is>
          <t>He made a mistake, but I wouldn't go that far as calling him dishonest.</t>
        </is>
      </c>
      <c r="F38" s="11" t="inlineStr">
        <is>
          <t>그가 실수를 하긴 했지만, 정직하지 못하다고까지 몰아세우고 싶진 않아.</t>
        </is>
      </c>
      <c r="G38" s="5">
        <f>HYPERLINK("https://www.youtube.com/watch?v=yPBRoGqCefg", "영상 보기 ▶")</f>
        <v/>
      </c>
    </row>
    <row r="39" ht="26" customHeight="1">
      <c r="A39" s="6" t="n">
        <v>988</v>
      </c>
      <c r="B39" s="7" t="inlineStr">
        <is>
          <t>화제 제기</t>
        </is>
      </c>
      <c r="C39" s="8" t="inlineStr">
        <is>
          <t>bring up</t>
        </is>
      </c>
      <c r="D39" s="12" t="inlineStr">
        <is>
          <t>(대화/회의에서 안건을) 꺼내다, 제기하다</t>
        </is>
      </c>
      <c r="E39" s="12" t="inlineStr">
        <is>
          <t>I hate to bring this up, but we have an unresolved billing issue.</t>
        </is>
      </c>
      <c r="F39" s="12" t="inlineStr">
        <is>
          <t>이런 말 꺼내기 유감스럽지만, 아직 해결되지 않은 청구서 문제가 있어요.</t>
        </is>
      </c>
      <c r="G39" s="9">
        <f>HYPERLINK("https://www.youtube.com/watch?v=yPBRoGqCefg", "영상 보기 ▶")</f>
        <v/>
      </c>
    </row>
    <row r="40" ht="26" customHeight="1">
      <c r="A40" s="2" t="n">
        <v>989</v>
      </c>
      <c r="B40" s="3" t="inlineStr">
        <is>
          <t>현황 브리핑</t>
        </is>
      </c>
      <c r="C40" s="4" t="inlineStr">
        <is>
          <t>bring (사람) up to speed</t>
        </is>
      </c>
      <c r="D40" s="11" t="inlineStr">
        <is>
          <t>~에게 최신 현황을 설명하여 이해시키다</t>
        </is>
      </c>
      <c r="E40" s="11" t="inlineStr">
        <is>
          <t>Let me bring you up to speed before the client arrives.</t>
        </is>
      </c>
      <c r="F40" s="11" t="inlineStr">
        <is>
          <t>고객이 도착하기 전에 최신 현황을 간략히 브리핑해 드릴게요.</t>
        </is>
      </c>
      <c r="G40" s="5">
        <f>HYPERLINK("https://www.youtube.com/watch?v=yPBRoGqCefg", "영상 보기 ▶")</f>
        <v/>
      </c>
    </row>
    <row r="41" ht="26" customHeight="1">
      <c r="A41" s="6" t="n">
        <v>990</v>
      </c>
      <c r="B41" s="7" t="inlineStr">
        <is>
          <t>자기 보상</t>
        </is>
      </c>
      <c r="C41" s="8" t="inlineStr">
        <is>
          <t>Treat yourself</t>
        </is>
      </c>
      <c r="D41" s="12" t="inlineStr">
        <is>
          <t>너 자신에게 근사하게 한턱 쏴/보상해 줘</t>
        </is>
      </c>
      <c r="E41" s="12" t="inlineStr">
        <is>
          <t>You worked so hard this month; go treat yourself to a nice meal!</t>
        </is>
      </c>
      <c r="F41" s="12" t="inlineStr">
        <is>
          <t>이번 달에 정말 고생 많았잖아, 가서 너 자신에게 근사한 식사 한 끼 쏴!</t>
        </is>
      </c>
      <c r="G41" s="9">
        <f>HYPERLINK("https://www.youtube.com/watch?v=yPBRoGqCefg", "영상 보기 ▶")</f>
        <v/>
      </c>
    </row>
    <row r="42" ht="26" customHeight="1">
      <c r="A42" s="2" t="n">
        <v>991</v>
      </c>
      <c r="B42" s="3" t="inlineStr">
        <is>
          <t>변함없는 칭찬</t>
        </is>
      </c>
      <c r="C42" s="4" t="inlineStr">
        <is>
          <t>You're as ____ as ever</t>
        </is>
      </c>
      <c r="D42" s="11" t="inlineStr">
        <is>
          <t>너는 여전히 변함없이 ~하구나</t>
        </is>
      </c>
      <c r="E42" s="11" t="inlineStr">
        <is>
          <t>It's so great to see you; you're as charming as ever!</t>
        </is>
      </c>
      <c r="F42" s="11" t="inlineStr">
        <is>
          <t>다시 만나서 정말 반가워, 넌 여전히 변함없이 매력적이구나!</t>
        </is>
      </c>
      <c r="G42" s="5">
        <f>HYPERLINK("https://www.youtube.com/watch?v=yPBRoGqCefg", "영상 보기 ▶")</f>
        <v/>
      </c>
    </row>
    <row r="43" ht="26" customHeight="1">
      <c r="A43" s="6" t="n">
        <v>992</v>
      </c>
      <c r="B43" s="7" t="inlineStr">
        <is>
          <t>정중한 태도</t>
        </is>
      </c>
      <c r="C43" s="8" t="inlineStr">
        <is>
          <t>civil</t>
        </is>
      </c>
      <c r="D43" s="12" t="inlineStr">
        <is>
          <t>예의 바른, 정중한 (keep it civil)</t>
        </is>
      </c>
      <c r="E43" s="12" t="inlineStr">
        <is>
          <t>We may disagree strongly, but let's please keep things civil.</t>
        </is>
      </c>
      <c r="F43" s="12" t="inlineStr">
        <is>
          <t>서로 강하게 의견이 대립하더라도 제발 예의는 지키며 대화합시다.</t>
        </is>
      </c>
      <c r="G43" s="9">
        <f>HYPERLINK("https://www.youtube.com/watch?v=yPBRoGqCefg", "영상 보기 ▶")</f>
        <v/>
      </c>
    </row>
    <row r="44" ht="26" customHeight="1">
      <c r="A44" s="2" t="n">
        <v>993</v>
      </c>
      <c r="B44" s="3" t="inlineStr">
        <is>
          <t>생생한 조언</t>
        </is>
      </c>
      <c r="C44" s="4" t="inlineStr">
        <is>
          <t>Take it from me</t>
        </is>
      </c>
      <c r="D44" s="11" t="inlineStr">
        <is>
          <t>내 말 믿어봐, 내가 직접 겪어봐서 잘 알아</t>
        </is>
      </c>
      <c r="E44" s="11" t="inlineStr">
        <is>
          <t>Take it from me, rushing into a startup without savings is dangerous.</t>
        </is>
      </c>
      <c r="F44" s="11" t="inlineStr">
        <is>
          <t>내 말 새겨들어, 저축도 없이 무작정 창업에 뛰어드는 건 진짜 위험해.</t>
        </is>
      </c>
      <c r="G44" s="5">
        <f>HYPERLINK("https://www.youtube.com/watch?v=yPBRoGqCefg", "영상 보기 ▶")</f>
        <v/>
      </c>
    </row>
    <row r="45" ht="26" customHeight="1">
      <c r="A45" s="6" t="n">
        <v>994</v>
      </c>
      <c r="B45" s="7" t="inlineStr">
        <is>
          <t>역린/아픈 구석</t>
        </is>
      </c>
      <c r="C45" s="8" t="inlineStr">
        <is>
          <t>sore spot</t>
        </is>
      </c>
      <c r="D45" s="12" t="inlineStr">
        <is>
          <t>건드리면 아픈 상처, 아킬레스건, 역린</t>
        </is>
      </c>
      <c r="E45" s="12" t="inlineStr">
        <is>
          <t>Don't ask about his failed venture; it's a real sore spot.</t>
        </is>
      </c>
      <c r="F45" s="12" t="inlineStr">
        <is>
          <t>그의 실패한 사업 이야기는 묻지 마, 그 사람에겐 진짜 아픈 역린이야.</t>
        </is>
      </c>
      <c r="G45" s="9">
        <f>HYPERLINK("https://www.youtube.com/watch?v=yPBRoGqCefg", "영상 보기 ▶")</f>
        <v/>
      </c>
    </row>
    <row r="46" ht="26" customHeight="1">
      <c r="A46" s="2" t="n">
        <v>995</v>
      </c>
      <c r="B46" s="3" t="inlineStr">
        <is>
          <t>주시/감시</t>
        </is>
      </c>
      <c r="C46" s="4" t="inlineStr">
        <is>
          <t>Keep an eye on</t>
        </is>
      </c>
      <c r="D46" s="11" t="inlineStr">
        <is>
          <t>~를 유심히 지켜보다, 눈여겨보다</t>
        </is>
      </c>
      <c r="E46" s="11" t="inlineStr">
        <is>
          <t>Please keep an eye on the soup while I answer the phone.</t>
        </is>
      </c>
      <c r="F46" s="11" t="inlineStr">
        <is>
          <t>나 전화 받는 동안 냄비에 국 좀 유심히 지켜봐 줘.</t>
        </is>
      </c>
      <c r="G46" s="5">
        <f>HYPERLINK("https://www.youtube.com/watch?v=yPBRoGqCefg", "영상 보기 ▶")</f>
        <v/>
      </c>
    </row>
    <row r="47" ht="26" customHeight="1">
      <c r="A47" s="6" t="n">
        <v>996</v>
      </c>
      <c r="B47" s="7" t="inlineStr">
        <is>
          <t>격앙된 분위기</t>
        </is>
      </c>
      <c r="C47" s="8" t="inlineStr">
        <is>
          <t>heated</t>
        </is>
      </c>
      <c r="D47" s="12" t="inlineStr">
        <is>
          <t>격앙된, 뜨겁게 달아오른 (a heated debate)</t>
        </is>
      </c>
      <c r="E47" s="12" t="inlineStr">
        <is>
          <t>The debate grew heated as both sides refused to back down.</t>
        </is>
      </c>
      <c r="F47" s="12" t="inlineStr">
        <is>
          <t>양측 모두 물러서기를 거부하면서 토론은 점점 격앙되었습니다.</t>
        </is>
      </c>
      <c r="G47" s="9">
        <f>HYPERLINK("https://www.youtube.com/watch?v=yPBRoGqCefg", "영상 보기 ▶")</f>
        <v/>
      </c>
    </row>
    <row r="48" ht="26" customHeight="1">
      <c r="A48" s="2" t="n">
        <v>997</v>
      </c>
      <c r="B48" s="3" t="inlineStr">
        <is>
          <t>보편적 현상</t>
        </is>
      </c>
      <c r="C48" s="4" t="inlineStr">
        <is>
          <t>It's perfectly normal to ~</t>
        </is>
      </c>
      <c r="D48" s="11" t="inlineStr">
        <is>
          <t>~하는 것은 지극히 당연하고 보편적인 일이야</t>
        </is>
      </c>
      <c r="E48" s="11" t="inlineStr">
        <is>
          <t>It's perfectly normal to feel overwhelmed during your first week.</t>
        </is>
      </c>
      <c r="F48" s="11" t="inlineStr">
        <is>
          <t>첫 주에 부담감으로 벅차게 느껴지는 것은 지극히 당연한 정상입니다.</t>
        </is>
      </c>
      <c r="G48" s="5">
        <f>HYPERLINK("https://www.youtube.com/watch?v=yPBRoGqCefg", "영상 보기 ▶")</f>
        <v/>
      </c>
    </row>
    <row r="49" ht="26" customHeight="1">
      <c r="A49" s="6" t="n">
        <v>998</v>
      </c>
      <c r="B49" s="7" t="inlineStr">
        <is>
          <t>타협 불가</t>
        </is>
      </c>
      <c r="C49" s="8" t="inlineStr">
        <is>
          <t>non-negotiable</t>
        </is>
      </c>
      <c r="D49" s="12" t="inlineStr">
        <is>
          <t>절대 타협/협상할 수 없는 절대 원칙인</t>
        </is>
      </c>
      <c r="E49" s="12" t="inlineStr">
        <is>
          <t>Safety compliance is completely non-negotiable for our factory.</t>
        </is>
      </c>
      <c r="F49" s="12" t="inlineStr">
        <is>
          <t>우리 공장에서 안전 규정 준수는 결코 타협할 수 없는 절대 원칙입니다.</t>
        </is>
      </c>
      <c r="G49" s="9">
        <f>HYPERLINK("https://www.youtube.com/watch?v=yPBRoGqCefg", "영상 보기 ▶")</f>
        <v/>
      </c>
    </row>
    <row r="50" ht="26" customHeight="1">
      <c r="A50" s="2" t="n">
        <v>999</v>
      </c>
      <c r="B50" s="3" t="inlineStr">
        <is>
          <t>절대적 마감</t>
        </is>
      </c>
      <c r="C50" s="4" t="inlineStr">
        <is>
          <t>hard deadline</t>
        </is>
      </c>
      <c r="D50" s="11" t="inlineStr">
        <is>
          <t>엄격한 절대적 마감 기한 (연장 불가)</t>
        </is>
      </c>
      <c r="E50" s="11" t="inlineStr">
        <is>
          <t>Midnight tonight is a hard deadline; the submission portal closes.</t>
        </is>
      </c>
      <c r="F50" s="11" t="inlineStr">
        <is>
          <t>오늘 자정은 절대 마감입니다, 제출 포털이 칼같이 닫힙니다.</t>
        </is>
      </c>
      <c r="G50" s="5">
        <f>HYPERLINK("https://www.youtube.com/watch?v=yPBRoGqCefg", "영상 보기 ▶")</f>
        <v/>
      </c>
    </row>
    <row r="51" ht="26" customHeight="1">
      <c r="A51" s="6" t="n">
        <v>1000</v>
      </c>
      <c r="B51" s="7" t="inlineStr">
        <is>
          <t>타협/절충</t>
        </is>
      </c>
      <c r="C51" s="8" t="inlineStr">
        <is>
          <t>compromise</t>
        </is>
      </c>
      <c r="D51" s="12" t="inlineStr">
        <is>
          <t>절충하다, 타협하다, 상호 양보하다 (1,000개 완결!)</t>
        </is>
      </c>
      <c r="E51" s="12" t="inlineStr">
        <is>
          <t>To reach a consensus, both teams had to compromise on features.</t>
        </is>
      </c>
      <c r="F51" s="12" t="inlineStr">
        <is>
          <t>합의에 도달하기 위해 양 팀 모두 기능 구현에서 절충하고 양보해야 했습니다.</t>
        </is>
      </c>
      <c r="G51" s="9">
        <f>HYPERLINK("https://www.youtube.com/watch?v=yPBRoGqCefg", "영상 보기 ▶")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.2" customWidth="1" min="2" max="2"/>
    <col width="38" customWidth="1" min="3" max="3"/>
    <col width="48" customWidth="1" min="4" max="4"/>
    <col width="75" customWidth="1" min="5" max="5"/>
    <col width="71.09999999999999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1001</v>
      </c>
      <c r="B2" s="3" t="inlineStr">
        <is>
          <t>협상/조정</t>
        </is>
      </c>
      <c r="C2" s="4" t="inlineStr">
        <is>
          <t>wiggle room</t>
        </is>
      </c>
      <c r="D2" s="11" t="inlineStr">
        <is>
          <t>조정의 여지, 재량권 (일정/가격 등의 융통성)</t>
        </is>
      </c>
      <c r="E2" s="11" t="inlineStr">
        <is>
          <t>Is there any wiggle room on the delivery date?</t>
        </is>
      </c>
      <c r="F2" s="11" t="inlineStr">
        <is>
          <t>납품 일정에 조금이라도 조정할 수 있는 여지가 있을까요?</t>
        </is>
      </c>
      <c r="G2" s="5">
        <f>HYPERLINK("https://www.youtube.com/watch?v=pc6UmwZD-KU", "영상 보기 ▶")</f>
        <v/>
      </c>
    </row>
    <row r="3" ht="26" customHeight="1">
      <c r="A3" s="6" t="n">
        <v>1002</v>
      </c>
      <c r="B3" s="7" t="inlineStr">
        <is>
          <t>인내/과정</t>
        </is>
      </c>
      <c r="C3" s="8" t="inlineStr">
        <is>
          <t>It's a process</t>
        </is>
      </c>
      <c r="D3" s="12" t="inlineStr">
        <is>
          <t>하루아침에 되는 게 아니야, 차근차근 시간이 걸리는 과정이야</t>
        </is>
      </c>
      <c r="E3" s="12" t="inlineStr">
        <is>
          <t>Don't get discouraged; learning a new skill is a process.</t>
        </is>
      </c>
      <c r="F3" s="12" t="inlineStr">
        <is>
          <t>낙담하지 마, 새로운 기술을 배우는 건 차근차근 시간이 걸리는 과정이야.</t>
        </is>
      </c>
      <c r="G3" s="9">
        <f>HYPERLINK("https://www.youtube.com/watch?v=pc6UmwZD-KU", "영상 보기 ▶")</f>
        <v/>
      </c>
    </row>
    <row r="4" ht="26" customHeight="1">
      <c r="A4" s="2" t="n">
        <v>1003</v>
      </c>
      <c r="B4" s="3" t="inlineStr">
        <is>
          <t>정보 과부하</t>
        </is>
      </c>
      <c r="C4" s="4" t="inlineStr">
        <is>
          <t>It's a lot to process</t>
        </is>
      </c>
      <c r="D4" s="11" t="inlineStr">
        <is>
          <t>한 번에 소화하기엔 너무 많은 내용/충격이야</t>
        </is>
      </c>
      <c r="E4" s="11" t="inlineStr">
        <is>
          <t>Thank you for the detailed briefing; it's a lot to process.</t>
        </is>
      </c>
      <c r="F4" s="11" t="inlineStr">
        <is>
          <t>상세한 브리핑 감사합니다. 한 번에 소화하고 이해하기엔 양이 꽤 많네요.</t>
        </is>
      </c>
      <c r="G4" s="5">
        <f>HYPERLINK("https://www.youtube.com/watch?v=pc6UmwZD-KU", "영상 보기 ▶")</f>
        <v/>
      </c>
    </row>
    <row r="5" ht="26" customHeight="1">
      <c r="A5" s="6" t="n">
        <v>1004</v>
      </c>
      <c r="B5" s="7" t="inlineStr">
        <is>
          <t>탁월함/미결</t>
        </is>
      </c>
      <c r="C5" s="8" t="inlineStr">
        <is>
          <t>outstanding</t>
        </is>
      </c>
      <c r="D5" s="12" t="inlineStr">
        <is>
          <t>① 뛰어난, 훌륭한 ② 미결제의, 처리되지 않은</t>
        </is>
      </c>
      <c r="E5" s="12" t="inlineStr">
        <is>
          <t>She did an outstanding job on the presentation.</t>
        </is>
      </c>
      <c r="F5" s="12" t="inlineStr">
        <is>
          <t>그녀는 이번 발표에서 대단히 훌륭하고 뛰어난 성과를 냈어.</t>
        </is>
      </c>
      <c r="G5" s="9">
        <f>HYPERLINK("https://www.youtube.com/watch?v=pc6UmwZD-KU", "영상 보기 ▶")</f>
        <v/>
      </c>
    </row>
    <row r="6" ht="26" customHeight="1">
      <c r="A6" s="2" t="n">
        <v>1005</v>
      </c>
      <c r="B6" s="3" t="inlineStr">
        <is>
          <t>철야 작업</t>
        </is>
      </c>
      <c r="C6" s="4" t="inlineStr">
        <is>
          <t>work around the clock</t>
        </is>
      </c>
      <c r="D6" s="11" t="inlineStr">
        <is>
          <t>밤낮없이 24시간 내내 쉬지 않고 일하다</t>
        </is>
      </c>
      <c r="E6" s="11" t="inlineStr">
        <is>
          <t>The emergency repair crew worked around the clock.</t>
        </is>
      </c>
      <c r="F6" s="11" t="inlineStr">
        <is>
          <t>긴급 복구팀은 밤낮없이 24시간 내내 쉬지 않고 일했습니다.</t>
        </is>
      </c>
      <c r="G6" s="5">
        <f>HYPERLINK("https://www.youtube.com/watch?v=pc6UmwZD-KU", "영상 보기 ▶")</f>
        <v/>
      </c>
    </row>
    <row r="7" ht="26" customHeight="1">
      <c r="A7" s="6" t="n">
        <v>1006</v>
      </c>
      <c r="B7" s="7" t="inlineStr">
        <is>
          <t>타당한 지적</t>
        </is>
      </c>
      <c r="C7" s="8" t="inlineStr">
        <is>
          <t>That's a fair question</t>
        </is>
      </c>
      <c r="D7" s="12" t="inlineStr">
        <is>
          <t>충분히 하실 수 있는 타당한 질문입니다</t>
        </is>
      </c>
      <c r="E7" s="12" t="inlineStr">
        <is>
          <t>That's a fair question; let me explain our pricing model.</t>
        </is>
      </c>
      <c r="F7" s="12" t="inlineStr">
        <is>
          <t>충분히 제기하실 만한 타당한 질문입니다. 저희 가격 책정 모델을 설명해 드릴게요.</t>
        </is>
      </c>
      <c r="G7" s="9">
        <f>HYPERLINK("https://www.youtube.com/watch?v=pc6UmwZD-KU", "영상 보기 ▶")</f>
        <v/>
      </c>
    </row>
    <row r="8" ht="26" customHeight="1">
      <c r="A8" s="2" t="n">
        <v>1007</v>
      </c>
      <c r="B8" s="3" t="inlineStr">
        <is>
          <t>납득/수용</t>
        </is>
      </c>
      <c r="C8" s="4" t="inlineStr">
        <is>
          <t>Fair enough</t>
        </is>
      </c>
      <c r="D8" s="11" t="inlineStr">
        <is>
          <t>그럴 만하네, 알겠어, 충분히 수긍이 가</t>
        </is>
      </c>
      <c r="E8" s="11" t="inlineStr">
        <is>
          <t>If you're too exhausted to drive, fair enough; I'll drive.</t>
        </is>
      </c>
      <c r="F8" s="11" t="inlineStr">
        <is>
          <t>운전하기에 너무 피곤하다면 그럴 만하지, 내가 운전할게.</t>
        </is>
      </c>
      <c r="G8" s="5">
        <f>HYPERLINK("https://www.youtube.com/watch?v=pc6UmwZD-KU", "영상 보기 ▶")</f>
        <v/>
      </c>
    </row>
    <row r="9" ht="26" customHeight="1">
      <c r="A9" s="6" t="n">
        <v>1008</v>
      </c>
      <c r="B9" s="7" t="inlineStr">
        <is>
          <t>공정성</t>
        </is>
      </c>
      <c r="C9" s="8" t="inlineStr">
        <is>
          <t>fair</t>
        </is>
      </c>
      <c r="D9" s="12" t="inlineStr">
        <is>
          <t>공정한, 타당한 (a fair deal/assessment)</t>
        </is>
      </c>
      <c r="E9" s="12" t="inlineStr">
        <is>
          <t>We need to ensure a fair evaluation for all candidates.</t>
        </is>
      </c>
      <c r="F9" s="12" t="inlineStr">
        <is>
          <t>모든 지원자에게 공정한 평가가 이뤄지도록 보장해야 합니다.</t>
        </is>
      </c>
      <c r="G9" s="9">
        <f>HYPERLINK("https://www.youtube.com/watch?v=pc6UmwZD-KU", "영상 보기 ▶")</f>
        <v/>
      </c>
    </row>
    <row r="10" ht="26" customHeight="1">
      <c r="A10" s="2" t="n">
        <v>1009</v>
      </c>
      <c r="B10" s="3" t="inlineStr">
        <is>
          <t>동의/합류</t>
        </is>
      </c>
      <c r="C10" s="4" t="inlineStr">
        <is>
          <t>be on board</t>
        </is>
      </c>
      <c r="D10" s="11" t="inlineStr">
        <is>
          <t>동의하다, 찬성하여 동참하다</t>
        </is>
      </c>
      <c r="E10" s="11" t="inlineStr">
        <is>
          <t>Is the legal team on board with the revised terms?</t>
        </is>
      </c>
      <c r="F10" s="11" t="inlineStr">
        <is>
          <t>법무팀도 수정된 계약 조항에 동의하고 함께 가나요?</t>
        </is>
      </c>
      <c r="G10" s="5">
        <f>HYPERLINK("https://www.youtube.com/watch?v=pc6UmwZD-KU", "영상 보기 ▶")</f>
        <v/>
      </c>
    </row>
    <row r="11" ht="26" customHeight="1">
      <c r="A11" s="6" t="n">
        <v>1010</v>
      </c>
      <c r="B11" s="7" t="inlineStr">
        <is>
          <t>호흡 일치</t>
        </is>
      </c>
      <c r="C11" s="8" t="inlineStr">
        <is>
          <t>be on the same page</t>
        </is>
      </c>
      <c r="D11" s="12" t="inlineStr">
        <is>
          <t>이해와 목표가 완벽히 일치하다</t>
        </is>
      </c>
      <c r="E11" s="12" t="inlineStr">
        <is>
          <t>Let's review the timeline so we're all on the same page.</t>
        </is>
      </c>
      <c r="F11" s="12" t="inlineStr">
        <is>
          <t>모두가 한마음으로 손발을 맞출 수 있도록 일정을 함께 점검합시다.</t>
        </is>
      </c>
      <c r="G11" s="9">
        <f>HYPERLINK("https://www.youtube.com/watch?v=pc6UmwZD-KU", "영상 보기 ▶")</f>
        <v/>
      </c>
    </row>
    <row r="12" ht="26" customHeight="1">
      <c r="A12" s="2" t="n">
        <v>1011</v>
      </c>
      <c r="B12" s="3" t="inlineStr">
        <is>
          <t>도달 격려</t>
        </is>
      </c>
      <c r="C12" s="4" t="inlineStr">
        <is>
          <t>You'll get there</t>
        </is>
      </c>
      <c r="D12" s="11" t="inlineStr">
        <is>
          <t>포기하지 마, 결국엔 다 도달하게 될 거야</t>
        </is>
      </c>
      <c r="E12" s="11" t="inlineStr">
        <is>
          <t>It feels overwhelming now, but keep practicing; you'll get there.</t>
        </is>
      </c>
      <c r="F12" s="11" t="inlineStr">
        <is>
          <t>지금은 벅차게 느껴지겠지만 꾸준히 연습해 봐, 결국엔 다 잘 해내게 될 거야.</t>
        </is>
      </c>
      <c r="G12" s="5">
        <f>HYPERLINK("https://www.youtube.com/watch?v=pc6UmwZD-KU", "영상 보기 ▶")</f>
        <v/>
      </c>
    </row>
    <row r="13" ht="26" customHeight="1">
      <c r="A13" s="6" t="n">
        <v>1012</v>
      </c>
      <c r="B13" s="7" t="inlineStr">
        <is>
          <t>계약 성사</t>
        </is>
      </c>
      <c r="C13" s="8" t="inlineStr">
        <is>
          <t>close a deal</t>
        </is>
      </c>
      <c r="D13" s="12" t="inlineStr">
        <is>
          <t>계약을 최종 체결하다, 성사시키다</t>
        </is>
      </c>
      <c r="E13" s="12" t="inlineStr">
        <is>
          <t>Our sales team managed to close a multimillion-dollar deal.</t>
        </is>
      </c>
      <c r="F13" s="12" t="inlineStr">
        <is>
          <t>저희 영업팀은 수백만 달러 규모의 계약을 성공적으로 체결했습니다.</t>
        </is>
      </c>
      <c r="G13" s="9">
        <f>HYPERLINK("https://www.youtube.com/watch?v=pc6UmwZD-KU", "영상 보기 ▶")</f>
        <v/>
      </c>
    </row>
    <row r="14" ht="26" customHeight="1">
      <c r="A14" s="2" t="n">
        <v>1013</v>
      </c>
      <c r="B14" s="3" t="inlineStr">
        <is>
          <t>진도 우위</t>
        </is>
      </c>
      <c r="C14" s="4" t="inlineStr">
        <is>
          <t>be further along than ~</t>
        </is>
      </c>
      <c r="D14" s="11" t="inlineStr">
        <is>
          <t>~보다 진도가 더 많이 나가다/진척되다</t>
        </is>
      </c>
      <c r="E14" s="11" t="inlineStr">
        <is>
          <t>We are much further along than we were last month.</t>
        </is>
      </c>
      <c r="F14" s="11" t="inlineStr">
        <is>
          <t>우리는 지난달에 비하면 진도가 훨씬 더 많이 앞서 나가 있습니다.</t>
        </is>
      </c>
      <c r="G14" s="5">
        <f>HYPERLINK("https://www.youtube.com/watch?v=pc6UmwZD-KU", "영상 보기 ▶")</f>
        <v/>
      </c>
    </row>
    <row r="15" ht="26" customHeight="1">
      <c r="A15" s="6" t="n">
        <v>1014</v>
      </c>
      <c r="B15" s="7" t="inlineStr">
        <is>
          <t>현재 시점</t>
        </is>
      </c>
      <c r="C15" s="8" t="inlineStr">
        <is>
          <t>by now</t>
        </is>
      </c>
      <c r="D15" s="12" t="inlineStr">
        <is>
          <t>지금쯤이면, 현재 시점에는 벌써</t>
        </is>
      </c>
      <c r="E15" s="12" t="inlineStr">
        <is>
          <t>The package should have arrived by now.</t>
        </is>
      </c>
      <c r="F15" s="12" t="inlineStr">
        <is>
          <t>소포가 지금쯤이면 벌써 도착했어야 정상인데.</t>
        </is>
      </c>
      <c r="G15" s="9">
        <f>HYPERLINK("https://www.youtube.com/watch?v=pc6UmwZD-KU", "영상 보기 ▶")</f>
        <v/>
      </c>
    </row>
    <row r="16" ht="26" customHeight="1">
      <c r="A16" s="2" t="n">
        <v>1015</v>
      </c>
      <c r="B16" s="3" t="inlineStr">
        <is>
          <t>강조 반복</t>
        </is>
      </c>
      <c r="C16" s="4" t="inlineStr">
        <is>
          <t>reiterate</t>
        </is>
      </c>
      <c r="D16" s="11" t="inlineStr">
        <is>
          <t>강조하기 위해 다시 한번 말하다/되풀이하다</t>
        </is>
      </c>
      <c r="E16" s="11" t="inlineStr">
        <is>
          <t>Allow me to reiterate the core goals of this initiative.</t>
        </is>
      </c>
      <c r="F16" s="11" t="inlineStr">
        <is>
          <t>이 사업의 핵심 목표를 다시 한번 강조해 말씀드리겠습니다.</t>
        </is>
      </c>
      <c r="G16" s="5">
        <f>HYPERLINK("https://www.youtube.com/watch?v=pc6UmwZD-KU", "영상 보기 ▶")</f>
        <v/>
      </c>
    </row>
    <row r="17" ht="26" customHeight="1">
      <c r="A17" s="6" t="n">
        <v>1016</v>
      </c>
      <c r="B17" s="7" t="inlineStr">
        <is>
          <t>화제 제기</t>
        </is>
      </c>
      <c r="C17" s="8" t="inlineStr">
        <is>
          <t>bring up</t>
        </is>
      </c>
      <c r="D17" s="12" t="inlineStr">
        <is>
          <t>(회의나 대화에서 문제를) 꺼내다, 제기하다</t>
        </is>
      </c>
      <c r="E17" s="12" t="inlineStr">
        <is>
          <t>I'm glad you brought up that crucial topic.</t>
        </is>
      </c>
      <c r="F17" s="12" t="inlineStr">
        <is>
          <t>그 중요한 주제를 먼저 안건으로 꺼내주셔서 대단히 반갑습니다.</t>
        </is>
      </c>
      <c r="G17" s="9">
        <f>HYPERLINK("https://www.youtube.com/watch?v=pc6UmwZD-KU", "영상 보기 ▶")</f>
        <v/>
      </c>
    </row>
    <row r="18" ht="26" customHeight="1">
      <c r="A18" s="2" t="n">
        <v>1017</v>
      </c>
      <c r="B18" s="3" t="inlineStr">
        <is>
          <t>주제 고수</t>
        </is>
      </c>
      <c r="C18" s="4" t="inlineStr">
        <is>
          <t>stick to</t>
        </is>
      </c>
      <c r="D18" s="11" t="inlineStr">
        <is>
          <t>벗어나지 않고 지키다, 고수하다</t>
        </is>
      </c>
      <c r="E18" s="11" t="inlineStr">
        <is>
          <t>Please stick to the allocated time for your presentation.</t>
        </is>
      </c>
      <c r="F18" s="11" t="inlineStr">
        <is>
          <t>발표 시 배정된 제한 시간을 엄격히 지켜주시기 바랍니다.</t>
        </is>
      </c>
      <c r="G18" s="5">
        <f>HYPERLINK("https://www.youtube.com/watch?v=pc6UmwZD-KU", "영상 보기 ▶")</f>
        <v/>
      </c>
    </row>
    <row r="19" ht="26" customHeight="1">
      <c r="A19" s="6" t="n">
        <v>1018</v>
      </c>
      <c r="B19" s="7" t="inlineStr">
        <is>
          <t>교차 검토</t>
        </is>
      </c>
      <c r="C19" s="8" t="inlineStr">
        <is>
          <t>get another set/pair of eyes</t>
        </is>
      </c>
      <c r="D19" s="12" t="inlineStr">
        <is>
          <t>다른 사람에게 꼼꼼히 교차 검토를 받다</t>
        </is>
      </c>
      <c r="E19" s="12" t="inlineStr">
        <is>
          <t>Before printing, let's get another pair of eyes on the draft.</t>
        </is>
      </c>
      <c r="F19" s="12" t="inlineStr">
        <is>
          <t>인쇄하기 전에 다른 사람에게 초안을 한 번 더 꼼꼼히 봐달라고 하자.</t>
        </is>
      </c>
      <c r="G19" s="9">
        <f>HYPERLINK("https://www.youtube.com/watch?v=pc6UmwZD-KU", "영상 보기 ▶")</f>
        <v/>
      </c>
    </row>
    <row r="20" ht="26" customHeight="1">
      <c r="A20" s="2" t="n">
        <v>1019</v>
      </c>
      <c r="B20" s="3" t="inlineStr">
        <is>
          <t>필요/간절</t>
        </is>
      </c>
      <c r="C20" s="4" t="inlineStr">
        <is>
          <t>I could use ~</t>
        </is>
      </c>
      <c r="D20" s="11" t="inlineStr">
        <is>
          <t>~가 절실히 필요해, ~하면 딱 좋겠어</t>
        </is>
      </c>
      <c r="E20" s="11" t="inlineStr">
        <is>
          <t>I could really use a cup of strong coffee right now.</t>
        </is>
      </c>
      <c r="F20" s="11" t="inlineStr">
        <is>
          <t>나 지금 진한 커피 한 잔 마시면 진짜 딱 살 것 같아.</t>
        </is>
      </c>
      <c r="G20" s="5">
        <f>HYPERLINK("https://www.youtube.com/watch?v=pc6UmwZD-KU", "영상 보기 ▶")</f>
        <v/>
      </c>
    </row>
    <row r="21" ht="26" customHeight="1">
      <c r="A21" s="6" t="n">
        <v>1020</v>
      </c>
      <c r="B21" s="7" t="inlineStr">
        <is>
          <t>최고 수준</t>
        </is>
      </c>
      <c r="C21" s="8" t="inlineStr">
        <is>
          <t>top-notch</t>
        </is>
      </c>
      <c r="D21" s="12" t="inlineStr">
        <is>
          <t>최고 수준의, 일류의 (top-notch service/quality)</t>
        </is>
      </c>
      <c r="E21" s="12" t="inlineStr">
        <is>
          <t>The customer service at this hotel is absolutely top-notch.</t>
        </is>
      </c>
      <c r="F21" s="12" t="inlineStr">
        <is>
          <t>이 호텔의 고객 서비스는 정말이지 자타공인 최고 수준이야.</t>
        </is>
      </c>
      <c r="G21" s="9">
        <f>HYPERLINK("https://www.youtube.com/watch?v=pc6UmwZD-KU", "영상 보기 ▶")</f>
        <v/>
      </c>
    </row>
    <row r="22" ht="26" customHeight="1">
      <c r="A22" s="2" t="n">
        <v>1021</v>
      </c>
      <c r="B22" s="3" t="inlineStr">
        <is>
          <t>객관성/목표</t>
        </is>
      </c>
      <c r="C22" s="4" t="inlineStr">
        <is>
          <t>objective</t>
        </is>
      </c>
      <c r="D22" s="11" t="inlineStr">
        <is>
          <t>① 객관적인 ② 목표, 목적</t>
        </is>
      </c>
      <c r="E22" s="11" t="inlineStr">
        <is>
          <t>We need an objective evaluation from an outside auditor.</t>
        </is>
      </c>
      <c r="F22" s="11" t="inlineStr">
        <is>
          <t>외부 감사관으로부터 객관적인 평가를 받아볼 필요가 있습니다.</t>
        </is>
      </c>
      <c r="G22" s="5">
        <f>HYPERLINK("https://www.youtube.com/watch?v=pc6UmwZD-KU", "영상 보기 ▶")</f>
        <v/>
      </c>
    </row>
    <row r="23" ht="26" customHeight="1">
      <c r="A23" s="6" t="n">
        <v>1022</v>
      </c>
      <c r="B23" s="7" t="inlineStr">
        <is>
          <t>진정/자제</t>
        </is>
      </c>
      <c r="C23" s="8" t="inlineStr">
        <is>
          <t>take it down a notch</t>
        </is>
      </c>
      <c r="D23" s="12" t="inlineStr">
        <is>
          <t>(언성이나 흥분을) 한 단계 낮추다, 진정하다</t>
        </is>
      </c>
      <c r="E23" s="12" t="inlineStr">
        <is>
          <t>Everyone is getting too loud; let's take it down a notch.</t>
        </is>
      </c>
      <c r="F23" s="12" t="inlineStr">
        <is>
          <t>다들 목소리가 너무 커지고 있어요, 조금만 차분히 톤을 낮춥시다.</t>
        </is>
      </c>
      <c r="G23" s="9">
        <f>HYPERLINK("https://www.youtube.com/watch?v=pc6UmwZD-KU", "영상 보기 ▶")</f>
        <v/>
      </c>
    </row>
    <row r="24" ht="26" customHeight="1">
      <c r="A24" s="2" t="n">
        <v>1023</v>
      </c>
      <c r="B24" s="3" t="inlineStr">
        <is>
          <t>수준 향상</t>
        </is>
      </c>
      <c r="C24" s="4" t="inlineStr">
        <is>
          <t>take it up a notch</t>
        </is>
      </c>
      <c r="D24" s="11" t="inlineStr">
        <is>
          <t>한 단계 더 높은 수준으로 끌어올리다</t>
        </is>
      </c>
      <c r="E24" s="11" t="inlineStr">
        <is>
          <t>To beat the competition, we need to take our marketing up a notch.</t>
        </is>
      </c>
      <c r="F24" s="11" t="inlineStr">
        <is>
          <t>경쟁사를 이기려면 마케팅 수준을 한 단계 더 끌어올려야 합니다.</t>
        </is>
      </c>
      <c r="G24" s="5">
        <f>HYPERLINK("https://www.youtube.com/watch?v=pc6UmwZD-KU", "영상 보기 ▶")</f>
        <v/>
      </c>
    </row>
    <row r="25" ht="26" customHeight="1">
      <c r="A25" s="6" t="n">
        <v>1024</v>
      </c>
      <c r="B25" s="7" t="inlineStr">
        <is>
          <t>누락/제외</t>
        </is>
      </c>
      <c r="C25" s="8" t="inlineStr">
        <is>
          <t>leave out</t>
        </is>
      </c>
      <c r="D25" s="12" t="inlineStr">
        <is>
          <t>빠뜨리다, 빼놓다, 제외하다</t>
        </is>
      </c>
      <c r="E25" s="12" t="inlineStr">
        <is>
          <t>Make sure you don't leave out any important details.</t>
        </is>
      </c>
      <c r="F25" s="12" t="inlineStr">
        <is>
          <t>어떤 중요한 세부 사항도 빠뜨리지 않도록 꼭 명심하세요.</t>
        </is>
      </c>
      <c r="G25" s="9">
        <f>HYPERLINK("https://www.youtube.com/watch?v=pc6UmwZD-KU", "영상 보기 ▶")</f>
        <v/>
      </c>
    </row>
    <row r="26" ht="26" customHeight="1">
      <c r="A26" s="2" t="n">
        <v>1025</v>
      </c>
      <c r="B26" s="3" t="inlineStr">
        <is>
          <t>즉흥 대처</t>
        </is>
      </c>
      <c r="C26" s="4" t="inlineStr">
        <is>
          <t>wing it</t>
        </is>
      </c>
      <c r="D26" s="11" t="inlineStr">
        <is>
          <t>사전 준비 없이 즉흥적으로 해치우다</t>
        </is>
      </c>
      <c r="E26" s="11" t="inlineStr">
        <is>
          <t>I didn't have time to prepare slides, so I'll just have to wing it.</t>
        </is>
      </c>
      <c r="F26" s="11" t="inlineStr">
        <is>
          <t>슬라이드 준비할 시간이 없어서 그냥 즉흥적으로 발표해야겠어.</t>
        </is>
      </c>
      <c r="G26" s="5">
        <f>HYPERLINK("https://www.youtube.com/watch?v=pc6UmwZD-KU", "영상 보기 ▶")</f>
        <v/>
      </c>
    </row>
    <row r="27" ht="26" customHeight="1">
      <c r="A27" s="6" t="n">
        <v>1026</v>
      </c>
      <c r="B27" s="7" t="inlineStr">
        <is>
          <t>고의/신중</t>
        </is>
      </c>
      <c r="C27" s="8" t="inlineStr">
        <is>
          <t>deliberately</t>
        </is>
      </c>
      <c r="D27" s="12" t="inlineStr">
        <is>
          <t>일부러, 고의로, 신중하게</t>
        </is>
      </c>
      <c r="E27" s="12" t="inlineStr">
        <is>
          <t>He spoke slowly and deliberately so everyone could understand.</t>
        </is>
      </c>
      <c r="F27" s="12" t="inlineStr">
        <is>
          <t>그는 모든 사람이 이해할 수 있도록 천천히 신중하게 말을 이어갔어.</t>
        </is>
      </c>
      <c r="G27" s="9">
        <f>HYPERLINK("https://www.youtube.com/watch?v=pc6UmwZD-KU", "영상 보기 ▶")</f>
        <v/>
      </c>
    </row>
    <row r="28" ht="26" customHeight="1">
      <c r="A28" s="2" t="n">
        <v>1027</v>
      </c>
      <c r="B28" s="3" t="inlineStr">
        <is>
          <t>선의 해석</t>
        </is>
      </c>
      <c r="C28" s="4" t="inlineStr">
        <is>
          <t>give (대상) the benefit of the doubt</t>
        </is>
      </c>
      <c r="D28" s="11" t="inlineStr">
        <is>
          <t>악의는 아닐 거라고 일단 좋게 믿어주다</t>
        </is>
      </c>
      <c r="E28" s="11" t="inlineStr">
        <is>
          <t>He might have been busy; let's give him the benefit of the doubt.</t>
        </is>
      </c>
      <c r="F28" s="11" t="inlineStr">
        <is>
          <t>바빴을 수도 있으니 일단은 사정이 있었겠거니 좋게 믿어줍시다.</t>
        </is>
      </c>
      <c r="G28" s="5">
        <f>HYPERLINK("https://www.youtube.com/watch?v=pc6UmwZD-KU", "영상 보기 ▶")</f>
        <v/>
      </c>
    </row>
    <row r="29" ht="26" customHeight="1">
      <c r="A29" s="6" t="n">
        <v>1028</v>
      </c>
      <c r="B29" s="7" t="inlineStr">
        <is>
          <t>진행 중</t>
        </is>
      </c>
      <c r="C29" s="8" t="inlineStr">
        <is>
          <t>It's a work in progress</t>
        </is>
      </c>
      <c r="D29" s="12" t="inlineStr">
        <is>
          <t>아직 미완성이고 계속 다듬어가는 중이야</t>
        </is>
      </c>
      <c r="E29" s="12" t="inlineStr">
        <is>
          <t>Our new website design is still a work in progress.</t>
        </is>
      </c>
      <c r="F29" s="12" t="inlineStr">
        <is>
          <t>새 웹사이트 디자인은 아직 미완성이고 계속 작업해 가는 중입니다.</t>
        </is>
      </c>
      <c r="G29" s="9">
        <f>HYPERLINK("https://www.youtube.com/watch?v=pc6UmwZD-KU", "영상 보기 ▶")</f>
        <v/>
      </c>
    </row>
    <row r="30" ht="26" customHeight="1">
      <c r="A30" s="2" t="n">
        <v>1029</v>
      </c>
      <c r="B30" s="3" t="inlineStr">
        <is>
          <t>유념/주의</t>
        </is>
      </c>
      <c r="C30" s="4" t="inlineStr">
        <is>
          <t>mindful</t>
        </is>
      </c>
      <c r="D30" s="11" t="inlineStr">
        <is>
          <t>~를 염두에 두는, 유념하는 (be mindful of)</t>
        </is>
      </c>
      <c r="E30" s="11" t="inlineStr">
        <is>
          <t>Please be mindful of other people working quietly around you.</t>
        </is>
      </c>
      <c r="F30" s="11" t="inlineStr">
        <is>
          <t>주변에서 조용히 일하고 있는 다른 분들을 배려해 유념해 주세요.</t>
        </is>
      </c>
      <c r="G30" s="5">
        <f>HYPERLINK("https://www.youtube.com/watch?v=pc6UmwZD-KU", "영상 보기 ▶")</f>
        <v/>
      </c>
    </row>
    <row r="31" ht="26" customHeight="1">
      <c r="A31" s="6" t="n">
        <v>1030</v>
      </c>
      <c r="B31" s="7" t="inlineStr">
        <is>
          <t>슬럼프/위기</t>
        </is>
      </c>
      <c r="C31" s="8" t="inlineStr">
        <is>
          <t>rough patch</t>
        </is>
      </c>
      <c r="D31" s="12" t="inlineStr">
        <is>
          <t>(인생이나 사업의) 힘든 고비, 슬럼프</t>
        </is>
      </c>
      <c r="E31" s="12" t="inlineStr">
        <is>
          <t>The tech industry is going through a bit of a rough patch.</t>
        </is>
      </c>
      <c r="F31" s="12" t="inlineStr">
        <is>
          <t>IT 업계가 현재 다소 힘든 고비와 조정기를 겪고 있습니다.</t>
        </is>
      </c>
      <c r="G31" s="9">
        <f>HYPERLINK("https://www.youtube.com/watch?v=pc6UmwZD-KU", "영상 보기 ▶")</f>
        <v/>
      </c>
    </row>
    <row r="32" ht="26" customHeight="1">
      <c r="A32" s="2" t="n">
        <v>1031</v>
      </c>
      <c r="B32" s="3" t="inlineStr">
        <is>
          <t>손해 없음</t>
        </is>
      </c>
      <c r="C32" s="4" t="inlineStr">
        <is>
          <t>It wouldn't hurt to ~</t>
        </is>
      </c>
      <c r="D32" s="11" t="inlineStr">
        <is>
          <t>~한다고 해서 손해 볼 건 없잖아 (시도 권유)</t>
        </is>
      </c>
      <c r="E32" s="11" t="inlineStr">
        <is>
          <t>It wouldn't hurt to ask for a small discount.</t>
        </is>
      </c>
      <c r="F32" s="11" t="inlineStr">
        <is>
          <t>혹시 할인 좀 해줄 수 있는지 물어본다고 해서 손해 볼 건 없잖아.</t>
        </is>
      </c>
      <c r="G32" s="5">
        <f>HYPERLINK("https://www.youtube.com/watch?v=pc6UmwZD-KU", "영상 보기 ▶")</f>
        <v/>
      </c>
    </row>
    <row r="33" ht="26" customHeight="1">
      <c r="A33" s="6" t="n">
        <v>1032</v>
      </c>
      <c r="B33" s="7" t="inlineStr">
        <is>
          <t>의도 전달</t>
        </is>
      </c>
      <c r="C33" s="8" t="inlineStr">
        <is>
          <t>get the point across</t>
        </is>
      </c>
      <c r="D33" s="12" t="inlineStr">
        <is>
          <t>요점/의도를 상대에게 명확히 전달하다</t>
        </is>
      </c>
      <c r="E33" s="12" t="inlineStr">
        <is>
          <t>Simple charts help get your point across much faster.</t>
        </is>
      </c>
      <c r="F33" s="12" t="inlineStr">
        <is>
          <t>단순한 도표는 당신의 핵심 요점을 훨씬 더 빠르게 전달하도록 돕습니다.</t>
        </is>
      </c>
      <c r="G33" s="9">
        <f>HYPERLINK("https://www.youtube.com/watch?v=pc6UmwZD-KU", "영상 보기 ▶")</f>
        <v/>
      </c>
    </row>
    <row r="34" ht="26" customHeight="1">
      <c r="A34" s="2" t="n">
        <v>1033</v>
      </c>
      <c r="B34" s="3" t="inlineStr">
        <is>
          <t>책임감</t>
        </is>
      </c>
      <c r="C34" s="4" t="inlineStr">
        <is>
          <t>accountable</t>
        </is>
      </c>
      <c r="D34" s="11" t="inlineStr">
        <is>
          <t>(결과에 대해) 책임이 있는, 설명 의무가 있는</t>
        </is>
      </c>
      <c r="E34" s="11" t="inlineStr">
        <is>
          <t>Managers should hold their team members accountable for results.</t>
        </is>
      </c>
      <c r="F34" s="11" t="inlineStr">
        <is>
          <t>관리자는 팀원들에게 결과에 대한 확실한 책임 의식을 부여해야 합니다.</t>
        </is>
      </c>
      <c r="G34" s="5">
        <f>HYPERLINK("https://www.youtube.com/watch?v=pc6UmwZD-KU", "영상 보기 ▶")</f>
        <v/>
      </c>
    </row>
    <row r="35" ht="26" customHeight="1">
      <c r="A35" s="6" t="n">
        <v>1034</v>
      </c>
      <c r="B35" s="7" t="inlineStr">
        <is>
          <t>최상의 상태</t>
        </is>
      </c>
      <c r="C35" s="8" t="inlineStr">
        <is>
          <t>Things couldn't be better</t>
        </is>
      </c>
      <c r="D35" s="12" t="inlineStr">
        <is>
          <t>더할 나위 없이 아주 좋아, 최고야</t>
        </is>
      </c>
      <c r="E35" s="12" t="inlineStr">
        <is>
          <t>Business is booming; honestly, things couldn't be better.</t>
        </is>
      </c>
      <c r="F35" s="12" t="inlineStr">
        <is>
          <t>사업이 아주 번창하고 있어, 솔직히 이보다 더 좋을 순 없어.</t>
        </is>
      </c>
      <c r="G35" s="9">
        <f>HYPERLINK("https://www.youtube.com/watch?v=pc6UmwZD-KU", "영상 보기 ▶")</f>
        <v/>
      </c>
    </row>
    <row r="36" ht="26" customHeight="1">
      <c r="A36" s="2" t="n">
        <v>1035</v>
      </c>
      <c r="B36" s="3" t="inlineStr">
        <is>
          <t>최악의 타이밍</t>
        </is>
      </c>
      <c r="C36" s="4" t="inlineStr">
        <is>
          <t>The timing couldn't be worse</t>
        </is>
      </c>
      <c r="D36" s="11" t="inlineStr">
        <is>
          <t>타이밍이 이보다 더 나쁠 수는 없어 (최악의 시점)</t>
        </is>
      </c>
      <c r="E36" s="11" t="inlineStr">
        <is>
          <t>The server crashed during the product launch; the timing couldn't be worse.</t>
        </is>
      </c>
      <c r="F36" s="11" t="inlineStr">
        <is>
          <t>제품 출시 행사 중에 서버가 다운되다니, 타이밍이 정말 최악이야.</t>
        </is>
      </c>
      <c r="G36" s="5">
        <f>HYPERLINK("https://www.youtube.com/watch?v=pc6UmwZD-KU", "영상 보기 ▶")</f>
        <v/>
      </c>
    </row>
    <row r="37" ht="26" customHeight="1">
      <c r="A37" s="6" t="n">
        <v>1036</v>
      </c>
      <c r="B37" s="7" t="inlineStr">
        <is>
          <t>네 책임</t>
        </is>
      </c>
      <c r="C37" s="8" t="inlineStr">
        <is>
          <t>That's on you</t>
        </is>
      </c>
      <c r="D37" s="12" t="inlineStr">
        <is>
          <t>그건 네 탓이야, 네가 감당해야 할 몫이야</t>
        </is>
      </c>
      <c r="E37" s="12" t="inlineStr">
        <is>
          <t>If you don't back up your files and lose them, that's on you.</t>
        </is>
      </c>
      <c r="F37" s="12" t="inlineStr">
        <is>
          <t>파일 백업 안 해두고 날려버리면 그건 전적으로 네 책임이야.</t>
        </is>
      </c>
      <c r="G37" s="9">
        <f>HYPERLINK("https://www.youtube.com/watch?v=pc6UmwZD-KU", "영상 보기 ▶")</f>
        <v/>
      </c>
    </row>
    <row r="38" ht="26" customHeight="1">
      <c r="A38" s="2" t="n">
        <v>1037</v>
      </c>
      <c r="B38" s="3" t="inlineStr">
        <is>
          <t>선불</t>
        </is>
      </c>
      <c r="C38" s="4" t="inlineStr">
        <is>
          <t>upfront (선불)</t>
        </is>
      </c>
      <c r="D38" s="11" t="inlineStr">
        <is>
          <t>선불의, 미리 지불하는</t>
        </is>
      </c>
      <c r="E38" s="11" t="inlineStr">
        <is>
          <t>We require a 30% deposit upfront before beginning work.</t>
        </is>
      </c>
      <c r="F38" s="11" t="inlineStr">
        <is>
          <t>작업을 시작하기 전에 계약금 30%를 선불로 입금해 주셔야 합니다.</t>
        </is>
      </c>
      <c r="G38" s="5">
        <f>HYPERLINK("https://www.youtube.com/watch?v=pc6UmwZD-KU", "영상 보기 ▶")</f>
        <v/>
      </c>
    </row>
    <row r="39" ht="26" customHeight="1">
      <c r="A39" s="6" t="n">
        <v>1038</v>
      </c>
      <c r="B39" s="7" t="inlineStr">
        <is>
          <t>솔직함</t>
        </is>
      </c>
      <c r="C39" s="8" t="inlineStr">
        <is>
          <t>upfront (솔직한)</t>
        </is>
      </c>
      <c r="D39" s="12" t="inlineStr">
        <is>
          <t>솔직한, 숨김없이 터놓는 (be upfront about)</t>
        </is>
      </c>
      <c r="E39" s="12" t="inlineStr">
        <is>
          <t>I appreciate that she was upfront about the potential risks.</t>
        </is>
      </c>
      <c r="F39" s="12" t="inlineStr">
        <is>
          <t>그녀가 잠재적 위험에 대해 솔직하게 털어놓아 준 점이 고마워요.</t>
        </is>
      </c>
      <c r="G39" s="9">
        <f>HYPERLINK("https://www.youtube.com/watch?v=pc6UmwZD-KU", "영상 보기 ▶")</f>
        <v/>
      </c>
    </row>
    <row r="40" ht="26" customHeight="1">
      <c r="A40" s="2" t="n">
        <v>1039</v>
      </c>
      <c r="B40" s="3" t="inlineStr">
        <is>
          <t>전적 동의</t>
        </is>
      </c>
      <c r="C40" s="4" t="inlineStr">
        <is>
          <t>I couldn't agree more</t>
        </is>
      </c>
      <c r="D40" s="11" t="inlineStr">
        <is>
          <t>전적으로 전적 동의합니다 (이보다 더 동의할 수 없음)</t>
        </is>
      </c>
      <c r="E40" s="11" t="inlineStr">
        <is>
          <t>Customer trust is everything. - I couldn't agree more.</t>
        </is>
      </c>
      <c r="F40" s="11" t="inlineStr">
        <is>
          <t>고객의 신뢰가 모든 것입니다. - 백번 천번 전적으로 동의합니다.</t>
        </is>
      </c>
      <c r="G40" s="5">
        <f>HYPERLINK("https://www.youtube.com/watch?v=pc6UmwZD-KU", "영상 보기 ▶")</f>
        <v/>
      </c>
    </row>
    <row r="41" ht="26" customHeight="1">
      <c r="A41" s="6" t="n">
        <v>1040</v>
      </c>
      <c r="B41" s="7" t="inlineStr">
        <is>
          <t>질질 끎</t>
        </is>
      </c>
      <c r="C41" s="8" t="inlineStr">
        <is>
          <t>drag on</t>
        </is>
      </c>
      <c r="D41" s="12" t="inlineStr">
        <is>
          <t>(회의나 소송이) 지루하게 질질 끌리다</t>
        </is>
      </c>
      <c r="E41" s="12" t="inlineStr">
        <is>
          <t>The negotiations dragged on for nearly six months.</t>
        </is>
      </c>
      <c r="F41" s="12" t="inlineStr">
        <is>
          <t>협상이 거의 6개월 동안 지루하게 질질 끌렸습니다.</t>
        </is>
      </c>
      <c r="G41" s="9">
        <f>HYPERLINK("https://www.youtube.com/watch?v=pc6UmwZD-KU", "영상 보기 ▶")</f>
        <v/>
      </c>
    </row>
    <row r="42" ht="26" customHeight="1">
      <c r="A42" s="2" t="n">
        <v>1041</v>
      </c>
      <c r="B42" s="3" t="inlineStr">
        <is>
          <t>말려듦</t>
        </is>
      </c>
      <c r="C42" s="4" t="inlineStr">
        <is>
          <t>drag into</t>
        </is>
      </c>
      <c r="D42" s="11" t="inlineStr">
        <is>
          <t>(귀찮은 일/싸움에) 끌어들이다, 말려들게 하다</t>
        </is>
      </c>
      <c r="E42" s="11" t="inlineStr">
        <is>
          <t>Please don't drag me into your internal office politics.</t>
        </is>
      </c>
      <c r="F42" s="11" t="inlineStr">
        <is>
          <t>사내 정치 싸움에 제발 나까지 끌어들이지 마세요.</t>
        </is>
      </c>
      <c r="G42" s="5">
        <f>HYPERLINK("https://www.youtube.com/watch?v=pc6UmwZD-KU", "영상 보기 ▶")</f>
        <v/>
      </c>
    </row>
    <row r="43" ht="26" customHeight="1">
      <c r="A43" s="6" t="n">
        <v>1042</v>
      </c>
      <c r="B43" s="7" t="inlineStr">
        <is>
          <t>극찬 감사</t>
        </is>
      </c>
      <c r="C43" s="8" t="inlineStr">
        <is>
          <t>They couldn't have been more helpful</t>
        </is>
      </c>
      <c r="D43" s="12" t="inlineStr">
        <is>
          <t>정말 이루 말할 수 없이 친절하고 큰 도움이 되었어요</t>
        </is>
      </c>
      <c r="E43" s="12" t="inlineStr">
        <is>
          <t>The support staff was amazing; they couldn't have been more helpful.</t>
        </is>
      </c>
      <c r="F43" s="12" t="inlineStr">
        <is>
          <t>지원팀 직원들이 정말 훌륭했어요, 이보다 더 친절히 도와줄 순 없었을 거예요.</t>
        </is>
      </c>
      <c r="G43" s="9">
        <f>HYPERLINK("https://www.youtube.com/watch?v=pc6UmwZD-KU", "영상 보기 ▶")</f>
        <v/>
      </c>
    </row>
    <row r="44" ht="26" customHeight="1">
      <c r="A44" s="2" t="n">
        <v>1043</v>
      </c>
      <c r="B44" s="3" t="inlineStr">
        <is>
          <t>손이 열 개라도</t>
        </is>
      </c>
      <c r="C44" s="4" t="inlineStr">
        <is>
          <t>I've got my hands full</t>
        </is>
      </c>
      <c r="D44" s="11" t="inlineStr">
        <is>
          <t>일이 너무 많아 손이 열 개라도 모자라요</t>
        </is>
      </c>
      <c r="E44" s="11" t="inlineStr">
        <is>
          <t>I'd love to take on another project, but I've got my hands full.</t>
        </is>
      </c>
      <c r="F44" s="11" t="inlineStr">
        <is>
          <t>다른 프로젝트도 맡고 싶지만 지금은 손이 열 개라도 모자랄 지경이에요.</t>
        </is>
      </c>
      <c r="G44" s="5">
        <f>HYPERLINK("https://www.youtube.com/watch?v=pc6UmwZD-KU", "영상 보기 ▶")</f>
        <v/>
      </c>
    </row>
    <row r="45" ht="26" customHeight="1">
      <c r="A45" s="6" t="n">
        <v>1044</v>
      </c>
      <c r="B45" s="7" t="inlineStr">
        <is>
          <t>최고 찬사</t>
        </is>
      </c>
      <c r="C45" s="8" t="inlineStr">
        <is>
          <t>beat</t>
        </is>
      </c>
      <c r="D45" s="12" t="inlineStr">
        <is>
          <t>~보다 나은 것은 없다, 능가하다</t>
        </is>
      </c>
      <c r="E45" s="12" t="inlineStr">
        <is>
          <t>You can't beat fresh home-cooked meals.</t>
        </is>
      </c>
      <c r="F45" s="12" t="inlineStr">
        <is>
          <t>집에서 갓 지은 집밥보다 더 맛있는 최고는 없지.</t>
        </is>
      </c>
      <c r="G45" s="9">
        <f>HYPERLINK("https://www.youtube.com/watch?v=pc6UmwZD-KU", "영상 보기 ▶")</f>
        <v/>
      </c>
    </row>
    <row r="46" ht="26" customHeight="1">
      <c r="A46" s="2" t="n">
        <v>1045</v>
      </c>
      <c r="B46" s="3" t="inlineStr">
        <is>
          <t>무의미</t>
        </is>
      </c>
      <c r="C46" s="4" t="inlineStr">
        <is>
          <t>I don't see the point in ~</t>
        </is>
      </c>
      <c r="D46" s="11" t="inlineStr">
        <is>
          <t>~해봤자 무슨 의미/소용이 있는지 모르겠어</t>
        </is>
      </c>
      <c r="E46" s="11" t="inlineStr">
        <is>
          <t>I don't see the point in arguing over past mistakes.</t>
        </is>
      </c>
      <c r="F46" s="11" t="inlineStr">
        <is>
          <t>지나간 실수를 두고 언쟁해 봤자 무슨 소용이 있는지 모르겠어.</t>
        </is>
      </c>
      <c r="G46" s="5">
        <f>HYPERLINK("https://www.youtube.com/watch?v=pc6UmwZD-KU", "영상 보기 ▶")</f>
        <v/>
      </c>
    </row>
    <row r="47" ht="26" customHeight="1">
      <c r="A47" s="6" t="n">
        <v>1046</v>
      </c>
      <c r="B47" s="7" t="inlineStr">
        <is>
          <t>대만족</t>
        </is>
      </c>
      <c r="C47" s="8" t="inlineStr">
        <is>
          <t>I couldn't ask for more</t>
        </is>
      </c>
      <c r="D47" s="12" t="inlineStr">
        <is>
          <t>더 이상 바랄 게 없어, 대만족이야</t>
        </is>
      </c>
      <c r="E47" s="12" t="inlineStr">
        <is>
          <t>A caring team and a great salary; I couldn't ask for more.</t>
        </is>
      </c>
      <c r="F47" s="12" t="inlineStr">
        <is>
          <t>따뜻한 팀원들에 훌륭한 연봉까지, 더 이상 바랄 게 없습니다.</t>
        </is>
      </c>
      <c r="G47" s="9">
        <f>HYPERLINK("https://www.youtube.com/watch?v=pc6UmwZD-KU", "영상 보기 ▶")</f>
        <v/>
      </c>
    </row>
    <row r="48" ht="26" customHeight="1">
      <c r="A48" s="2" t="n">
        <v>1047</v>
      </c>
      <c r="B48" s="3" t="inlineStr">
        <is>
          <t>인내</t>
        </is>
      </c>
      <c r="C48" s="4" t="inlineStr">
        <is>
          <t>stand (참다/견디다)</t>
        </is>
      </c>
      <c r="D48" s="11" t="inlineStr">
        <is>
          <t>참다, 견디다 (can't stand the noise)</t>
        </is>
      </c>
      <c r="E48" s="11" t="inlineStr">
        <is>
          <t>I can't stand working in such a chaotic environment.</t>
        </is>
      </c>
      <c r="F48" s="11" t="inlineStr">
        <is>
          <t>이렇게 무질서하고 시끄러운 환경에서 일하는 건 도저히 못 참겠어.</t>
        </is>
      </c>
      <c r="G48" s="5">
        <f>HYPERLINK("https://www.youtube.com/watch?v=pc6UmwZD-KU", "영상 보기 ▶")</f>
        <v/>
      </c>
    </row>
    <row r="49" ht="26" customHeight="1">
      <c r="A49" s="6" t="n">
        <v>1048</v>
      </c>
      <c r="B49" s="7" t="inlineStr">
        <is>
          <t>유효성</t>
        </is>
      </c>
      <c r="C49" s="8" t="inlineStr">
        <is>
          <t>stand (유효하다)</t>
        </is>
      </c>
      <c r="D49" s="12" t="inlineStr">
        <is>
          <t>(결정/제안이) 변함없이 유효하다</t>
        </is>
      </c>
      <c r="E49" s="12" t="inlineStr">
        <is>
          <t>My original offer to mentor you still stands.</t>
        </is>
      </c>
      <c r="F49" s="12" t="inlineStr">
        <is>
          <t>너를 멘토링해 주겠다는 내 원래 제안은 여전히 유효해.</t>
        </is>
      </c>
      <c r="G49" s="9">
        <f>HYPERLINK("https://www.youtube.com/watch?v=pc6UmwZD-KU", "영상 보기 ▶")</f>
        <v/>
      </c>
    </row>
    <row r="50" ht="26" customHeight="1">
      <c r="A50" s="2" t="n">
        <v>1049</v>
      </c>
      <c r="B50" s="3" t="inlineStr">
        <is>
          <t>입장 표명</t>
        </is>
      </c>
      <c r="C50" s="4" t="inlineStr">
        <is>
          <t>stand (입장/의견)</t>
        </is>
      </c>
      <c r="D50" s="11" t="inlineStr">
        <is>
          <t>(특정한) 입장이나 견해를 취하다</t>
        </is>
      </c>
      <c r="E50" s="11" t="inlineStr">
        <is>
          <t>Where do you stand on the proposed merger?</t>
        </is>
      </c>
      <c r="F50" s="11" t="inlineStr">
        <is>
          <t>이번 합병안에 대해 당신은 어떤 입장을 취하고 계신가요?</t>
        </is>
      </c>
      <c r="G50" s="5">
        <f>HYPERLINK("https://www.youtube.com/watch?v=pc6UmwZD-KU", "영상 보기 ▶")</f>
        <v/>
      </c>
    </row>
    <row r="51" ht="26" customHeight="1">
      <c r="A51" s="6" t="n">
        <v>1050</v>
      </c>
      <c r="B51" s="7" t="inlineStr">
        <is>
          <t>처지/상황</t>
        </is>
      </c>
      <c r="C51" s="8" t="inlineStr">
        <is>
          <t>stand to + 동사원형</t>
        </is>
      </c>
      <c r="D51" s="12" t="inlineStr">
        <is>
          <t>~하게 될 상황이나 처지에 놓이다</t>
        </is>
      </c>
      <c r="E51" s="12" t="inlineStr">
        <is>
          <t>Both companies stand to gain significant market share.</t>
        </is>
      </c>
      <c r="F51" s="12" t="inlineStr">
        <is>
          <t>두 회사 모두 상당한 시장 점유율을 확보하게 될 유리한 위치에 있습니다.</t>
        </is>
      </c>
      <c r="G51" s="9">
        <f>HYPERLINK("https://www.youtube.com/watch?v=pc6UmwZD-KU", "영상 보기 ▶")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8" customWidth="1" min="3" max="3"/>
    <col width="47.4" customWidth="1" min="4" max="4"/>
    <col width="69" customWidth="1" min="5" max="5"/>
    <col width="68.40000000000001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1051</v>
      </c>
      <c r="B2" s="3" t="inlineStr">
        <is>
          <t>상황 대응</t>
        </is>
      </c>
      <c r="C2" s="4" t="inlineStr">
        <is>
          <t>accordingly</t>
        </is>
      </c>
      <c r="D2" s="11" t="inlineStr">
        <is>
          <t>상황에 부응해서 그에 맞춰 (proceed accordingly)</t>
        </is>
      </c>
      <c r="E2" s="11" t="inlineStr">
        <is>
          <t>Don't worry, we will review the changes and proceed accordingly.</t>
        </is>
      </c>
      <c r="F2" s="11" t="inlineStr">
        <is>
          <t>걱정 마세요, 변경 사항을 검토한 뒤 그에 맞춰 순조롭게 진행하겠습니다.</t>
        </is>
      </c>
      <c r="G2" s="5">
        <f>HYPERLINK("https://www.youtube.com/watch?v=tFSgEVuc0fs", "영상 보기 ▶")</f>
        <v/>
      </c>
    </row>
    <row r="3" ht="26" customHeight="1">
      <c r="A3" s="6" t="n">
        <v>1052</v>
      </c>
      <c r="B3" s="7" t="inlineStr">
        <is>
          <t>일정 비움</t>
        </is>
      </c>
      <c r="C3" s="8" t="inlineStr">
        <is>
          <t>clear one's schedule</t>
        </is>
      </c>
      <c r="D3" s="12" t="inlineStr">
        <is>
          <t>(긴급하거나 중요한 일을 위해) 일정을 비워두다</t>
        </is>
      </c>
      <c r="E3" s="12" t="inlineStr">
        <is>
          <t>I'll clear my schedule for the rest of the day to assist you.</t>
        </is>
      </c>
      <c r="F3" s="12" t="inlineStr">
        <is>
          <t>당신을 도와드리기 위해 오늘 남은 하루 일정을 다 비워두겠습니다.</t>
        </is>
      </c>
      <c r="G3" s="9">
        <f>HYPERLINK("https://www.youtube.com/watch?v=tFSgEVuc0fs", "영상 보기 ▶")</f>
        <v/>
      </c>
    </row>
    <row r="4" ht="26" customHeight="1">
      <c r="A4" s="2" t="n">
        <v>1053</v>
      </c>
      <c r="B4" s="3" t="inlineStr">
        <is>
          <t>어려운 성사</t>
        </is>
      </c>
      <c r="C4" s="4" t="inlineStr">
        <is>
          <t>pull off</t>
        </is>
      </c>
      <c r="D4" s="11" t="inlineStr">
        <is>
          <t>(힘들거나 무리라고 생각한 것을) 성사시키다, 해내다</t>
        </is>
      </c>
      <c r="E4" s="11" t="inlineStr">
        <is>
          <t>I can't believe we pulled off the event on such short notice.</t>
        </is>
      </c>
      <c r="F4" s="11" t="inlineStr">
        <is>
          <t>이렇게 촉박한 일정에 행사를 성공적으로 성사시키다니 믿기지 않아요.</t>
        </is>
      </c>
      <c r="G4" s="5">
        <f>HYPERLINK("https://www.youtube.com/watch?v=tFSgEVuc0fs", "영상 보기 ▶")</f>
        <v/>
      </c>
    </row>
    <row r="5" ht="26" customHeight="1">
      <c r="A5" s="6" t="n">
        <v>1054</v>
      </c>
      <c r="B5" s="7" t="inlineStr">
        <is>
          <t>승산 있음</t>
        </is>
      </c>
      <c r="C5" s="8" t="inlineStr">
        <is>
          <t>have a fighting chance</t>
        </is>
      </c>
      <c r="D5" s="12" t="inlineStr">
        <is>
          <t>충분히 승산이 있다, 잘 풀릴 가능성이 있다</t>
        </is>
      </c>
      <c r="E5" s="12" t="inlineStr">
        <is>
          <t>If we launch this week, we have a fighting chance to lead.</t>
        </is>
      </c>
      <c r="F5" s="12" t="inlineStr">
        <is>
          <t>이번 주에 출시한다면 우리는 선두를 차지할 충분한 승산이 있습니다.</t>
        </is>
      </c>
      <c r="G5" s="9">
        <f>HYPERLINK("https://www.youtube.com/watch?v=tFSgEVuc0fs", "영상 보기 ▶")</f>
        <v/>
      </c>
    </row>
    <row r="6" ht="26" customHeight="1">
      <c r="A6" s="2" t="n">
        <v>1055</v>
      </c>
      <c r="B6" s="3" t="inlineStr">
        <is>
          <t>고려/참작</t>
        </is>
      </c>
      <c r="C6" s="4" t="inlineStr">
        <is>
          <t>take into account</t>
        </is>
      </c>
      <c r="D6" s="11" t="inlineStr">
        <is>
          <t>(결정 시 변수를) 참작하다, 계산에 넣다</t>
        </is>
      </c>
      <c r="E6" s="11" t="inlineStr">
        <is>
          <t>Did you take additional shipping costs into account?</t>
        </is>
      </c>
      <c r="F6" s="11" t="inlineStr">
        <is>
          <t>추가 배송 비용도 계산에 넣고 고려하셨나요?</t>
        </is>
      </c>
      <c r="G6" s="5">
        <f>HYPERLINK("https://www.youtube.com/watch?v=tFSgEVuc0fs", "영상 보기 ▶")</f>
        <v/>
      </c>
    </row>
    <row r="7" ht="26" customHeight="1">
      <c r="A7" s="6" t="n">
        <v>1056</v>
      </c>
      <c r="B7" s="7" t="inlineStr">
        <is>
          <t>설득 성사</t>
        </is>
      </c>
      <c r="C7" s="8" t="inlineStr">
        <is>
          <t>talk (사람) into ~</t>
        </is>
      </c>
      <c r="D7" s="12" t="inlineStr">
        <is>
          <t>설득해서 ~하게 만들다</t>
        </is>
      </c>
      <c r="E7" s="12" t="inlineStr">
        <is>
          <t>I'm so glad you talked me into applying for this role.</t>
        </is>
      </c>
      <c r="F7" s="12" t="inlineStr">
        <is>
          <t>네가 나를 설득해서 이 자리에 지원하게 해줘서 정말 고마워.</t>
        </is>
      </c>
      <c r="G7" s="9">
        <f>HYPERLINK("https://www.youtube.com/watch?v=tFSgEVuc0fs", "영상 보기 ▶")</f>
        <v/>
      </c>
    </row>
    <row r="8" ht="26" customHeight="1">
      <c r="A8" s="2" t="n">
        <v>1057</v>
      </c>
      <c r="B8" s="3" t="inlineStr">
        <is>
          <t>만류 설득</t>
        </is>
      </c>
      <c r="C8" s="4" t="inlineStr">
        <is>
          <t>talk (사람) out of ~</t>
        </is>
      </c>
      <c r="D8" s="11" t="inlineStr">
        <is>
          <t>설득해서 ~하지 못하도록 말리다</t>
        </is>
      </c>
      <c r="E8" s="11" t="inlineStr">
        <is>
          <t>Don't worry, I managed to talk him out of quitting.</t>
        </is>
      </c>
      <c r="F8" s="11" t="inlineStr">
        <is>
          <t>걱정 마, 내가 설득해서 그 사람이 퇴사하려는 걸 잘 말렸어.</t>
        </is>
      </c>
      <c r="G8" s="5">
        <f>HYPERLINK("https://www.youtube.com/watch?v=tFSgEVuc0fs", "영상 보기 ▶")</f>
        <v/>
      </c>
    </row>
    <row r="9" ht="26" customHeight="1">
      <c r="A9" s="6" t="n">
        <v>1058</v>
      </c>
      <c r="B9" s="7" t="inlineStr">
        <is>
          <t>대화 해결</t>
        </is>
      </c>
      <c r="C9" s="8" t="inlineStr">
        <is>
          <t>talk through</t>
        </is>
      </c>
      <c r="D9" s="12" t="inlineStr">
        <is>
          <t>(오해나 갈등을) 철저히 대화로 풀다, 논의하다</t>
        </is>
      </c>
      <c r="E9" s="12" t="inlineStr">
        <is>
          <t>Let's grab a coffee and talk through the differences.</t>
        </is>
      </c>
      <c r="F9" s="12" t="inlineStr">
        <is>
          <t>커피 한잔하면서 우리 사이의 견해차를 대화로 차근차근 풀어봅시다.</t>
        </is>
      </c>
      <c r="G9" s="9">
        <f>HYPERLINK("https://www.youtube.com/watch?v=tFSgEVuc0fs", "영상 보기 ▶")</f>
        <v/>
      </c>
    </row>
    <row r="10" ht="26" customHeight="1">
      <c r="A10" s="2" t="n">
        <v>1059</v>
      </c>
      <c r="B10" s="3" t="inlineStr">
        <is>
          <t>행사 취소</t>
        </is>
      </c>
      <c r="C10" s="4" t="inlineStr">
        <is>
          <t>call off</t>
        </is>
      </c>
      <c r="D10" s="11" t="inlineStr">
        <is>
          <t>취소하다, 중지하다 (call off the deal)</t>
        </is>
      </c>
      <c r="E10" s="11" t="inlineStr">
        <is>
          <t>Due to bad weather, they decided to call off the outdoor match.</t>
        </is>
      </c>
      <c r="F10" s="11" t="inlineStr">
        <is>
          <t>악천후로 인해 그들은 야외 경기를 전격 취소하기로 결정했습니다.</t>
        </is>
      </c>
      <c r="G10" s="5">
        <f>HYPERLINK("https://www.youtube.com/watch?v=tFSgEVuc0fs", "영상 보기 ▶")</f>
        <v/>
      </c>
    </row>
    <row r="11" ht="26" customHeight="1">
      <c r="A11" s="6" t="n">
        <v>1060</v>
      </c>
      <c r="B11" s="7" t="inlineStr">
        <is>
          <t>일상 발생</t>
        </is>
      </c>
      <c r="C11" s="8" t="inlineStr">
        <is>
          <t>common occurrence</t>
        </is>
      </c>
      <c r="D11" s="12" t="inlineStr">
        <is>
          <t>흔히 일어나는 일, 다반사</t>
        </is>
      </c>
      <c r="E11" s="12" t="inlineStr">
        <is>
          <t>Traffic delays are a common occurrence on rainy mornings.</t>
        </is>
      </c>
      <c r="F11" s="12" t="inlineStr">
        <is>
          <t>비 오는 날 아침 교통 정체는 흔히 일어나는 일상 다반사입니다.</t>
        </is>
      </c>
      <c r="G11" s="9">
        <f>HYPERLINK("https://www.youtube.com/watch?v=tFSgEVuc0fs", "영상 보기 ▶")</f>
        <v/>
      </c>
    </row>
    <row r="12" ht="26" customHeight="1">
      <c r="A12" s="2" t="n">
        <v>1061</v>
      </c>
      <c r="B12" s="3" t="inlineStr">
        <is>
          <t>명심/유념</t>
        </is>
      </c>
      <c r="C12" s="4" t="inlineStr">
        <is>
          <t>keep in mind</t>
        </is>
      </c>
      <c r="D12" s="11" t="inlineStr">
        <is>
          <t>~라는 점을 명심하다, 잊지 않다</t>
        </is>
      </c>
      <c r="E12" s="11" t="inlineStr">
        <is>
          <t>Keep in mind that early registration offers a 20% discount.</t>
        </is>
      </c>
      <c r="F12" s="11" t="inlineStr">
        <is>
          <t>사전 등록 시 20% 할인이 적용된다는 점을 꼭 명심하세요.</t>
        </is>
      </c>
      <c r="G12" s="5">
        <f>HYPERLINK("https://www.youtube.com/watch?v=tFSgEVuc0fs", "영상 보기 ▶")</f>
        <v/>
      </c>
    </row>
    <row r="13" ht="26" customHeight="1">
      <c r="A13" s="6" t="n">
        <v>1062</v>
      </c>
      <c r="B13" s="7" t="inlineStr">
        <is>
          <t>가슴에 새김</t>
        </is>
      </c>
      <c r="C13" s="8" t="inlineStr">
        <is>
          <t>bear in mind</t>
        </is>
      </c>
      <c r="D13" s="12" t="inlineStr">
        <is>
          <t>(주의사항을) 유념하다, 마음에 새기다</t>
        </is>
      </c>
      <c r="E13" s="12" t="inlineStr">
        <is>
          <t>Please bear in mind that deadlines cannot be extended.</t>
        </is>
      </c>
      <c r="F13" s="12" t="inlineStr">
        <is>
          <t>마감 기한은 절대 연장될 수 없음을 각별히 유념해 주시기 바랍니다.</t>
        </is>
      </c>
      <c r="G13" s="9">
        <f>HYPERLINK("https://www.youtube.com/watch?v=tFSgEVuc0fs", "영상 보기 ▶")</f>
        <v/>
      </c>
    </row>
    <row r="14" ht="26" customHeight="1">
      <c r="A14" s="2" t="n">
        <v>1063</v>
      </c>
      <c r="B14" s="3" t="inlineStr">
        <is>
          <t>뜬금없음</t>
        </is>
      </c>
      <c r="C14" s="4" t="inlineStr">
        <is>
          <t>out of the blue</t>
        </is>
      </c>
      <c r="D14" s="11" t="inlineStr">
        <is>
          <t>갑자기, 느닷없이, 마른하늘에 날벼락처럼</t>
        </is>
      </c>
      <c r="E14" s="11" t="inlineStr">
        <is>
          <t>She received a job offer out of the blue from London.</t>
        </is>
      </c>
      <c r="F14" s="11" t="inlineStr">
        <is>
          <t>그녀는 런던으로부터 정말 느닷없이 뜻밖의 입사 제안을 받았어.</t>
        </is>
      </c>
      <c r="G14" s="5">
        <f>HYPERLINK("https://www.youtube.com/watch?v=tFSgEVuc0fs", "영상 보기 ▶")</f>
        <v/>
      </c>
    </row>
    <row r="15" ht="26" customHeight="1">
      <c r="A15" s="6" t="n">
        <v>1064</v>
      </c>
      <c r="B15" s="7" t="inlineStr">
        <is>
          <t>제안 거절</t>
        </is>
      </c>
      <c r="C15" s="8" t="inlineStr">
        <is>
          <t>turn down</t>
        </is>
      </c>
      <c r="D15" s="12" t="inlineStr">
        <is>
          <t>(제안/초대를) 정중히 사양하다, 거절하다</t>
        </is>
      </c>
      <c r="E15" s="12" t="inlineStr">
        <is>
          <t>I had to turn down the promotion because of personal reasons.</t>
        </is>
      </c>
      <c r="F15" s="12" t="inlineStr">
        <is>
          <t>개인적인 사정으로 인해 승진 제안을 정중히 사양해야만 했습니다.</t>
        </is>
      </c>
      <c r="G15" s="9">
        <f>HYPERLINK("https://www.youtube.com/watch?v=tFSgEVuc0fs", "영상 보기 ▶")</f>
        <v/>
      </c>
    </row>
    <row r="16" ht="26" customHeight="1">
      <c r="A16" s="2" t="n">
        <v>1065</v>
      </c>
      <c r="B16" s="3" t="inlineStr">
        <is>
          <t>불쑥 등장</t>
        </is>
      </c>
      <c r="C16" s="4" t="inlineStr">
        <is>
          <t>turn up</t>
        </is>
      </c>
      <c r="D16" s="11" t="inlineStr">
        <is>
          <t>(뜻밖의 장소에) 불쑥 나타나다, 볼륨을 높이다</t>
        </is>
      </c>
      <c r="E16" s="11" t="inlineStr">
        <is>
          <t>He surprisingly turned up at our alumni gathering.</t>
        </is>
      </c>
      <c r="F16" s="11" t="inlineStr">
        <is>
          <t>그가 우리 동창 모임 자리에 뜻밖에도 불쑥 나타났어.</t>
        </is>
      </c>
      <c r="G16" s="5">
        <f>HYPERLINK("https://www.youtube.com/watch?v=tFSgEVuc0fs", "영상 보기 ▶")</f>
        <v/>
      </c>
    </row>
    <row r="17" ht="26" customHeight="1">
      <c r="A17" s="6" t="n">
        <v>1066</v>
      </c>
      <c r="B17" s="7" t="inlineStr">
        <is>
          <t>사양/패스</t>
        </is>
      </c>
      <c r="C17" s="8" t="inlineStr">
        <is>
          <t>pass on</t>
        </is>
      </c>
      <c r="D17" s="12" t="inlineStr">
        <is>
          <t>이번엔 사양하다, 건너뛰다</t>
        </is>
      </c>
      <c r="E17" s="12" t="inlineStr">
        <is>
          <t>I'm on a diet, so I'll pass on dessert today.</t>
        </is>
      </c>
      <c r="F17" s="12" t="inlineStr">
        <is>
          <t>나 다이어트 중이라 오늘은 디저트 사양할게.</t>
        </is>
      </c>
      <c r="G17" s="9">
        <f>HYPERLINK("https://www.youtube.com/watch?v=tFSgEVuc0fs", "영상 보기 ▶")</f>
        <v/>
      </c>
    </row>
    <row r="18" ht="26" customHeight="1">
      <c r="A18" s="2" t="n">
        <v>1067</v>
      </c>
      <c r="B18" s="3" t="inlineStr">
        <is>
          <t>다음 기약</t>
        </is>
      </c>
      <c r="C18" s="4" t="inlineStr">
        <is>
          <t>take a rain check</t>
        </is>
      </c>
      <c r="D18" s="11" t="inlineStr">
        <is>
          <t>다음을 기약하다, 다음번으로 미루다</t>
        </is>
      </c>
      <c r="E18" s="11" t="inlineStr">
        <is>
          <t>I'm swamped tonight; can I take a rain check on dinner?</t>
        </is>
      </c>
      <c r="F18" s="11" t="inlineStr">
        <is>
          <t>나 오늘 일이 너무 밀려서, 저녁 약속 다음번으로 미뤄도 될까?</t>
        </is>
      </c>
      <c r="G18" s="5">
        <f>HYPERLINK("https://www.youtube.com/watch?v=tFSgEVuc0fs", "영상 보기 ▶")</f>
        <v/>
      </c>
    </row>
    <row r="19" ht="26" customHeight="1">
      <c r="A19" s="6" t="n">
        <v>1068</v>
      </c>
      <c r="B19" s="7" t="inlineStr">
        <is>
          <t>관계 단절</t>
        </is>
      </c>
      <c r="C19" s="8" t="inlineStr">
        <is>
          <t>burn bridges</t>
        </is>
      </c>
      <c r="D19" s="12" t="inlineStr">
        <is>
          <t>(퇴사나 이직 시) 인연을 끊다, 배수진을 치다</t>
        </is>
      </c>
      <c r="E19" s="12" t="inlineStr">
        <is>
          <t>Even if you quit, never burn bridges with your former boss.</t>
        </is>
      </c>
      <c r="F19" s="12" t="inlineStr">
        <is>
          <t>회사를 떠나더라도 이전 직장 상사와는 절대 인연을 파탄 내지 마세요.</t>
        </is>
      </c>
      <c r="G19" s="9">
        <f>HYPERLINK("https://www.youtube.com/watch?v=tFSgEVuc0fs", "영상 보기 ▶")</f>
        <v/>
      </c>
    </row>
    <row r="20" ht="26" customHeight="1">
      <c r="A20" s="2" t="n">
        <v>1069</v>
      </c>
      <c r="B20" s="3" t="inlineStr">
        <is>
          <t>긍정적 측면</t>
        </is>
      </c>
      <c r="C20" s="4" t="inlineStr">
        <is>
          <t>on the bright side</t>
        </is>
      </c>
      <c r="D20" s="11" t="inlineStr">
        <is>
          <t>밝은 면을 보자면, 긍정적으로 생각하면</t>
        </is>
      </c>
      <c r="E20" s="11" t="inlineStr">
        <is>
          <t>The flight was delayed, but on the bright side, we got free meals.</t>
        </is>
      </c>
      <c r="F20" s="11" t="inlineStr">
        <is>
          <t>비행기는 연착됐지만, 밝은 면을 보자면 무료 식사를 제공받았잖아.</t>
        </is>
      </c>
      <c r="G20" s="5">
        <f>HYPERLINK("https://www.youtube.com/watch?v=tFSgEVuc0fs", "영상 보기 ▶")</f>
        <v/>
      </c>
    </row>
    <row r="21" ht="26" customHeight="1">
      <c r="A21" s="6" t="n">
        <v>1070</v>
      </c>
      <c r="B21" s="7" t="inlineStr">
        <is>
          <t>지나고 보니</t>
        </is>
      </c>
      <c r="C21" s="8" t="inlineStr">
        <is>
          <t>in hindsight</t>
        </is>
      </c>
      <c r="D21" s="12" t="inlineStr">
        <is>
          <t>지나고 나서 돌이켜보건대, 후일담으로</t>
        </is>
      </c>
      <c r="E21" s="12" t="inlineStr">
        <is>
          <t>In hindsight, we should have launched the campaign earlier.</t>
        </is>
      </c>
      <c r="F21" s="12" t="inlineStr">
        <is>
          <t>지나고 나서 돌이켜보건대, 캠페인을 더 일찍 시작했어야 했어.</t>
        </is>
      </c>
      <c r="G21" s="9">
        <f>HYPERLINK("https://www.youtube.com/watch?v=tFSgEVuc0fs", "영상 보기 ▶")</f>
        <v/>
      </c>
    </row>
    <row r="22" ht="26" customHeight="1">
      <c r="A22" s="2" t="n">
        <v>1071</v>
      </c>
      <c r="B22" s="3" t="inlineStr">
        <is>
          <t>직감/육감</t>
        </is>
      </c>
      <c r="C22" s="4" t="inlineStr">
        <is>
          <t>gut feeling</t>
        </is>
      </c>
      <c r="D22" s="11" t="inlineStr">
        <is>
          <t>(논리를 넘어선) 육감, 직감</t>
        </is>
      </c>
      <c r="E22" s="11" t="inlineStr">
        <is>
          <t>Trust your gut feeling when making difficult hires.</t>
        </is>
      </c>
      <c r="F22" s="11" t="inlineStr">
        <is>
          <t>까다로운 인재를 채용할 때는 당신의 직감을 믿어보세요.</t>
        </is>
      </c>
      <c r="G22" s="5">
        <f>HYPERLINK("https://www.youtube.com/watch?v=tFSgEVuc0fs", "영상 보기 ▶")</f>
        <v/>
      </c>
    </row>
    <row r="23" ht="26" customHeight="1">
      <c r="A23" s="6" t="n">
        <v>1072</v>
      </c>
      <c r="B23" s="7" t="inlineStr">
        <is>
          <t>즉흥 발언</t>
        </is>
      </c>
      <c r="C23" s="8" t="inlineStr">
        <is>
          <t>off the cuff</t>
        </is>
      </c>
      <c r="D23" s="12" t="inlineStr">
        <is>
          <t>(준비 없이) 즉석에서, 즉흥적으로</t>
        </is>
      </c>
      <c r="E23" s="12" t="inlineStr">
        <is>
          <t>He gave an amazing motivational speech completely off the cuff.</t>
        </is>
      </c>
      <c r="F23" s="12" t="inlineStr">
        <is>
          <t>그는 아무런 사전 준비 없이 완전히 즉석에서 감동적인 연설을 해냈어.</t>
        </is>
      </c>
      <c r="G23" s="9">
        <f>HYPERLINK("https://www.youtube.com/watch?v=tFSgEVuc0fs", "영상 보기 ▶")</f>
        <v/>
      </c>
    </row>
    <row r="24" ht="26" customHeight="1">
      <c r="A24" s="2" t="n">
        <v>1073</v>
      </c>
      <c r="B24" s="3" t="inlineStr">
        <is>
          <t>반대 입장</t>
        </is>
      </c>
      <c r="C24" s="4" t="inlineStr">
        <is>
          <t>play devil's advocate</t>
        </is>
      </c>
      <c r="D24" s="11" t="inlineStr">
        <is>
          <t>(논의를 풍부하게 하려) 일부러 반대 입장을 취하다</t>
        </is>
      </c>
      <c r="E24" s="11" t="inlineStr">
        <is>
          <t>Let me play devil's advocate: what if sales decline next year?</t>
        </is>
      </c>
      <c r="F24" s="11" t="inlineStr">
        <is>
          <t>제가 일부러 악마의 대변자 역할을 해볼게요: 내년에 매출이 떨어지면 어떡하죠?</t>
        </is>
      </c>
      <c r="G24" s="5">
        <f>HYPERLINK("https://www.youtube.com/watch?v=tFSgEVuc0fs", "영상 보기 ▶")</f>
        <v/>
      </c>
    </row>
    <row r="25" ht="26" customHeight="1">
      <c r="A25" s="6" t="n">
        <v>1074</v>
      </c>
      <c r="B25" s="7" t="inlineStr">
        <is>
          <t>대략 수치</t>
        </is>
      </c>
      <c r="C25" s="8" t="inlineStr">
        <is>
          <t>ballpark figure</t>
        </is>
      </c>
      <c r="D25" s="12" t="inlineStr">
        <is>
          <t>어림잡은 수치, 대략적인 견적</t>
        </is>
      </c>
      <c r="E25" s="12" t="inlineStr">
        <is>
          <t>Can you give me a ballpark figure for the venue rental?</t>
        </is>
      </c>
      <c r="F25" s="12" t="inlineStr">
        <is>
          <t>행사장 대관료가 대략 얼마 정도 나올지 어림 견적을 주실 수 있나요?</t>
        </is>
      </c>
      <c r="G25" s="9">
        <f>HYPERLINK("https://www.youtube.com/watch?v=tFSgEVuc0fs", "영상 보기 ▶")</f>
        <v/>
      </c>
    </row>
    <row r="26" ht="26" customHeight="1">
      <c r="A26" s="2" t="n">
        <v>1075</v>
      </c>
      <c r="B26" s="3" t="inlineStr">
        <is>
          <t>경험 법칙</t>
        </is>
      </c>
      <c r="C26" s="4" t="inlineStr">
        <is>
          <t>rule of thumb</t>
        </is>
      </c>
      <c r="D26" s="11" t="inlineStr">
        <is>
          <t>경험에 따른 유용한 기본 법칙/지침</t>
        </is>
      </c>
      <c r="E26" s="11" t="inlineStr">
        <is>
          <t>As a rule of thumb, allocate 20% of your time to testing.</t>
        </is>
      </c>
      <c r="F26" s="11" t="inlineStr">
        <is>
          <t>경험적 법칙에 따르면 업무 시간의 20%는 검증과 테스트에 배정해야 합니다.</t>
        </is>
      </c>
      <c r="G26" s="5">
        <f>HYPERLINK("https://www.youtube.com/watch?v=tFSgEVuc0fs", "영상 보기 ▶")</f>
        <v/>
      </c>
    </row>
    <row r="27" ht="26" customHeight="1">
      <c r="A27" s="6" t="n">
        <v>1076</v>
      </c>
      <c r="B27" s="7" t="inlineStr">
        <is>
          <t>절차 생략</t>
        </is>
      </c>
      <c r="C27" s="8" t="inlineStr">
        <is>
          <t>cut corners</t>
        </is>
      </c>
      <c r="D27" s="12" t="inlineStr">
        <is>
          <t>(원가/시간을 아끼려) 원칙을 어기고 대충 하다</t>
        </is>
      </c>
      <c r="E27" s="12" t="inlineStr">
        <is>
          <t>Never cut corners when it comes to user safety.</t>
        </is>
      </c>
      <c r="F27" s="12" t="inlineStr">
        <is>
          <t>사용자 안전에 관한 한 절대 편법을 쓰거나 대충 넘어가선 안 됩니다.</t>
        </is>
      </c>
      <c r="G27" s="9">
        <f>HYPERLINK("https://www.youtube.com/watch?v=tFSgEVuc0fs", "영상 보기 ▶")</f>
        <v/>
      </c>
    </row>
    <row r="28" ht="26" customHeight="1">
      <c r="A28" s="2" t="n">
        <v>1077</v>
      </c>
      <c r="B28" s="3" t="inlineStr">
        <is>
          <t>너그러움</t>
        </is>
      </c>
      <c r="C28" s="4" t="inlineStr">
        <is>
          <t>cut slack</t>
        </is>
      </c>
      <c r="D28" s="11" t="inlineStr">
        <is>
          <t>사정을 봐주다, 융통성 있게 눈감아주다</t>
        </is>
      </c>
      <c r="E28" s="11" t="inlineStr">
        <is>
          <t>Please cut the intern some slack; she's still learning.</t>
        </is>
      </c>
      <c r="F28" s="11" t="inlineStr">
        <is>
          <t>인턴 친구 사정 좀 봐주세요, 아직 배우는 단계잖아요.</t>
        </is>
      </c>
      <c r="G28" s="5">
        <f>HYPERLINK("https://www.youtube.com/watch?v=tFSgEVuc0fs", "영상 보기 ▶")</f>
        <v/>
      </c>
    </row>
    <row r="29" ht="26" customHeight="1">
      <c r="A29" s="6" t="n">
        <v>1078</v>
      </c>
      <c r="B29" s="7" t="inlineStr">
        <is>
          <t>핵심 본질</t>
        </is>
      </c>
      <c r="C29" s="8" t="inlineStr">
        <is>
          <t>bottom line</t>
        </is>
      </c>
      <c r="D29" s="12" t="inlineStr">
        <is>
          <t>최종 결론, 핵심 요점, 순이익</t>
        </is>
      </c>
      <c r="E29" s="12" t="inlineStr">
        <is>
          <t>The bottom line is that we need to increase retention.</t>
        </is>
      </c>
      <c r="F29" s="12" t="inlineStr">
        <is>
          <t>핵심 본질은 고객 유지율을 반드시 끌어올려야 한다는 점입니다.</t>
        </is>
      </c>
      <c r="G29" s="9">
        <f>HYPERLINK("https://www.youtube.com/watch?v=tFSgEVuc0fs", "영상 보기 ▶")</f>
        <v/>
      </c>
    </row>
    <row r="30" ht="26" customHeight="1">
      <c r="A30" s="2" t="n">
        <v>1079</v>
      </c>
      <c r="B30" s="3" t="inlineStr">
        <is>
          <t>양보 타협</t>
        </is>
      </c>
      <c r="C30" s="4" t="inlineStr">
        <is>
          <t>meet halfway</t>
        </is>
      </c>
      <c r="D30" s="11" t="inlineStr">
        <is>
          <t>중간 지점에서 서로 절충하다/양보하다</t>
        </is>
      </c>
      <c r="E30" s="11" t="inlineStr">
        <is>
          <t>If you reduce the price by 5%, we can meet halfway.</t>
        </is>
      </c>
      <c r="F30" s="11" t="inlineStr">
        <is>
          <t>가격을 5%만 낮춰주신다면 저희도 절충하여 수용할 수 있습니다.</t>
        </is>
      </c>
      <c r="G30" s="5">
        <f>HYPERLINK("https://www.youtube.com/watch?v=tFSgEVuc0fs", "영상 보기 ▶")</f>
        <v/>
      </c>
    </row>
    <row r="31" ht="26" customHeight="1">
      <c r="A31" s="6" t="n">
        <v>1080</v>
      </c>
      <c r="B31" s="7" t="inlineStr">
        <is>
          <t>합의 도달</t>
        </is>
      </c>
      <c r="C31" s="8" t="inlineStr">
        <is>
          <t>reach a compromise</t>
        </is>
      </c>
      <c r="D31" s="12" t="inlineStr">
        <is>
          <t>절충점에 도달하다, 합의를 이끌어내다</t>
        </is>
      </c>
      <c r="E31" s="12" t="inlineStr">
        <is>
          <t>After intense debates, both sides finally reached a compromise.</t>
        </is>
      </c>
      <c r="F31" s="12" t="inlineStr">
        <is>
          <t>치열한 토론 끝에 양측은 마침내 원만한 절충안에 합의했습니다.</t>
        </is>
      </c>
      <c r="G31" s="9">
        <f>HYPERLINK("https://www.youtube.com/watch?v=tFSgEVuc0fs", "영상 보기 ▶")</f>
        <v/>
      </c>
    </row>
    <row r="32" ht="26" customHeight="1">
      <c r="A32" s="2" t="n">
        <v>1081</v>
      </c>
      <c r="B32" s="3" t="inlineStr">
        <is>
          <t>기피 난제</t>
        </is>
      </c>
      <c r="C32" s="4" t="inlineStr">
        <is>
          <t>elephant in the room</t>
        </is>
      </c>
      <c r="D32" s="11" t="inlineStr">
        <is>
          <t>모두가 알고 있지만 꺼내기 껄끄러워 쉬쉬하는 큰 문제</t>
        </is>
      </c>
      <c r="E32" s="11" t="inlineStr">
        <is>
          <t>Let's stop avoiding the elephant in the room and discuss layoffs.</t>
        </is>
      </c>
      <c r="F32" s="11" t="inlineStr">
        <is>
          <t>쉬쉬하며 피하지만 말고, 구조조정이라는 껄끄러운 문제를 솔직히 털어놓읍시다.</t>
        </is>
      </c>
      <c r="G32" s="5">
        <f>HYPERLINK("https://www.youtube.com/watch?v=tFSgEVuc0fs", "영상 보기 ▶")</f>
        <v/>
      </c>
    </row>
    <row r="33" ht="26" customHeight="1">
      <c r="A33" s="6" t="n">
        <v>1082</v>
      </c>
      <c r="B33" s="7" t="inlineStr">
        <is>
          <t>현황 소통</t>
        </is>
      </c>
      <c r="C33" s="8" t="inlineStr">
        <is>
          <t>touch base</t>
        </is>
      </c>
      <c r="D33" s="12" t="inlineStr">
        <is>
          <t>간단히 현황을 확인하다, 연락을 취하다</t>
        </is>
      </c>
      <c r="E33" s="12" t="inlineStr">
        <is>
          <t>I'll touch base with you after the client call.</t>
        </is>
      </c>
      <c r="F33" s="12" t="inlineStr">
        <is>
          <t>고객사 통화가 끝나는 대로 간단히 연락드려 상황 공유할게요.</t>
        </is>
      </c>
      <c r="G33" s="9">
        <f>HYPERLINK("https://www.youtube.com/watch?v=tFSgEVuc0fs", "영상 보기 ▶")</f>
        <v/>
      </c>
    </row>
    <row r="34" ht="26" customHeight="1">
      <c r="A34" s="2" t="n">
        <v>1083</v>
      </c>
      <c r="B34" s="3" t="inlineStr">
        <is>
          <t>결정 보류</t>
        </is>
      </c>
      <c r="C34" s="4" t="inlineStr">
        <is>
          <t>on the fence</t>
        </is>
      </c>
      <c r="D34" s="11" t="inlineStr">
        <is>
          <t>결정을 내리지 못하고 망설이는</t>
        </is>
      </c>
      <c r="E34" s="11" t="inlineStr">
        <is>
          <t>Many customers are still on the fence about upgrading.</t>
        </is>
      </c>
      <c r="F34" s="11" t="inlineStr">
        <is>
          <t>많은 고객이 업그레이드를 할지 말지 여전히 망설이고 있습니다.</t>
        </is>
      </c>
      <c r="G34" s="5">
        <f>HYPERLINK("https://www.youtube.com/watch?v=tFSgEVuc0fs", "영상 보기 ▶")</f>
        <v/>
      </c>
    </row>
    <row r="35" ht="26" customHeight="1">
      <c r="A35" s="6" t="n">
        <v>1084</v>
      </c>
      <c r="B35" s="7" t="inlineStr">
        <is>
          <t>이해 납득</t>
        </is>
      </c>
      <c r="C35" s="8" t="inlineStr">
        <is>
          <t>wrap one's head around</t>
        </is>
      </c>
      <c r="D35" s="12" t="inlineStr">
        <is>
          <t>(복잡한 사실을) 온전히 이해하고 소화하다</t>
        </is>
      </c>
      <c r="E35" s="12" t="inlineStr">
        <is>
          <t>It's hard to wrap my head around these massive data sets.</t>
        </is>
      </c>
      <c r="F35" s="12" t="inlineStr">
        <is>
          <t>이 방대한 데이터셋을 온전히 이해하고 납득하기가 쉽지 않네요.</t>
        </is>
      </c>
      <c r="G35" s="9">
        <f>HYPERLINK("https://www.youtube.com/watch?v=tFSgEVuc0fs", "영상 보기 ▶")</f>
        <v/>
      </c>
    </row>
    <row r="36" ht="26" customHeight="1">
      <c r="A36" s="2" t="n">
        <v>1085</v>
      </c>
      <c r="B36" s="3" t="inlineStr">
        <is>
          <t>일과 마무리</t>
        </is>
      </c>
      <c r="C36" s="4" t="inlineStr">
        <is>
          <t>wrap up</t>
        </is>
      </c>
      <c r="D36" s="11" t="inlineStr">
        <is>
          <t>마무리하다, 매듭짓다</t>
        </is>
      </c>
      <c r="E36" s="11" t="inlineStr">
        <is>
          <t>Let's wrap up our discussion and summarize action items.</t>
        </is>
      </c>
      <c r="F36" s="11" t="inlineStr">
        <is>
          <t>논의를 마무리 짓고 실행 과제들을 정리해 봅시다.</t>
        </is>
      </c>
      <c r="G36" s="5">
        <f>HYPERLINK("https://www.youtube.com/watch?v=tFSgEVuc0fs", "영상 보기 ▶")</f>
        <v/>
      </c>
    </row>
    <row r="37" ht="26" customHeight="1">
      <c r="A37" s="6" t="n">
        <v>1086</v>
      </c>
      <c r="B37" s="7" t="inlineStr">
        <is>
          <t>즉각 기억</t>
        </is>
      </c>
      <c r="C37" s="8" t="inlineStr">
        <is>
          <t>off the top of my head</t>
        </is>
      </c>
      <c r="D37" s="12" t="inlineStr">
        <is>
          <t>지금 당장 기억나는 바로는, 얼핏 생각하기론</t>
        </is>
      </c>
      <c r="E37" s="12" t="inlineStr">
        <is>
          <t>Off the top of my head, I think we have around 50 licenses.</t>
        </is>
      </c>
      <c r="F37" s="12" t="inlineStr">
        <is>
          <t>지금 당장 얼핏 생각나는 바로는 라이선스가 대략 50개쯤 있을 거예요.</t>
        </is>
      </c>
      <c r="G37" s="9">
        <f>HYPERLINK("https://www.youtube.com/watch?v=tFSgEVuc0fs", "영상 보기 ▶")</f>
        <v/>
      </c>
    </row>
    <row r="38" ht="26" customHeight="1">
      <c r="A38" s="2" t="n">
        <v>1087</v>
      </c>
      <c r="B38" s="3" t="inlineStr">
        <is>
          <t>배제</t>
        </is>
      </c>
      <c r="C38" s="4" t="inlineStr">
        <is>
          <t>off the table</t>
        </is>
      </c>
      <c r="D38" s="11" t="inlineStr">
        <is>
          <t>논외인, 협상 테이블에서 완전히 제외된</t>
        </is>
      </c>
      <c r="E38" s="11" t="inlineStr">
        <is>
          <t>Selling the company is completely off the table.</t>
        </is>
      </c>
      <c r="F38" s="11" t="inlineStr">
        <is>
          <t>회사를 매각하는 방안은 완전히 논외 대상입니다.</t>
        </is>
      </c>
      <c r="G38" s="5">
        <f>HYPERLINK("https://www.youtube.com/watch?v=tFSgEVuc0fs", "영상 보기 ▶")</f>
        <v/>
      </c>
    </row>
    <row r="39" ht="26" customHeight="1">
      <c r="A39" s="6" t="n">
        <v>1088</v>
      </c>
      <c r="B39" s="7" t="inlineStr">
        <is>
          <t>고려 대상</t>
        </is>
      </c>
      <c r="C39" s="8" t="inlineStr">
        <is>
          <t>on the table</t>
        </is>
      </c>
      <c r="D39" s="12" t="inlineStr">
        <is>
          <t>논의 중인, 검토 가능한 상태인</t>
        </is>
      </c>
      <c r="E39" s="12" t="inlineStr">
        <is>
          <t>All cost-saving proposals are currently on the table.</t>
        </is>
      </c>
      <c r="F39" s="12" t="inlineStr">
        <is>
          <t>비용 절감을 위한 모든 제안이 현재 공식 검토 대상에 올라와 있습니다.</t>
        </is>
      </c>
      <c r="G39" s="9">
        <f>HYPERLINK("https://www.youtube.com/watch?v=tFSgEVuc0fs", "영상 보기 ▶")</f>
        <v/>
      </c>
    </row>
    <row r="40" ht="26" customHeight="1">
      <c r="A40" s="2" t="n">
        <v>1089</v>
      </c>
      <c r="B40" s="3" t="inlineStr">
        <is>
          <t>기여 역량</t>
        </is>
      </c>
      <c r="C40" s="4" t="inlineStr">
        <is>
          <t>bring to the table</t>
        </is>
      </c>
      <c r="D40" s="11" t="inlineStr">
        <is>
          <t>(협상이나 조직에) 역량이나 이득을 기여하다</t>
        </is>
      </c>
      <c r="E40" s="11" t="inlineStr">
        <is>
          <t>Her extensive international experience brings a lot to the table.</t>
        </is>
      </c>
      <c r="F40" s="11" t="inlineStr">
        <is>
          <t>그녀의 풍부한 해외 비즈니스 경험은 우리 팀에 큰 가치를 가져다줍니다.</t>
        </is>
      </c>
      <c r="G40" s="5">
        <f>HYPERLINK("https://www.youtube.com/watch?v=tFSgEVuc0fs", "영상 보기 ▶")</f>
        <v/>
      </c>
    </row>
    <row r="41" ht="26" customHeight="1">
      <c r="A41" s="6" t="n">
        <v>1090</v>
      </c>
      <c r="B41" s="7" t="inlineStr">
        <is>
          <t>관료주의</t>
        </is>
      </c>
      <c r="C41" s="8" t="inlineStr">
        <is>
          <t>red tape</t>
        </is>
      </c>
      <c r="D41" s="12" t="inlineStr">
        <is>
          <t>형식적인 관료주의 절차, 번거로운 규제</t>
        </is>
      </c>
      <c r="E41" s="12" t="inlineStr">
        <is>
          <t>Too much government red tape delays startup funding.</t>
        </is>
      </c>
      <c r="F41" s="12" t="inlineStr">
        <is>
          <t>과도한 관료주의적 규제 절차는 스타트업 자금 지원을 지연시킵니다.</t>
        </is>
      </c>
      <c r="G41" s="9">
        <f>HYPERLINK("https://www.youtube.com/watch?v=tFSgEVuc0fs", "영상 보기 ▶")</f>
        <v/>
      </c>
    </row>
    <row r="42" ht="26" customHeight="1">
      <c r="A42" s="2" t="n">
        <v>1091</v>
      </c>
      <c r="B42" s="3" t="inlineStr">
        <is>
          <t>막후 수고</t>
        </is>
      </c>
      <c r="C42" s="4" t="inlineStr">
        <is>
          <t>behind the scenes</t>
        </is>
      </c>
      <c r="D42" s="11" t="inlineStr">
        <is>
          <t>보이지 않는 무대 뒤에서, 막후에서</t>
        </is>
      </c>
      <c r="E42" s="11" t="inlineStr">
        <is>
          <t>A lot of hard work goes on behind the scenes before a concert.</t>
        </is>
      </c>
      <c r="F42" s="11" t="inlineStr">
        <is>
          <t>콘서트가 열리기 전 보이지 않는 막후에서 엄청난 노력이 이뤄집니다.</t>
        </is>
      </c>
      <c r="G42" s="5">
        <f>HYPERLINK("https://www.youtube.com/watch?v=tFSgEVuc0fs", "영상 보기 ▶")</f>
        <v/>
      </c>
    </row>
    <row r="43" ht="26" customHeight="1">
      <c r="A43" s="6" t="n">
        <v>1092</v>
      </c>
      <c r="B43" s="7" t="inlineStr">
        <is>
          <t>정보 공유선</t>
        </is>
      </c>
      <c r="C43" s="8" t="inlineStr">
        <is>
          <t>in the loop</t>
        </is>
      </c>
      <c r="D43" s="12" t="inlineStr">
        <is>
          <t>정보 공유 대상에 포함되어 있는</t>
        </is>
      </c>
      <c r="E43" s="12" t="inlineStr">
        <is>
          <t>Keep me in the loop regarding any design modifications.</t>
        </is>
      </c>
      <c r="F43" s="12" t="inlineStr">
        <is>
          <t>디자인 수정 사항이 생기면 저도 계속 공유선에 넣어주세요.</t>
        </is>
      </c>
      <c r="G43" s="9">
        <f>HYPERLINK("https://www.youtube.com/watch?v=tFSgEVuc0fs", "영상 보기 ▶")</f>
        <v/>
      </c>
    </row>
    <row r="44" ht="26" customHeight="1">
      <c r="A44" s="2" t="n">
        <v>1093</v>
      </c>
      <c r="B44" s="3" t="inlineStr">
        <is>
          <t>진행 보고</t>
        </is>
      </c>
      <c r="C44" s="4" t="inlineStr">
        <is>
          <t>keep me posted</t>
        </is>
      </c>
      <c r="D44" s="11" t="inlineStr">
        <is>
          <t>어떻게 진행되는지 계속 상황을 알려줘</t>
        </is>
      </c>
      <c r="E44" s="11" t="inlineStr">
        <is>
          <t>Please keep me posted on the client's final feedback.</t>
        </is>
      </c>
      <c r="F44" s="11" t="inlineStr">
        <is>
          <t>고객사의 최종 피드백이 어떻게 나오는지 계속 알려주세요.</t>
        </is>
      </c>
      <c r="G44" s="5">
        <f>HYPERLINK("https://www.youtube.com/watch?v=tFSgEVuc0fs", "영상 보기 ▶")</f>
        <v/>
      </c>
    </row>
    <row r="45" ht="26" customHeight="1">
      <c r="A45" s="6" t="n">
        <v>1094</v>
      </c>
      <c r="B45" s="7" t="inlineStr">
        <is>
          <t>사전 언질</t>
        </is>
      </c>
      <c r="C45" s="8" t="inlineStr">
        <is>
          <t>give me a heads-up</t>
        </is>
      </c>
      <c r="D45" s="12" t="inlineStr">
        <is>
          <t>미리 귀띔해 주다, 사전 안내를 주다</t>
        </is>
      </c>
      <c r="E45" s="12" t="inlineStr">
        <is>
          <t>Thanks for giving me a heads-up before the inspection.</t>
        </is>
      </c>
      <c r="F45" s="12" t="inlineStr">
        <is>
          <t>정기 검사 전에 미리 귀띔해 주셔서 정말 감사합니다.</t>
        </is>
      </c>
      <c r="G45" s="9">
        <f>HYPERLINK("https://www.youtube.com/watch?v=tFSgEVuc0fs", "영상 보기 ▶")</f>
        <v/>
      </c>
    </row>
    <row r="46" ht="26" customHeight="1">
      <c r="A46" s="2" t="n">
        <v>1095</v>
      </c>
      <c r="B46" s="3" t="inlineStr">
        <is>
          <t>전면 일괄</t>
        </is>
      </c>
      <c r="C46" s="4" t="inlineStr">
        <is>
          <t>across the board</t>
        </is>
      </c>
      <c r="D46" s="11" t="inlineStr">
        <is>
          <t>전반에 걸쳐 일괄적으로</t>
        </is>
      </c>
      <c r="E46" s="11" t="inlineStr">
        <is>
          <t>The new safety protocols apply across the board to all teams.</t>
        </is>
      </c>
      <c r="F46" s="11" t="inlineStr">
        <is>
          <t>새로운 안전 지침은 모든 팀에 예외 없이 전면 일괄 적용됩니다.</t>
        </is>
      </c>
      <c r="G46" s="5">
        <f>HYPERLINK("https://www.youtube.com/watch?v=tFSgEVuc0fs", "영상 보기 ▶")</f>
        <v/>
      </c>
    </row>
    <row r="47" ht="26" customHeight="1">
      <c r="A47" s="6" t="n">
        <v>1096</v>
      </c>
      <c r="B47" s="7" t="inlineStr">
        <is>
          <t>맨바닥</t>
        </is>
      </c>
      <c r="C47" s="8" t="inlineStr">
        <is>
          <t>from scratch</t>
        </is>
      </c>
      <c r="D47" s="12" t="inlineStr">
        <is>
          <t>아무런 밑천 없이 맨 처음 바닥부터</t>
        </is>
      </c>
      <c r="E47" s="12" t="inlineStr">
        <is>
          <t>We built our entire customer database from scratch.</t>
        </is>
      </c>
      <c r="F47" s="12" t="inlineStr">
        <is>
          <t>우리는 고객 데이터베이스 전체를 맨 바닥부터 직접 구축했습니다.</t>
        </is>
      </c>
      <c r="G47" s="9">
        <f>HYPERLINK("https://www.youtube.com/watch?v=tFSgEVuc0fs", "영상 보기 ▶")</f>
        <v/>
      </c>
    </row>
    <row r="48" ht="26" customHeight="1">
      <c r="A48" s="2" t="n">
        <v>1097</v>
      </c>
      <c r="B48" s="3" t="inlineStr">
        <is>
          <t>원점 재시작</t>
        </is>
      </c>
      <c r="C48" s="4" t="inlineStr">
        <is>
          <t>back to the drawing board</t>
        </is>
      </c>
      <c r="D48" s="11" t="inlineStr">
        <is>
          <t>원점으로 돌아가 백지상태에서 다시 시작하다</t>
        </is>
      </c>
      <c r="E48" s="11" t="inlineStr">
        <is>
          <t>The prototype failed the test, so it's back to the drawing board.</t>
        </is>
      </c>
      <c r="F48" s="11" t="inlineStr">
        <is>
          <t>시제품이 테스트에 불합격했으니 처음 원점으로 돌아가 다시 설계해야 해.</t>
        </is>
      </c>
      <c r="G48" s="5">
        <f>HYPERLINK("https://www.youtube.com/watch?v=tFSgEVuc0fs", "영상 보기 ▶")</f>
        <v/>
      </c>
    </row>
    <row r="49" ht="26" customHeight="1">
      <c r="A49" s="6" t="n">
        <v>1098</v>
      </c>
      <c r="B49" s="7" t="inlineStr">
        <is>
          <t>초반 질주</t>
        </is>
      </c>
      <c r="C49" s="8" t="inlineStr">
        <is>
          <t>hit the ground running</t>
        </is>
      </c>
      <c r="D49" s="12" t="inlineStr">
        <is>
          <t>시작부터 지체 없이 빠르게 성과를 내다</t>
        </is>
      </c>
      <c r="E49" s="12" t="inlineStr">
        <is>
          <t>With her experience, she will hit the ground running immediately.</t>
        </is>
      </c>
      <c r="F49" s="12" t="inlineStr">
        <is>
          <t>그녀의 풍부한 경험 덕분에 입사하자마자 첫날부터 빠르게 성과를 낼 거야.</t>
        </is>
      </c>
      <c r="G49" s="9">
        <f>HYPERLINK("https://www.youtube.com/watch?v=tFSgEVuc0fs", "영상 보기 ▶")</f>
        <v/>
      </c>
    </row>
    <row r="50" ht="26" customHeight="1">
      <c r="A50" s="2" t="n">
        <v>1099</v>
      </c>
      <c r="B50" s="3" t="inlineStr">
        <is>
          <t>최종 결산</t>
        </is>
      </c>
      <c r="C50" s="4" t="inlineStr">
        <is>
          <t>at the end of the day</t>
        </is>
      </c>
      <c r="D50" s="11" t="inlineStr">
        <is>
          <t>결국, 하루를 결산하며 가장 중요한 본질은</t>
        </is>
      </c>
      <c r="E50" s="11" t="inlineStr">
        <is>
          <t>At the end of the day, delivering quality is our true mission.</t>
        </is>
      </c>
      <c r="F50" s="11" t="inlineStr">
        <is>
          <t>결국 가장 중요한 본질은 최고의 품질을 고객에게 제공하는 것입니다.</t>
        </is>
      </c>
      <c r="G50" s="5">
        <f>HYPERLINK("https://www.youtube.com/watch?v=tFSgEVuc0fs", "영상 보기 ▶")</f>
        <v/>
      </c>
    </row>
    <row r="51" ht="26" customHeight="1">
      <c r="A51" s="6" t="n">
        <v>1100</v>
      </c>
      <c r="B51" s="7" t="inlineStr">
        <is>
          <t>현실 수용</t>
        </is>
      </c>
      <c r="C51" s="8" t="inlineStr">
        <is>
          <t>It is what it is</t>
        </is>
      </c>
      <c r="D51" s="12" t="inlineStr">
        <is>
          <t>어쩔 수 없는 일이지, 담담히 받아들여야지</t>
        </is>
      </c>
      <c r="E51" s="12" t="inlineStr">
        <is>
          <t>We can't change the past; it is what it is, so let's move on.</t>
        </is>
      </c>
      <c r="F51" s="12" t="inlineStr">
        <is>
          <t>지나간 과거를 바꿀 순 없어, 현실을 담담히 인정하고 앞으로 나아가자.</t>
        </is>
      </c>
      <c r="G51" s="9">
        <f>HYPERLINK("https://www.youtube.com/watch?v=tFSgEVuc0fs", "영상 보기 ▶")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.2" customWidth="1" min="2" max="2"/>
    <col width="34" customWidth="1" min="3" max="3"/>
    <col width="44.9" customWidth="1" min="4" max="4"/>
    <col width="75" customWidth="1" min="5" max="5"/>
    <col width="66.7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1101</v>
      </c>
      <c r="B2" s="3" t="inlineStr">
        <is>
          <t>소통 확인</t>
        </is>
      </c>
      <c r="C2" s="4" t="inlineStr">
        <is>
          <t>touch base</t>
        </is>
      </c>
      <c r="D2" s="11" t="inlineStr">
        <is>
          <t>간단히 현황을 확인하다/소통하다</t>
        </is>
      </c>
      <c r="E2" s="11" t="inlineStr">
        <is>
          <t>Let's touch base first thing tomorrow morning.</t>
        </is>
      </c>
      <c r="F2" s="11" t="inlineStr">
        <is>
          <t>내일 아침 출근하자마자 간단히 현황 확인차 이야기 나눕시다.</t>
        </is>
      </c>
      <c r="G2" s="5">
        <f>HYPERLINK("https://www.youtube.com/watch?v=0dtzgvFN2LI", "영상 보기 ▶")</f>
        <v/>
      </c>
    </row>
    <row r="3" ht="26" customHeight="1">
      <c r="A3" s="6" t="n">
        <v>1102</v>
      </c>
      <c r="B3" s="7" t="inlineStr">
        <is>
          <t>간략 언급</t>
        </is>
      </c>
      <c r="C3" s="8" t="inlineStr">
        <is>
          <t>touch on</t>
        </is>
      </c>
      <c r="D3" s="12" t="inlineStr">
        <is>
          <t>(회의에서 주제를) 간단히 짚고 넘어가다/언급하다</t>
        </is>
      </c>
      <c r="E3" s="12" t="inlineStr">
        <is>
          <t>I'd like to briefly touch on the upcoming budget review.</t>
        </is>
      </c>
      <c r="F3" s="12" t="inlineStr">
        <is>
          <t>곧 있을 예산 심의 건에 대해 간단히 짚고 넘어가고자 합니다.</t>
        </is>
      </c>
      <c r="G3" s="9">
        <f>HYPERLINK("https://www.youtube.com/watch?v=0dtzgvFN2LI", "영상 보기 ▶")</f>
        <v/>
      </c>
    </row>
    <row r="4" ht="26" customHeight="1">
      <c r="A4" s="2" t="n">
        <v>1103</v>
      </c>
      <c r="B4" s="3" t="inlineStr">
        <is>
          <t>민감한 사안</t>
        </is>
      </c>
      <c r="C4" s="4" t="inlineStr">
        <is>
          <t>touchy</t>
        </is>
      </c>
      <c r="D4" s="11" t="inlineStr">
        <is>
          <t>민감한, 조심해서 다뤄야 하는, 예민한</t>
        </is>
      </c>
      <c r="E4" s="11" t="inlineStr">
        <is>
          <t>Compensation is always a touchy issue among colleagues.</t>
        </is>
      </c>
      <c r="F4" s="11" t="inlineStr">
        <is>
          <t>급여 문제는 동료들 사이에서 언제나 대단히 민감한 사안입니다.</t>
        </is>
      </c>
      <c r="G4" s="5">
        <f>HYPERLINK("https://www.youtube.com/watch?v=0dtzgvFN2LI", "영상 보기 ▶")</f>
        <v/>
      </c>
    </row>
    <row r="5" ht="26" customHeight="1">
      <c r="A5" s="6" t="n">
        <v>1104</v>
      </c>
      <c r="B5" s="7" t="inlineStr">
        <is>
          <t>소원해짐</t>
        </is>
      </c>
      <c r="C5" s="8" t="inlineStr">
        <is>
          <t>lose touch</t>
        </is>
      </c>
      <c r="D5" s="12" t="inlineStr">
        <is>
          <t>연락이 뜸해지다, 감각을 잃다</t>
        </is>
      </c>
      <c r="E5" s="12" t="inlineStr">
        <is>
          <t>I lost touch with many university friends after moving abroad.</t>
        </is>
      </c>
      <c r="F5" s="12" t="inlineStr">
        <is>
          <t>해외로 이주한 후 대학교 친구들과 연락이 뜸해졌어.</t>
        </is>
      </c>
      <c r="G5" s="9">
        <f>HYPERLINK("https://www.youtube.com/watch?v=0dtzgvFN2LI", "영상 보기 ▶")</f>
        <v/>
      </c>
    </row>
    <row r="6" ht="26" customHeight="1">
      <c r="A6" s="2" t="n">
        <v>1105</v>
      </c>
      <c r="B6" s="3" t="inlineStr">
        <is>
          <t>현실 감각 부재</t>
        </is>
      </c>
      <c r="C6" s="4" t="inlineStr">
        <is>
          <t>out of touch</t>
        </is>
      </c>
      <c r="D6" s="11" t="inlineStr">
        <is>
          <t>세상 물정/현실 감각을 모르는</t>
        </is>
      </c>
      <c r="E6" s="11" t="inlineStr">
        <is>
          <t>Management seems out of touch with employee needs.</t>
        </is>
      </c>
      <c r="F6" s="11" t="inlineStr">
        <is>
          <t>경영진은 직원들의 실제 고충과 요구를 전혀 모르는 것 같아.</t>
        </is>
      </c>
      <c r="G6" s="5">
        <f>HYPERLINK("https://www.youtube.com/watch?v=0dtzgvFN2LI", "영상 보기 ▶")</f>
        <v/>
      </c>
    </row>
    <row r="7" ht="26" customHeight="1">
      <c r="A7" s="6" t="n">
        <v>1106</v>
      </c>
      <c r="B7" s="7" t="inlineStr">
        <is>
          <t>연락 유지</t>
        </is>
      </c>
      <c r="C7" s="8" t="inlineStr">
        <is>
          <t>stay in touch</t>
        </is>
      </c>
      <c r="D7" s="12" t="inlineStr">
        <is>
          <t>계속 연락하고 지내다</t>
        </is>
      </c>
      <c r="E7" s="12" t="inlineStr">
        <is>
          <t>It was great working with you; let's stay in touch!</t>
        </is>
      </c>
      <c r="F7" s="12" t="inlineStr">
        <is>
          <t>함께 일해서 정말 좋았습니다, 앞으로도 계속 연락하고 지내요!</t>
        </is>
      </c>
      <c r="G7" s="9">
        <f>HYPERLINK("https://www.youtube.com/watch?v=0dtzgvFN2LI", "영상 보기 ▶")</f>
        <v/>
      </c>
    </row>
    <row r="8" ht="26" customHeight="1">
      <c r="A8" s="2" t="n">
        <v>1107</v>
      </c>
      <c r="B8" s="3" t="inlineStr">
        <is>
          <t>연락 지속</t>
        </is>
      </c>
      <c r="C8" s="4" t="inlineStr">
        <is>
          <t>keep in touch</t>
        </is>
      </c>
      <c r="D8" s="11" t="inlineStr">
        <is>
          <t>연락을 이어가다</t>
        </is>
      </c>
      <c r="E8" s="11" t="inlineStr">
        <is>
          <t>Drop me an email whenever you're in town; keep in touch!</t>
        </is>
      </c>
      <c r="F8" s="11" t="inlineStr">
        <is>
          <t>서울 오실 때 언제든 이메일 주세요, 계속 연락해요!</t>
        </is>
      </c>
      <c r="G8" s="5">
        <f>HYPERLINK("https://www.youtube.com/watch?v=0dtzgvFN2LI", "영상 보기 ▶")</f>
        <v/>
      </c>
    </row>
    <row r="9" ht="26" customHeight="1">
      <c r="A9" s="6" t="n">
        <v>1108</v>
      </c>
      <c r="B9" s="7" t="inlineStr">
        <is>
          <t>불안정한 상황</t>
        </is>
      </c>
      <c r="C9" s="8" t="inlineStr">
        <is>
          <t>touch and go</t>
        </is>
      </c>
      <c r="D9" s="12" t="inlineStr">
        <is>
          <t>아슬아슬하고 불확실한 상황인</t>
        </is>
      </c>
      <c r="E9" s="12" t="inlineStr">
        <is>
          <t>The patient's recovery was touch and go for the first 24 hours.</t>
        </is>
      </c>
      <c r="F9" s="12" t="inlineStr">
        <is>
          <t>환자의 초기 24시간 회복 경과는 대단히 아슬아슬하고 위태로웠습니다.</t>
        </is>
      </c>
      <c r="G9" s="9">
        <f>HYPERLINK("https://www.youtube.com/watch?v=0dtzgvFN2LI", "영상 보기 ▶")</f>
        <v/>
      </c>
    </row>
    <row r="10" ht="26" customHeight="1">
      <c r="A10" s="2" t="n">
        <v>1109</v>
      </c>
      <c r="B10" s="3" t="inlineStr">
        <is>
          <t>유독 약함</t>
        </is>
      </c>
      <c r="C10" s="4" t="inlineStr">
        <is>
          <t>soft spot</t>
        </is>
      </c>
      <c r="D10" s="11" t="inlineStr">
        <is>
          <t>~에게 유독 마음이 약하고 애정이 감</t>
        </is>
      </c>
      <c r="E10" s="11" t="inlineStr">
        <is>
          <t>He has a soft spot for stray animals and often rescues them.</t>
        </is>
      </c>
      <c r="F10" s="11" t="inlineStr">
        <is>
          <t>그는 유기동물들에게 유독 마음이 약해서 자주 구조하곤 해.</t>
        </is>
      </c>
      <c r="G10" s="5">
        <f>HYPERLINK("https://www.youtube.com/watch?v=0dtzgvFN2LI", "영상 보기 ▶")</f>
        <v/>
      </c>
    </row>
    <row r="11" ht="26" customHeight="1">
      <c r="A11" s="6" t="n">
        <v>1110</v>
      </c>
      <c r="B11" s="7" t="inlineStr">
        <is>
          <t>소통 역량</t>
        </is>
      </c>
      <c r="C11" s="8" t="inlineStr">
        <is>
          <t>soft skills</t>
        </is>
      </c>
      <c r="D11" s="12" t="inlineStr">
        <is>
          <t>소통/협업/공감 능력 (정량 스펙과 대비)</t>
        </is>
      </c>
      <c r="E11" s="12" t="inlineStr">
        <is>
          <t>In leadership roles, soft skills are just as vital as technical expertise.</t>
        </is>
      </c>
      <c r="F11" s="12" t="inlineStr">
        <is>
          <t>리더십 직무에서는 정량적 기술만큼이나 대인 소통 역량이 중요합니다.</t>
        </is>
      </c>
      <c r="G11" s="9">
        <f>HYPERLINK("https://www.youtube.com/watch?v=0dtzgvFN2LI", "영상 보기 ▶")</f>
        <v/>
      </c>
    </row>
    <row r="12" ht="26" customHeight="1">
      <c r="A12" s="2" t="n">
        <v>1111</v>
      </c>
      <c r="B12" s="3" t="inlineStr">
        <is>
          <t>어조 완화</t>
        </is>
      </c>
      <c r="C12" s="4" t="inlineStr">
        <is>
          <t>soften</t>
        </is>
      </c>
      <c r="D12" s="11" t="inlineStr">
        <is>
          <t>어조를 부드럽게 완화하다/누그러뜨리다</t>
        </is>
      </c>
      <c r="E12" s="11" t="inlineStr">
        <is>
          <t>Try to soften your feedback so the team feels encouraged.</t>
        </is>
      </c>
      <c r="F12" s="11" t="inlineStr">
        <is>
          <t>팀원들이 용기를 얻을 수 있도록 피드백 어조를 좀 부드럽게 완화해 보세요.</t>
        </is>
      </c>
      <c r="G12" s="5">
        <f>HYPERLINK("https://www.youtube.com/watch?v=0dtzgvFN2LI", "영상 보기 ▶")</f>
        <v/>
      </c>
    </row>
    <row r="13" ht="26" customHeight="1">
      <c r="A13" s="6" t="n">
        <v>1112</v>
      </c>
      <c r="B13" s="7" t="inlineStr">
        <is>
          <t>강경책</t>
        </is>
      </c>
      <c r="C13" s="8" t="inlineStr">
        <is>
          <t>hard line</t>
        </is>
      </c>
      <c r="D13" s="12" t="inlineStr">
        <is>
          <t>강경한 태도/원칙 (take a hard line)</t>
        </is>
      </c>
      <c r="E13" s="12" t="inlineStr">
        <is>
          <t>The director took a hard line against chronic tardiness.</t>
        </is>
      </c>
      <c r="F13" s="12" t="inlineStr">
        <is>
          <t>원장님은 만성적인 지각에 대해 단호하고 강경한 입장을 취하셨습니다.</t>
        </is>
      </c>
      <c r="G13" s="9">
        <f>HYPERLINK("https://www.youtube.com/watch?v=0dtzgvFN2LI", "영상 보기 ▶")</f>
        <v/>
      </c>
    </row>
    <row r="14" ht="26" customHeight="1">
      <c r="A14" s="2" t="n">
        <v>1113</v>
      </c>
      <c r="B14" s="3" t="inlineStr">
        <is>
          <t>단호한 거절</t>
        </is>
      </c>
      <c r="C14" s="4" t="inlineStr">
        <is>
          <t>hard pass</t>
        </is>
      </c>
      <c r="D14" s="11" t="inlineStr">
        <is>
          <t>단호한 거절, 절대 사양함</t>
        </is>
      </c>
      <c r="E14" s="11" t="inlineStr">
        <is>
          <t>Attending a party with my ex? That's a hard pass.</t>
        </is>
      </c>
      <c r="F14" s="11" t="inlineStr">
        <is>
          <t>전 연인이 오는 파티에 가라고? 그건 절대 사양이야.</t>
        </is>
      </c>
      <c r="G14" s="5">
        <f>HYPERLINK("https://www.youtube.com/watch?v=0dtzgvFN2LI", "영상 보기 ▶")</f>
        <v/>
      </c>
    </row>
    <row r="15" ht="26" customHeight="1">
      <c r="A15" s="6" t="n">
        <v>1114</v>
      </c>
      <c r="B15" s="7" t="inlineStr">
        <is>
          <t>앙금 없음</t>
        </is>
      </c>
      <c r="C15" s="8" t="inlineStr">
        <is>
          <t>no hard feelings</t>
        </is>
      </c>
      <c r="D15" s="12" t="inlineStr">
        <is>
          <t>서운한 감정이나 앙금은 전혀 없어</t>
        </is>
      </c>
      <c r="E15" s="12" t="inlineStr">
        <is>
          <t>We chose another supplier, but no hard feelings, I hope.</t>
        </is>
      </c>
      <c r="F15" s="12" t="inlineStr">
        <is>
          <t>다른 업체를 선정하게 되었지만, 서운한 감정은 없으시길 바랍니다.</t>
        </is>
      </c>
      <c r="G15" s="9">
        <f>HYPERLINK("https://www.youtube.com/watch?v=0dtzgvFN2LI", "영상 보기 ▶")</f>
        <v/>
      </c>
    </row>
    <row r="16" ht="26" customHeight="1">
      <c r="A16" s="2" t="n">
        <v>1115</v>
      </c>
      <c r="B16" s="3" t="inlineStr">
        <is>
          <t>어려운 결정</t>
        </is>
      </c>
      <c r="C16" s="4" t="inlineStr">
        <is>
          <t>hard call</t>
        </is>
      </c>
      <c r="D16" s="11" t="inlineStr">
        <is>
          <t>내리기 힘든 어려운 결정</t>
        </is>
      </c>
      <c r="E16" s="11" t="inlineStr">
        <is>
          <t>Laying off staff was a very hard call for the founders.</t>
        </is>
      </c>
      <c r="F16" s="11" t="inlineStr">
        <is>
          <t>직원을 감원하는 것은 창업자들에게 대단히 고통스럽고 어려운 결정이었어.</t>
        </is>
      </c>
      <c r="G16" s="5">
        <f>HYPERLINK("https://www.youtube.com/watch?v=0dtzgvFN2LI", "영상 보기 ▶")</f>
        <v/>
      </c>
    </row>
    <row r="17" ht="26" customHeight="1">
      <c r="A17" s="6" t="n">
        <v>1116</v>
      </c>
      <c r="B17" s="7" t="inlineStr">
        <is>
          <t>절대 마감</t>
        </is>
      </c>
      <c r="C17" s="8" t="inlineStr">
        <is>
          <t>hard deadline</t>
        </is>
      </c>
      <c r="D17" s="12" t="inlineStr">
        <is>
          <t>타협할 수 없는 절대적 마감 기한</t>
        </is>
      </c>
      <c r="E17" s="12" t="inlineStr">
        <is>
          <t>Friday at noon is a hard deadline; no extensions.</t>
        </is>
      </c>
      <c r="F17" s="12" t="inlineStr">
        <is>
          <t>금요일 정오는 절대적 마감 기한입니다, 연장은 일절 없습니다.</t>
        </is>
      </c>
      <c r="G17" s="9">
        <f>HYPERLINK("https://www.youtube.com/watch?v=0dtzgvFN2LI", "영상 보기 ▶")</f>
        <v/>
      </c>
    </row>
    <row r="18" ht="26" customHeight="1">
      <c r="A18" s="2" t="n">
        <v>1117</v>
      </c>
      <c r="B18" s="3" t="inlineStr">
        <is>
          <t>진퇴양난</t>
        </is>
      </c>
      <c r="C18" s="4" t="inlineStr">
        <is>
          <t>between a rock and a hard place</t>
        </is>
      </c>
      <c r="D18" s="11" t="inlineStr">
        <is>
          <t>진퇴양난, 이러지도 저러지도 못하는 곤경</t>
        </is>
      </c>
      <c r="E18" s="11" t="inlineStr">
        <is>
          <t>I'm caught between a rock and a hard place with conflicting priorities.</t>
        </is>
      </c>
      <c r="F18" s="11" t="inlineStr">
        <is>
          <t>상충하는 우선순위들 사이에서 완전히 진퇴양난에 빠졌어.</t>
        </is>
      </c>
      <c r="G18" s="5">
        <f>HYPERLINK("https://www.youtube.com/watch?v=0dtzgvFN2LI", "영상 보기 ▶")</f>
        <v/>
      </c>
    </row>
    <row r="19" ht="26" customHeight="1">
      <c r="A19" s="6" t="n">
        <v>1118</v>
      </c>
      <c r="B19" s="7" t="inlineStr">
        <is>
          <t>눈치 보기</t>
        </is>
      </c>
      <c r="C19" s="8" t="inlineStr">
        <is>
          <t>walk on eggshells</t>
        </is>
      </c>
      <c r="D19" s="12" t="inlineStr">
        <is>
          <t>살얼음판을 걷듯 극도로 조심스럽게 눈치 보다</t>
        </is>
      </c>
      <c r="E19" s="12" t="inlineStr">
        <is>
          <t>Everyone walks on eggshells when the CEO is frustrated.</t>
        </is>
      </c>
      <c r="F19" s="12" t="inlineStr">
        <is>
          <t>대표님의 기분이 언짢으실 땐 사내 모든 사람이 살얼음판 걷듯 눈치를 봐.</t>
        </is>
      </c>
      <c r="G19" s="9">
        <f>HYPERLINK("https://www.youtube.com/watch?v=0dtzgvFN2LI", "영상 보기 ▶")</f>
        <v/>
      </c>
    </row>
    <row r="20" ht="26" customHeight="1">
      <c r="A20" s="2" t="n">
        <v>1119</v>
      </c>
      <c r="B20" s="3" t="inlineStr">
        <is>
          <t>원칙 무시</t>
        </is>
      </c>
      <c r="C20" s="4" t="inlineStr">
        <is>
          <t>cut corners</t>
        </is>
      </c>
      <c r="D20" s="11" t="inlineStr">
        <is>
          <t>대충 넘어가다, 원칙을 건너뛰다</t>
        </is>
      </c>
      <c r="E20" s="11" t="inlineStr">
        <is>
          <t>Quality suffers whenever you cut corners on testing.</t>
        </is>
      </c>
      <c r="F20" s="11" t="inlineStr">
        <is>
          <t>테스트 단계에서 대충 넘어가면 반드시 품질에 탈이 납니다.</t>
        </is>
      </c>
      <c r="G20" s="5">
        <f>HYPERLINK("https://www.youtube.com/watch?v=0dtzgvFN2LI", "영상 보기 ▶")</f>
        <v/>
      </c>
    </row>
    <row r="21" ht="26" customHeight="1">
      <c r="A21" s="6" t="n">
        <v>1120</v>
      </c>
      <c r="B21" s="7" t="inlineStr">
        <is>
          <t>사정 봐주기</t>
        </is>
      </c>
      <c r="C21" s="8" t="inlineStr">
        <is>
          <t>cut slack</t>
        </is>
      </c>
      <c r="D21" s="12" t="inlineStr">
        <is>
          <t>너무 몰아세우지 않고 양해해 주다</t>
        </is>
      </c>
      <c r="E21" s="12" t="inlineStr">
        <is>
          <t>He's dealing with a personal loss; cut him some slack.</t>
        </is>
      </c>
      <c r="F21" s="12" t="inlineStr">
        <is>
          <t>그 사람 집안에 상을 당했어, 너무 몰아세우지 말고 좀 배려해 줘.</t>
        </is>
      </c>
      <c r="G21" s="9">
        <f>HYPERLINK("https://www.youtube.com/watch?v=0dtzgvFN2LI", "영상 보기 ▶")</f>
        <v/>
      </c>
    </row>
    <row r="22" ht="26" customHeight="1">
      <c r="A22" s="2" t="n">
        <v>1121</v>
      </c>
      <c r="B22" s="3" t="inlineStr">
        <is>
          <t>관계 단절</t>
        </is>
      </c>
      <c r="C22" s="4" t="inlineStr">
        <is>
          <t>cut ties</t>
        </is>
      </c>
      <c r="D22" s="11" t="inlineStr">
        <is>
          <t>관계를 완전히 끊다, 손절하다</t>
        </is>
      </c>
      <c r="E22" s="11" t="inlineStr">
        <is>
          <t>We decided to cut ties with unreliable vendors.</t>
        </is>
      </c>
      <c r="F22" s="11" t="inlineStr">
        <is>
          <t>우리는 신뢰할 수 없는 거래처들과의 관계를 완전히 끊기로 결정했습니다.</t>
        </is>
      </c>
      <c r="G22" s="5">
        <f>HYPERLINK("https://www.youtube.com/watch?v=0dtzgvFN2LI", "영상 보기 ▶")</f>
        <v/>
      </c>
    </row>
    <row r="23" ht="26" customHeight="1">
      <c r="A23" s="6" t="n">
        <v>1122</v>
      </c>
      <c r="B23" s="7" t="inlineStr">
        <is>
          <t>본론 직행</t>
        </is>
      </c>
      <c r="C23" s="8" t="inlineStr">
        <is>
          <t>cut to the chase</t>
        </is>
      </c>
      <c r="D23" s="12" t="inlineStr">
        <is>
          <t>서론 건너뛰고 곧바로 핵심 본론으로 가다</t>
        </is>
      </c>
      <c r="E23" s="12" t="inlineStr">
        <is>
          <t>We don't have much time, so cut to the chase.</t>
        </is>
      </c>
      <c r="F23" s="12" t="inlineStr">
        <is>
          <t>시간이 얼마 없으니 군더더기 빼고 곧바로 본론만 말하세요.</t>
        </is>
      </c>
      <c r="G23" s="9">
        <f>HYPERLINK("https://www.youtube.com/watch?v=0dtzgvFN2LI", "영상 보기 ▶")</f>
        <v/>
      </c>
    </row>
    <row r="24" ht="26" customHeight="1">
      <c r="A24" s="2" t="n">
        <v>1123</v>
      </c>
      <c r="B24" s="3" t="inlineStr">
        <is>
          <t>날카로움/정각</t>
        </is>
      </c>
      <c r="C24" s="4" t="inlineStr">
        <is>
          <t>sharp</t>
        </is>
      </c>
      <c r="D24" s="11" t="inlineStr">
        <is>
          <t>① 날카로운, 예리한 ② 정각에 (at 9 AM sharp)</t>
        </is>
      </c>
      <c r="E24" s="11" t="inlineStr">
        <is>
          <t>The morning meeting starts at 9 AM sharp.</t>
        </is>
      </c>
      <c r="F24" s="11" t="inlineStr">
        <is>
          <t>오전 회의는 정확히 오전 9시 정각에 시작합니다.</t>
        </is>
      </c>
      <c r="G24" s="5">
        <f>HYPERLINK("https://www.youtube.com/watch?v=0dtzgvFN2LI", "영상 보기 ▶")</f>
        <v/>
      </c>
    </row>
    <row r="25" ht="26" customHeight="1">
      <c r="A25" s="6" t="n">
        <v>1124</v>
      </c>
      <c r="B25" s="7" t="inlineStr">
        <is>
          <t>직설적</t>
        </is>
      </c>
      <c r="C25" s="8" t="inlineStr">
        <is>
          <t>blunt</t>
        </is>
      </c>
      <c r="D25" s="12" t="inlineStr">
        <is>
          <t>직설적인, 돌려 말하지 않는</t>
        </is>
      </c>
      <c r="E25" s="12" t="inlineStr">
        <is>
          <t>To be completely blunt, this draft is unusable.</t>
        </is>
      </c>
      <c r="F25" s="12" t="inlineStr">
        <is>
          <t>아주 직설적으로 솔직히 말씀드리자면, 이 초안은 못 씁니다.</t>
        </is>
      </c>
      <c r="G25" s="9">
        <f>HYPERLINK("https://www.youtube.com/watch?v=0dtzgvFN2LI", "영상 보기 ▶")</f>
        <v/>
      </c>
    </row>
    <row r="26" ht="26" customHeight="1">
      <c r="A26" s="2" t="n">
        <v>1125</v>
      </c>
      <c r="B26" s="3" t="inlineStr">
        <is>
          <t>단도직입</t>
        </is>
      </c>
      <c r="C26" s="4" t="inlineStr">
        <is>
          <t>point-blank</t>
        </is>
      </c>
      <c r="D26" s="11" t="inlineStr">
        <is>
          <t>정면으로, 단도직입적으로 (refuse point-blank)</t>
        </is>
      </c>
      <c r="E26" s="11" t="inlineStr">
        <is>
          <t>She asked him point-blank if he was planning to resign.</t>
        </is>
      </c>
      <c r="F26" s="11" t="inlineStr">
        <is>
          <t>그녀는 그에게 사직할 계획인지 정면으로 단도직입적으로 물었어.</t>
        </is>
      </c>
      <c r="G26" s="5">
        <f>HYPERLINK("https://www.youtube.com/watch?v=0dtzgvFN2LI", "영상 보기 ▶")</f>
        <v/>
      </c>
    </row>
    <row r="27" ht="26" customHeight="1">
      <c r="A27" s="6" t="n">
        <v>1126</v>
      </c>
      <c r="B27" s="7" t="inlineStr">
        <is>
          <t>미화/사탕발림</t>
        </is>
      </c>
      <c r="C27" s="8" t="inlineStr">
        <is>
          <t>sugarcoat</t>
        </is>
      </c>
      <c r="D27" s="12" t="inlineStr">
        <is>
          <t>듣기 좋게 사탕발림하다, 보기 좋게 꾸미다</t>
        </is>
      </c>
      <c r="E27" s="12" t="inlineStr">
        <is>
          <t>Don't sugarcoat the bad news; tell us the truth.</t>
        </is>
      </c>
      <c r="F27" s="12" t="inlineStr">
        <is>
          <t>안 좋은 소식을 듣기 좋게 사탕발림하지 말고 진실을 있는 그대로 말해줘.</t>
        </is>
      </c>
      <c r="G27" s="9">
        <f>HYPERLINK("https://www.youtube.com/watch?v=0dtzgvFN2LI", "영상 보기 ▶")</f>
        <v/>
      </c>
    </row>
    <row r="28" ht="26" customHeight="1">
      <c r="A28" s="2" t="n">
        <v>1127</v>
      </c>
      <c r="B28" s="3" t="inlineStr">
        <is>
          <t>있는 그대로</t>
        </is>
      </c>
      <c r="C28" s="4" t="inlineStr">
        <is>
          <t>tell it like it is</t>
        </is>
      </c>
      <c r="D28" s="11" t="inlineStr">
        <is>
          <t>있는 그대로 솔직하게 까놓고 말하다</t>
        </is>
      </c>
      <c r="E28" s="11" t="inlineStr">
        <is>
          <t>I respect leaders who are willing to tell it like it is.</t>
        </is>
      </c>
      <c r="F28" s="11" t="inlineStr">
        <is>
          <t>상황을 미화하지 않고 있는 그대로 솔직하게 털어놓는 리더를 존경합니다.</t>
        </is>
      </c>
      <c r="G28" s="5">
        <f>HYPERLINK("https://www.youtube.com/watch?v=0dtzgvFN2LI", "영상 보기 ▶")</f>
        <v/>
      </c>
    </row>
    <row r="29" ht="26" customHeight="1">
      <c r="A29" s="6" t="n">
        <v>1128</v>
      </c>
      <c r="B29" s="7" t="inlineStr">
        <is>
          <t>명쾌함</t>
        </is>
      </c>
      <c r="C29" s="8" t="inlineStr">
        <is>
          <t>straightforward</t>
        </is>
      </c>
      <c r="D29" s="12" t="inlineStr">
        <is>
          <t>간단명료한, 복잡하지 않고 솔직한</t>
        </is>
      </c>
      <c r="E29" s="12" t="inlineStr">
        <is>
          <t>The installation process is very simple and straightforward.</t>
        </is>
      </c>
      <c r="F29" s="12" t="inlineStr">
        <is>
          <t>설치 과정은 대단히 간단하고 군더더기 없이 명쾌합니다.</t>
        </is>
      </c>
      <c r="G29" s="9">
        <f>HYPERLINK("https://www.youtube.com/watch?v=0dtzgvFN2LI", "영상 보기 ▶")</f>
        <v/>
      </c>
    </row>
    <row r="30" ht="26" customHeight="1">
      <c r="A30" s="2" t="n">
        <v>1129</v>
      </c>
      <c r="B30" s="3" t="inlineStr">
        <is>
          <t>진솔함</t>
        </is>
      </c>
      <c r="C30" s="4" t="inlineStr">
        <is>
          <t>candid</t>
        </is>
      </c>
      <c r="D30" s="11" t="inlineStr">
        <is>
          <t>진솔한, 솔직 담백한 (a candid discussion)</t>
        </is>
      </c>
      <c r="E30" s="11" t="inlineStr">
        <is>
          <t>Thank you for your candid feedback during the retrospective.</t>
        </is>
      </c>
      <c r="F30" s="11" t="inlineStr">
        <is>
          <t>회고 미팅에서 솔직 담백한 피드백을 공유해 주셔서 감사합니다.</t>
        </is>
      </c>
      <c r="G30" s="5">
        <f>HYPERLINK("https://www.youtube.com/watch?v=0dtzgvFN2LI", "영상 보기 ▶")</f>
        <v/>
      </c>
    </row>
    <row r="31" ht="26" customHeight="1">
      <c r="A31" s="6" t="n">
        <v>1130</v>
      </c>
      <c r="B31" s="7" t="inlineStr">
        <is>
          <t>격의 없음</t>
        </is>
      </c>
      <c r="C31" s="8" t="inlineStr">
        <is>
          <t>frank</t>
        </is>
      </c>
      <c r="D31" s="12" t="inlineStr">
        <is>
          <t>격의 없는, 솔직한 (to be completely frank)</t>
        </is>
      </c>
      <c r="E31" s="12" t="inlineStr">
        <is>
          <t>To be frank with you, our budget won't support another hire.</t>
        </is>
      </c>
      <c r="F31" s="12" t="inlineStr">
        <is>
          <t>솔직히 터놓고 말씀드리자면 우리 예산으론 추가 채용이 어렵습니다.</t>
        </is>
      </c>
      <c r="G31" s="9">
        <f>HYPERLINK("https://www.youtube.com/watch?v=0dtzgvFN2LI", "영상 보기 ▶")</f>
        <v/>
      </c>
    </row>
    <row r="32" ht="26" customHeight="1">
      <c r="A32" s="2" t="n">
        <v>1131</v>
      </c>
      <c r="B32" s="3" t="inlineStr">
        <is>
          <t>소신 발언</t>
        </is>
      </c>
      <c r="C32" s="4" t="inlineStr">
        <is>
          <t>outspoken</t>
        </is>
      </c>
      <c r="D32" s="11" t="inlineStr">
        <is>
          <t>거침없이 할 말은 다 하는, 소신 있는</t>
        </is>
      </c>
      <c r="E32" s="11" t="inlineStr">
        <is>
          <t>She is an outspoken advocate for remote work flexibility.</t>
        </is>
      </c>
      <c r="F32" s="11" t="inlineStr">
        <is>
          <t>그녀는 유연한 재택근무의 필요성을 거침없이 주장하는 소신파입니다.</t>
        </is>
      </c>
      <c r="G32" s="5">
        <f>HYPERLINK("https://www.youtube.com/watch?v=0dtzgvFN2LI", "영상 보기 ▶")</f>
        <v/>
      </c>
    </row>
    <row r="33" ht="26" customHeight="1">
      <c r="A33" s="6" t="n">
        <v>1132</v>
      </c>
      <c r="B33" s="7" t="inlineStr">
        <is>
          <t>생각 번복</t>
        </is>
      </c>
      <c r="C33" s="8" t="inlineStr">
        <is>
          <t>on second thought</t>
        </is>
      </c>
      <c r="D33" s="12" t="inlineStr">
        <is>
          <t>다시 생각해 보니까</t>
        </is>
      </c>
      <c r="E33" s="12" t="inlineStr">
        <is>
          <t>On second thought, let's postpone the announcement.</t>
        </is>
      </c>
      <c r="F33" s="12" t="inlineStr">
        <is>
          <t>다시 생각해 보니, 공식 발표를 나중으로 연기하는 게 낫겠어요.</t>
        </is>
      </c>
      <c r="G33" s="9">
        <f>HYPERLINK("https://www.youtube.com/watch?v=0dtzgvFN2LI", "영상 보기 ▶")</f>
        <v/>
      </c>
    </row>
    <row r="34" ht="26" customHeight="1">
      <c r="A34" s="2" t="n">
        <v>1133</v>
      </c>
      <c r="B34" s="3" t="inlineStr">
        <is>
          <t>제2의 천성</t>
        </is>
      </c>
      <c r="C34" s="4" t="inlineStr">
        <is>
          <t>second nature</t>
        </is>
      </c>
      <c r="D34" s="11" t="inlineStr">
        <is>
          <t>몸에 배어 자연스러운 것, 제2의 천성</t>
        </is>
      </c>
      <c r="E34" s="11" t="inlineStr">
        <is>
          <t>Keyboard shortcuts become second nature with daily practice.</t>
        </is>
      </c>
      <c r="F34" s="11" t="inlineStr">
        <is>
          <t>단축키는 매일 쓰다 보면 자연스레 몸에 배어 제2의 천성이 됩니다.</t>
        </is>
      </c>
      <c r="G34" s="5">
        <f>HYPERLINK("https://www.youtube.com/watch?v=0dtzgvFN2LI", "영상 보기 ▶")</f>
        <v/>
      </c>
    </row>
    <row r="35" ht="26" customHeight="1">
      <c r="A35" s="6" t="n">
        <v>1134</v>
      </c>
      <c r="B35" s="7" t="inlineStr">
        <is>
          <t>독보적</t>
        </is>
      </c>
      <c r="C35" s="8" t="inlineStr">
        <is>
          <t>second to none</t>
        </is>
      </c>
      <c r="D35" s="12" t="inlineStr">
        <is>
          <t>누구에게도 뒤지지 않는, 단연 최고인</t>
        </is>
      </c>
      <c r="E35" s="12" t="inlineStr">
        <is>
          <t>Their technical customer support is second to none.</t>
        </is>
      </c>
      <c r="F35" s="12" t="inlineStr">
        <is>
          <t>그들의 고객 기술 지원 품질은 단연 독보적인 최고 수준입니다.</t>
        </is>
      </c>
      <c r="G35" s="9">
        <f>HYPERLINK("https://www.youtube.com/watch?v=0dtzgvFN2LI", "영상 보기 ▶")</f>
        <v/>
      </c>
    </row>
    <row r="36" ht="26" customHeight="1">
      <c r="A36" s="2" t="n">
        <v>1135</v>
      </c>
      <c r="B36" s="3" t="inlineStr">
        <is>
          <t>사후 번복</t>
        </is>
      </c>
      <c r="C36" s="4" t="inlineStr">
        <is>
          <t>second-guess</t>
        </is>
      </c>
      <c r="D36" s="11" t="inlineStr">
        <is>
          <t>사후에 뒤늦게 의심하다, 왈가왈부하다</t>
        </is>
      </c>
      <c r="E36" s="11" t="inlineStr">
        <is>
          <t>Don't second-guess your decision; you did the right thing.</t>
        </is>
      </c>
      <c r="F36" s="11" t="inlineStr">
        <is>
          <t>이미 내린 결정을 뒤늦게 번복하며 자책하지 마, 넌 옳은 판단을 했어.</t>
        </is>
      </c>
      <c r="G36" s="5">
        <f>HYPERLINK("https://www.youtube.com/watch?v=0dtzgvFN2LI", "영상 보기 ▶")</f>
        <v/>
      </c>
    </row>
    <row r="37" ht="26" customHeight="1">
      <c r="A37" s="6" t="n">
        <v>1136</v>
      </c>
      <c r="B37" s="7" t="inlineStr">
        <is>
          <t>재고/신중</t>
        </is>
      </c>
      <c r="C37" s="8" t="inlineStr">
        <is>
          <t>think twice</t>
        </is>
      </c>
      <c r="D37" s="12" t="inlineStr">
        <is>
          <t>신중하게 두 번 생각하다, 재고하다</t>
        </is>
      </c>
      <c r="E37" s="12" t="inlineStr">
        <is>
          <t>Think twice before clicking suspicious email links.</t>
        </is>
      </c>
      <c r="F37" s="12" t="inlineStr">
        <is>
          <t>의심스러운 이메일 링크를 클릭하기 전에 반드시 한 번 더 신중히 생각하세요.</t>
        </is>
      </c>
      <c r="G37" s="9">
        <f>HYPERLINK("https://www.youtube.com/watch?v=0dtzgvFN2LI", "영상 보기 ▶")</f>
        <v/>
      </c>
    </row>
    <row r="38" ht="26" customHeight="1">
      <c r="A38" s="2" t="n">
        <v>1137</v>
      </c>
      <c r="B38" s="3" t="inlineStr">
        <is>
          <t>순발력 대처</t>
        </is>
      </c>
      <c r="C38" s="4" t="inlineStr">
        <is>
          <t>think on one's feet</t>
        </is>
      </c>
      <c r="D38" s="11" t="inlineStr">
        <is>
          <t>순발력 있게 즉석에서 빠르게 판단하다</t>
        </is>
      </c>
      <c r="E38" s="11" t="inlineStr">
        <is>
          <t>Live Q&amp;A sessions require you to think on your feet.</t>
        </is>
      </c>
      <c r="F38" s="11" t="inlineStr">
        <is>
          <t>실시간 라이브 질의응답은 순발력 있게 즉석에서 판단하는 능력을 요구합니다.</t>
        </is>
      </c>
      <c r="G38" s="5">
        <f>HYPERLINK("https://www.youtube.com/watch?v=0dtzgvFN2LI", "영상 보기 ▶")</f>
        <v/>
      </c>
    </row>
    <row r="39" ht="26" customHeight="1">
      <c r="A39" s="6" t="n">
        <v>1138</v>
      </c>
      <c r="B39" s="7" t="inlineStr">
        <is>
          <t>생각할 거리</t>
        </is>
      </c>
      <c r="C39" s="8" t="inlineStr">
        <is>
          <t>food for thought</t>
        </is>
      </c>
      <c r="D39" s="12" t="inlineStr">
        <is>
          <t>생각해 볼 만한 거리, 시사점</t>
        </is>
      </c>
      <c r="E39" s="12" t="inlineStr">
        <is>
          <t>His presentation provided plenty of food for thought.</t>
        </is>
      </c>
      <c r="F39" s="12" t="inlineStr">
        <is>
          <t>그의 발표는 깊이 고민해 볼 만한 많은 생각거리를 안겨주었습니다.</t>
        </is>
      </c>
      <c r="G39" s="9">
        <f>HYPERLINK("https://www.youtube.com/watch?v=0dtzgvFN2LI", "영상 보기 ▶")</f>
        <v/>
      </c>
    </row>
    <row r="40" ht="26" customHeight="1">
      <c r="A40" s="2" t="n">
        <v>1139</v>
      </c>
      <c r="B40" s="3" t="inlineStr">
        <is>
          <t>생각의 흐름</t>
        </is>
      </c>
      <c r="C40" s="4" t="inlineStr">
        <is>
          <t>train of thought</t>
        </is>
      </c>
      <c r="D40" s="11" t="inlineStr">
        <is>
          <t>생각의 흐름, 맥락 (lose my train of thought)</t>
        </is>
      </c>
      <c r="E40" s="11" t="inlineStr">
        <is>
          <t>Sorry, someone interrupted and I lost my train of thought.</t>
        </is>
      </c>
      <c r="F40" s="11" t="inlineStr">
        <is>
          <t>죄송합니다, 중간에 질문이 들어와서 생각의 흐름을 놓쳤네요.</t>
        </is>
      </c>
      <c r="G40" s="5">
        <f>HYPERLINK("https://www.youtube.com/watch?v=0dtzgvFN2LI", "영상 보기 ▶")</f>
        <v/>
      </c>
    </row>
    <row r="41" ht="26" customHeight="1">
      <c r="A41" s="6" t="n">
        <v>1140</v>
      </c>
      <c r="B41" s="7" t="inlineStr">
        <is>
          <t>깊은 생각</t>
        </is>
      </c>
      <c r="C41" s="8" t="inlineStr">
        <is>
          <t>lost in thought</t>
        </is>
      </c>
      <c r="D41" s="12" t="inlineStr">
        <is>
          <t>깊은 생각에 잠긴, 골몰한</t>
        </is>
      </c>
      <c r="E41" s="12" t="inlineStr">
        <is>
          <t>He was staring out the window, completely lost in thought.</t>
        </is>
      </c>
      <c r="F41" s="12" t="inlineStr">
        <is>
          <t>그는 창밖을 멍하니 바라보며 깊은 생각에 완전히 잠겨 있었어.</t>
        </is>
      </c>
      <c r="G41" s="9">
        <f>HYPERLINK("https://www.youtube.com/watch?v=0dtzgvFN2LI", "영상 보기 ▶")</f>
        <v/>
      </c>
    </row>
    <row r="42" ht="26" customHeight="1">
      <c r="A42" s="2" t="n">
        <v>1141</v>
      </c>
      <c r="B42" s="3" t="inlineStr">
        <is>
          <t>마무리</t>
        </is>
      </c>
      <c r="C42" s="4" t="inlineStr">
        <is>
          <t>wrap up</t>
        </is>
      </c>
      <c r="D42" s="11" t="inlineStr">
        <is>
          <t>일과를 끝맺다, 매듭짓다</t>
        </is>
      </c>
      <c r="E42" s="11" t="inlineStr">
        <is>
          <t>We should wrap up the call and head to lunch.</t>
        </is>
      </c>
      <c r="F42" s="11" t="inlineStr">
        <is>
          <t>통화 마무리 짓고 점심 먹으러 갑시다.</t>
        </is>
      </c>
      <c r="G42" s="5">
        <f>HYPERLINK("https://www.youtube.com/watch?v=0dtzgvFN2LI", "영상 보기 ▶")</f>
        <v/>
      </c>
    </row>
    <row r="43" ht="26" customHeight="1">
      <c r="A43" s="6" t="n">
        <v>1142</v>
      </c>
      <c r="B43" s="7" t="inlineStr">
        <is>
          <t>납득 이해</t>
        </is>
      </c>
      <c r="C43" s="8" t="inlineStr">
        <is>
          <t>wrap head around</t>
        </is>
      </c>
      <c r="D43" s="12" t="inlineStr">
        <is>
          <t>도저히 이해/납득하기 힘든 내용을 소화하다</t>
        </is>
      </c>
      <c r="E43" s="12" t="inlineStr">
        <is>
          <t>I still can't wrap my head around their sudden exit.</t>
        </is>
      </c>
      <c r="F43" s="12" t="inlineStr">
        <is>
          <t>그들이 갑작스럽게 손을 털고 나간 이유가 아직도 도무지 납득이 안 가.</t>
        </is>
      </c>
      <c r="G43" s="9">
        <f>HYPERLINK("https://www.youtube.com/watch?v=0dtzgvFN2LI", "영상 보기 ▶")</f>
        <v/>
      </c>
    </row>
    <row r="44" ht="26" customHeight="1">
      <c r="A44" s="2" t="n">
        <v>1143</v>
      </c>
      <c r="B44" s="3" t="inlineStr">
        <is>
          <t>잔무 정리</t>
        </is>
      </c>
      <c r="C44" s="4" t="inlineStr">
        <is>
          <t>tie up loose ends</t>
        </is>
      </c>
      <c r="D44" s="11" t="inlineStr">
        <is>
          <t>미결 과제/잔무를 깔끔하게 매듭짓다</t>
        </is>
      </c>
      <c r="E44" s="11" t="inlineStr">
        <is>
          <t>I have a few loose ends to tie up before going on vacation.</t>
        </is>
      </c>
      <c r="F44" s="11" t="inlineStr">
        <is>
          <t>휴가 떠나기 전에 미결된 잔무들을 깔끔히 정리해야 해요.</t>
        </is>
      </c>
      <c r="G44" s="5">
        <f>HYPERLINK("https://www.youtube.com/watch?v=0dtzgvFN2LI", "영상 보기 ▶")</f>
        <v/>
      </c>
    </row>
    <row r="45" ht="26" customHeight="1">
      <c r="A45" s="6" t="n">
        <v>1144</v>
      </c>
      <c r="B45" s="7" t="inlineStr">
        <is>
          <t>재량권 부재</t>
        </is>
      </c>
      <c r="C45" s="8" t="inlineStr">
        <is>
          <t>hands are tied</t>
        </is>
      </c>
      <c r="D45" s="12" t="inlineStr">
        <is>
          <t>손이 묶여 있어 권한상 어쩔 수 없다</t>
        </is>
      </c>
      <c r="E45" s="12" t="inlineStr">
        <is>
          <t>Company policy forbids refunds; my hands are completely tied.</t>
        </is>
      </c>
      <c r="F45" s="12" t="inlineStr">
        <is>
          <t>회사 규정상 환불이 불가하여 제 손이 묶여 있으니 양해 바랍니다.</t>
        </is>
      </c>
      <c r="G45" s="9">
        <f>HYPERLINK("https://www.youtube.com/watch?v=0dtzgvFN2LI", "영상 보기 ▶")</f>
        <v/>
      </c>
    </row>
    <row r="46" ht="26" customHeight="1">
      <c r="A46" s="2" t="n">
        <v>1145</v>
      </c>
      <c r="B46" s="3" t="inlineStr">
        <is>
          <t>필연적 귀결</t>
        </is>
      </c>
      <c r="C46" s="4" t="inlineStr">
        <is>
          <t>bound to</t>
        </is>
      </c>
      <c r="D46" s="11" t="inlineStr">
        <is>
          <t>반드시 ~하게 되어 있는, 필연적인</t>
        </is>
      </c>
      <c r="E46" s="11" t="inlineStr">
        <is>
          <t>With such dedication, you are bound to succeed eventually.</t>
        </is>
      </c>
      <c r="F46" s="11" t="inlineStr">
        <is>
          <t>이토록 헌신적으로 노력하니 너는 결국 반드시 성공하게 되어 있어.</t>
        </is>
      </c>
      <c r="G46" s="5">
        <f>HYPERLINK("https://www.youtube.com/watch?v=0dtzgvFN2LI", "영상 보기 ▶")</f>
        <v/>
      </c>
    </row>
    <row r="47" ht="26" customHeight="1">
      <c r="A47" s="6" t="n">
        <v>1146</v>
      </c>
      <c r="B47" s="7" t="inlineStr">
        <is>
          <t>의무 구속</t>
        </is>
      </c>
      <c r="C47" s="8" t="inlineStr">
        <is>
          <t>bound by</t>
        </is>
      </c>
      <c r="D47" s="12" t="inlineStr">
        <is>
          <t>(계약/규정에) 법적으로 얽매인, 구속된</t>
        </is>
      </c>
      <c r="E47" s="12" t="inlineStr">
        <is>
          <t>We are strictly bound by the confidentiality agreement.</t>
        </is>
      </c>
      <c r="F47" s="12" t="inlineStr">
        <is>
          <t>저희는 비밀유지협약서(NDA)에 엄격히 구속되어 있습니다.</t>
        </is>
      </c>
      <c r="G47" s="9">
        <f>HYPERLINK("https://www.youtube.com/watch?v=0dtzgvFN2LI", "영상 보기 ▶")</f>
        <v/>
      </c>
    </row>
    <row r="48" ht="26" customHeight="1">
      <c r="A48" s="2" t="n">
        <v>1147</v>
      </c>
      <c r="B48" s="3" t="inlineStr">
        <is>
          <t>목적지 향함</t>
        </is>
      </c>
      <c r="C48" s="4" t="inlineStr">
        <is>
          <t>bound for</t>
        </is>
      </c>
      <c r="D48" s="11" t="inlineStr">
        <is>
          <t>~로 향하는 (bound for New York)</t>
        </is>
      </c>
      <c r="E48" s="11" t="inlineStr">
        <is>
          <t>The cargo ship is bound for Rotterdam.</t>
        </is>
      </c>
      <c r="F48" s="11" t="inlineStr">
        <is>
          <t>그 화물선은 로테르담 항구로 향하고 있습니다.</t>
        </is>
      </c>
      <c r="G48" s="5">
        <f>HYPERLINK("https://www.youtube.com/watch?v=0dtzgvFN2LI", "영상 보기 ▶")</f>
        <v/>
      </c>
    </row>
    <row r="49" ht="26" customHeight="1">
      <c r="A49" s="6" t="n">
        <v>1148</v>
      </c>
      <c r="B49" s="7" t="inlineStr">
        <is>
          <t>불가피함</t>
        </is>
      </c>
      <c r="C49" s="8" t="inlineStr">
        <is>
          <t>bound to happen</t>
        </is>
      </c>
      <c r="D49" s="12" t="inlineStr">
        <is>
          <t>언젠가는 반드시 터질 일이었던</t>
        </is>
      </c>
      <c r="E49" s="12" t="inlineStr">
        <is>
          <t>Ignored safety warnings meant this accident was bound to happen.</t>
        </is>
      </c>
      <c r="F49" s="12" t="inlineStr">
        <is>
          <t>안전 경고를 무시했으니 이 사고는 언젠가 터질 수밖에 없던 필연이었어.</t>
        </is>
      </c>
      <c r="G49" s="9">
        <f>HYPERLINK("https://www.youtube.com/watch?v=0dtzgvFN2LI", "영상 보기 ▶")</f>
        <v/>
      </c>
    </row>
    <row r="50" ht="26" customHeight="1">
      <c r="A50" s="2" t="n">
        <v>1149</v>
      </c>
      <c r="B50" s="3" t="inlineStr">
        <is>
          <t>난처한 처지</t>
        </is>
      </c>
      <c r="C50" s="4" t="inlineStr">
        <is>
          <t>in a bind</t>
        </is>
      </c>
      <c r="D50" s="11" t="inlineStr">
        <is>
          <t>곤란한 처지에 빠진, 곤경에 처한</t>
        </is>
      </c>
      <c r="E50" s="11" t="inlineStr">
        <is>
          <t>Could you lend me a hand? I'm in a bit of a bind.</t>
        </is>
      </c>
      <c r="F50" s="11" t="inlineStr">
        <is>
          <t>나 손 좀 보태줄 수 있어? 지금 살짝 곤란한 처지에 빠져서.</t>
        </is>
      </c>
      <c r="G50" s="5">
        <f>HYPERLINK("https://www.youtube.com/watch?v=0dtzgvFN2LI", "영상 보기 ▶")</f>
        <v/>
      </c>
    </row>
    <row r="51" ht="26" customHeight="1">
      <c r="A51" s="6" t="n">
        <v>1150</v>
      </c>
      <c r="B51" s="7" t="inlineStr">
        <is>
          <t>속박/의무</t>
        </is>
      </c>
      <c r="C51" s="8" t="inlineStr">
        <is>
          <t>bind (동사)</t>
        </is>
      </c>
      <c r="D51" s="12" t="inlineStr">
        <is>
          <t>묶다, 결속시키다, 구속하다</t>
        </is>
      </c>
      <c r="E51" s="12" t="inlineStr">
        <is>
          <t>A common purpose binds our diverse team together.</t>
        </is>
      </c>
      <c r="F51" s="12" t="inlineStr">
        <is>
          <t>공통된 하나의 목표가 우리 다양한 팀원들을 하나로 끈끈하게 결속시킵니다.</t>
        </is>
      </c>
      <c r="G51" s="9">
        <f>HYPERLINK("https://www.youtube.com/watch?v=0dtzgvFN2LI", "영상 보기 ▶")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6" customWidth="1" min="3" max="3"/>
    <col width="46.7" customWidth="1" min="4" max="4"/>
    <col width="69" customWidth="1" min="5" max="5"/>
    <col width="68.09999999999999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1151</v>
      </c>
      <c r="B2" s="3" t="inlineStr">
        <is>
          <t>기여 역량</t>
        </is>
      </c>
      <c r="C2" s="4" t="inlineStr">
        <is>
          <t>bring to the table</t>
        </is>
      </c>
      <c r="D2" s="11" t="inlineStr">
        <is>
          <t>조직이나 협상에 가치 있는 역량을 제공하다</t>
        </is>
      </c>
      <c r="E2" s="11" t="inlineStr">
        <is>
          <t>Her negotiation background brings tremendous value to the table.</t>
        </is>
      </c>
      <c r="F2" s="11" t="inlineStr">
        <is>
          <t>그녀의 풍부한 협상 배경은 우리 협상 테이블에 막대한 가치를 더해줍니다.</t>
        </is>
      </c>
      <c r="G2" s="5">
        <f>HYPERLINK("https://www.youtube.com/watch?v=oVbnvHWjsII", "영상 보기 ▶")</f>
        <v/>
      </c>
    </row>
    <row r="3" ht="26" customHeight="1">
      <c r="A3" s="6" t="n">
        <v>1152</v>
      </c>
      <c r="B3" s="7" t="inlineStr">
        <is>
          <t>화제 제기</t>
        </is>
      </c>
      <c r="C3" s="8" t="inlineStr">
        <is>
          <t>bring up</t>
        </is>
      </c>
      <c r="D3" s="12" t="inlineStr">
        <is>
          <t>안건을 꺼내다, 화제로 올리다</t>
        </is>
      </c>
      <c r="E3" s="12" t="inlineStr">
        <is>
          <t>Don't bring up the budget deficit during the celebratory dinner.</t>
        </is>
      </c>
      <c r="F3" s="12" t="inlineStr">
        <is>
          <t>축하 저녁 식사 자리에서 예산 적자 이야기는 꺼내지 마세요.</t>
        </is>
      </c>
      <c r="G3" s="9">
        <f>HYPERLINK("https://www.youtube.com/watch?v=oVbnvHWjsII", "영상 보기 ▶")</f>
        <v/>
      </c>
    </row>
    <row r="4" ht="26" customHeight="1">
      <c r="A4" s="2" t="n">
        <v>1153</v>
      </c>
      <c r="B4" s="3" t="inlineStr">
        <is>
          <t>변화 초래</t>
        </is>
      </c>
      <c r="C4" s="4" t="inlineStr">
        <is>
          <t>bring about</t>
        </is>
      </c>
      <c r="D4" s="11" t="inlineStr">
        <is>
          <t>(중대한 변화/결과를) 초래하다, 야기하다</t>
        </is>
      </c>
      <c r="E4" s="11" t="inlineStr">
        <is>
          <t>The new leadership brought about significant structural reforms.</t>
        </is>
      </c>
      <c r="F4" s="11" t="inlineStr">
        <is>
          <t>새로운 경영진은 중대한 구조적 개혁을 불러일으켰습니다.</t>
        </is>
      </c>
      <c r="G4" s="5">
        <f>HYPERLINK("https://www.youtube.com/watch?v=oVbnvHWjsII", "영상 보기 ▶")</f>
        <v/>
      </c>
    </row>
    <row r="5" ht="26" customHeight="1">
      <c r="A5" s="6" t="n">
        <v>1154</v>
      </c>
      <c r="B5" s="7" t="inlineStr">
        <is>
          <t>수치 인하</t>
        </is>
      </c>
      <c r="C5" s="8" t="inlineStr">
        <is>
          <t>bring down</t>
        </is>
      </c>
      <c r="D5" s="12" t="inlineStr">
        <is>
          <t>(가격이나 비용을) 낮추다, 인하하다</t>
        </is>
      </c>
      <c r="E5" s="12" t="inlineStr">
        <is>
          <t>Automating warehouse workflows helped bring down logistics costs.</t>
        </is>
      </c>
      <c r="F5" s="12" t="inlineStr">
        <is>
          <t>물류창고 업무를 자동화하여 운송 및 물류비용을 크게 낮췄습니다.</t>
        </is>
      </c>
      <c r="G5" s="9">
        <f>HYPERLINK("https://www.youtube.com/watch?v=oVbnvHWjsII", "영상 보기 ▶")</f>
        <v/>
      </c>
    </row>
    <row r="6" ht="26" customHeight="1">
      <c r="A6" s="2" t="n">
        <v>1155</v>
      </c>
      <c r="B6" s="3" t="inlineStr">
        <is>
          <t>성공 완수</t>
        </is>
      </c>
      <c r="C6" s="4" t="inlineStr">
        <is>
          <t>bring off</t>
        </is>
      </c>
      <c r="D6" s="11" t="inlineStr">
        <is>
          <t>(난관을 뚫고 어려운 일을) 성공적으로 해내다</t>
        </is>
      </c>
      <c r="E6" s="11" t="inlineStr">
        <is>
          <t>It was a daring acquisition, but they brought it off brilliantly.</t>
        </is>
      </c>
      <c r="F6" s="11" t="inlineStr">
        <is>
          <t>대단히 모험적인 기업 인수였지만 그들은 눈부시게 성공적으로 완수해 냈어.</t>
        </is>
      </c>
      <c r="G6" s="5">
        <f>HYPERLINK("https://www.youtube.com/watch?v=oVbnvHWjsII", "영상 보기 ▶")</f>
        <v/>
      </c>
    </row>
    <row r="7" ht="26" customHeight="1">
      <c r="A7" s="6" t="n">
        <v>1156</v>
      </c>
      <c r="B7" s="7" t="inlineStr">
        <is>
          <t>도전 수용</t>
        </is>
      </c>
      <c r="C7" s="8" t="inlineStr">
        <is>
          <t>bring on</t>
        </is>
      </c>
      <c r="D7" s="12" t="inlineStr">
        <is>
          <t>덤벼봐, 얼마든지 감당해 주마 (Bring it on!)</t>
        </is>
      </c>
      <c r="E7" s="12" t="inlineStr">
        <is>
          <t>We've trained hard for this launch; bring on the challenge!</t>
        </is>
      </c>
      <c r="F7" s="12" t="inlineStr">
        <is>
          <t>이번 출시를 위해 맹훈련을 거쳤으니, 어떤 도전이든 덤벼라!</t>
        </is>
      </c>
      <c r="G7" s="9">
        <f>HYPERLINK("https://www.youtube.com/watch?v=oVbnvHWjsII", "영상 보기 ▶")</f>
        <v/>
      </c>
    </row>
    <row r="8" ht="26" customHeight="1">
      <c r="A8" s="2" t="n">
        <v>1157</v>
      </c>
      <c r="B8" s="3" t="inlineStr">
        <is>
          <t>입장 변화</t>
        </is>
      </c>
      <c r="C8" s="4" t="inlineStr">
        <is>
          <t>bring around</t>
        </is>
      </c>
      <c r="D8" s="11" t="inlineStr">
        <is>
          <t>(설득하여) 마음을 돌리게 하다, 납득시키다</t>
        </is>
      </c>
      <c r="E8" s="11" t="inlineStr">
        <is>
          <t>It took weeks, but we finally brought the skeptics around.</t>
        </is>
      </c>
      <c r="F8" s="11" t="inlineStr">
        <is>
          <t>몇 주가 걸렸지만 마침내 회의적이던 사람들을 설득해 마음을 돌렸습니다.</t>
        </is>
      </c>
      <c r="G8" s="5">
        <f>HYPERLINK("https://www.youtube.com/watch?v=oVbnvHWjsII", "영상 보기 ▶")</f>
        <v/>
      </c>
    </row>
    <row r="9" ht="26" customHeight="1">
      <c r="A9" s="6" t="n">
        <v>1158</v>
      </c>
      <c r="B9" s="7" t="inlineStr">
        <is>
          <t>절감 체감</t>
        </is>
      </c>
      <c r="C9" s="8" t="inlineStr">
        <is>
          <t>bring home</t>
        </is>
      </c>
      <c r="D9" s="12" t="inlineStr">
        <is>
          <t>(중대성을) 뼈저리게 실감하게 만들다</t>
        </is>
      </c>
      <c r="E9" s="12" t="inlineStr">
        <is>
          <t>The near-accident brought home the absolute need for caution.</t>
        </is>
      </c>
      <c r="F9" s="12" t="inlineStr">
        <is>
          <t>그 아찔한 사고 위기는 주의의 절대적 필요성을 뼈저리게 실감하게 했습니다.</t>
        </is>
      </c>
      <c r="G9" s="9">
        <f>HYPERLINK("https://www.youtube.com/watch?v=oVbnvHWjsII", "영상 보기 ▶")</f>
        <v/>
      </c>
    </row>
    <row r="10" ht="26" customHeight="1">
      <c r="A10" s="2" t="n">
        <v>1159</v>
      </c>
      <c r="B10" s="3" t="inlineStr">
        <is>
          <t>책임 수임</t>
        </is>
      </c>
      <c r="C10" s="4" t="inlineStr">
        <is>
          <t>take on</t>
        </is>
      </c>
      <c r="D10" s="11" t="inlineStr">
        <is>
          <t>(새로운 업무/책임을) 떠맡다, 착수하다</t>
        </is>
      </c>
      <c r="E10" s="11" t="inlineStr">
        <is>
          <t>I am honored to take on the lead role in this division.</t>
        </is>
      </c>
      <c r="F10" s="11" t="inlineStr">
        <is>
          <t>이 부서의 총괄 책임자 역할을 맡게 되어 대단히 영광입니다.</t>
        </is>
      </c>
      <c r="G10" s="5">
        <f>HYPERLINK("https://www.youtube.com/watch?v=oVbnvHWjsII", "영상 보기 ▶")</f>
        <v/>
      </c>
    </row>
    <row r="11" ht="26" customHeight="1">
      <c r="A11" s="6" t="n">
        <v>1160</v>
      </c>
      <c r="B11" s="7" t="inlineStr">
        <is>
          <t>급격한 성공</t>
        </is>
      </c>
      <c r="C11" s="8" t="inlineStr">
        <is>
          <t>take off</t>
        </is>
      </c>
      <c r="D11" s="12" t="inlineStr">
        <is>
          <t>① 이륙하다 ② (사업이) 날개 돋친 듯 급성장하다</t>
        </is>
      </c>
      <c r="E11" s="12" t="inlineStr">
        <is>
          <t>Sales really took off after the viral marketing video.</t>
        </is>
      </c>
      <c r="F11" s="12" t="inlineStr">
        <is>
          <t>바이럴 영상이 화제가 된 후 제품 판매가 그야말로 날개 돋친 듯 급성장했어.</t>
        </is>
      </c>
      <c r="G11" s="9">
        <f>HYPERLINK("https://www.youtube.com/watch?v=oVbnvHWjsII", "영상 보기 ▶")</f>
        <v/>
      </c>
    </row>
    <row r="12" ht="26" customHeight="1">
      <c r="A12" s="2" t="n">
        <v>1161</v>
      </c>
      <c r="B12" s="3" t="inlineStr">
        <is>
          <t>인수/인계</t>
        </is>
      </c>
      <c r="C12" s="4" t="inlineStr">
        <is>
          <t>take over</t>
        </is>
      </c>
      <c r="D12" s="11" t="inlineStr">
        <is>
          <t>(회사나 업무를) 인수하다, 인계받다</t>
        </is>
      </c>
      <c r="E12" s="11" t="inlineStr">
        <is>
          <t>She will take over as managing director starting next quarter.</t>
        </is>
      </c>
      <c r="F12" s="11" t="inlineStr">
        <is>
          <t>그녀는 다음 분기부터 총괄 상무직을 인계받아 맡게 될 예정입니다.</t>
        </is>
      </c>
      <c r="G12" s="5">
        <f>HYPERLINK("https://www.youtube.com/watch?v=oVbnvHWjsII", "영상 보기 ▶")</f>
        <v/>
      </c>
    </row>
    <row r="13" ht="26" customHeight="1">
      <c r="A13" s="6" t="n">
        <v>1162</v>
      </c>
      <c r="B13" s="7" t="inlineStr">
        <is>
          <t>시간 차지</t>
        </is>
      </c>
      <c r="C13" s="8" t="inlineStr">
        <is>
          <t>take up</t>
        </is>
      </c>
      <c r="D13" s="12" t="inlineStr">
        <is>
          <t>(공간이나 시간을) 차지하다, 새로운 취미를 시작하다</t>
        </is>
      </c>
      <c r="E13" s="12" t="inlineStr">
        <is>
          <t>Formatting tables takes up way too much of my working day.</t>
        </is>
      </c>
      <c r="F13" s="12" t="inlineStr">
        <is>
          <t>도표 서식을 정리하느라 근무 시간의 너무 많은 부분을 잡아먹어.</t>
        </is>
      </c>
      <c r="G13" s="9">
        <f>HYPERLINK("https://www.youtube.com/watch?v=oVbnvHWjsII", "영상 보기 ▶")</f>
        <v/>
      </c>
    </row>
    <row r="14" ht="26" customHeight="1">
      <c r="A14" s="2" t="n">
        <v>1163</v>
      </c>
      <c r="B14" s="3" t="inlineStr">
        <is>
          <t>이해/흡수</t>
        </is>
      </c>
      <c r="C14" s="4" t="inlineStr">
        <is>
          <t>take in</t>
        </is>
      </c>
      <c r="D14" s="11" t="inlineStr">
        <is>
          <t>(설명이나 경치를) 온전히 받아들이다, 이해하다</t>
        </is>
      </c>
      <c r="E14" s="11" t="inlineStr">
        <is>
          <t>The presentation had so much data, I couldn't take it all in.</t>
        </is>
      </c>
      <c r="F14" s="11" t="inlineStr">
        <is>
          <t>발표 자료에 데이터가 너무 많아서 한 번에 다 온전히 소화할 수가 없었어.</t>
        </is>
      </c>
      <c r="G14" s="5">
        <f>HYPERLINK("https://www.youtube.com/watch?v=oVbnvHWjsII", "영상 보기 ▶")</f>
        <v/>
      </c>
    </row>
    <row r="15" ht="26" customHeight="1">
      <c r="A15" s="6" t="n">
        <v>1164</v>
      </c>
      <c r="B15" s="7" t="inlineStr">
        <is>
          <t>필기/철거</t>
        </is>
      </c>
      <c r="C15" s="8" t="inlineStr">
        <is>
          <t>take down</t>
        </is>
      </c>
      <c r="D15" s="12" t="inlineStr">
        <is>
          <t>① 받아 적다 ② 게시물/구조물을 내리다/철거하다</t>
        </is>
      </c>
      <c r="E15" s="12" t="inlineStr">
        <is>
          <t>Let me take down your contact info so we can follow up.</t>
        </is>
      </c>
      <c r="F15" s="12" t="inlineStr">
        <is>
          <t>후속 연락을 드릴 수 있도록 연락처를 신속히 받아 적어둘게요.</t>
        </is>
      </c>
      <c r="G15" s="9">
        <f>HYPERLINK("https://www.youtube.com/watch?v=oVbnvHWjsII", "영상 보기 ▶")</f>
        <v/>
      </c>
    </row>
    <row r="16" ht="26" customHeight="1">
      <c r="A16" s="2" t="n">
        <v>1165</v>
      </c>
      <c r="B16" s="3" t="inlineStr">
        <is>
          <t>핵심 교훈</t>
        </is>
      </c>
      <c r="C16" s="4" t="inlineStr">
        <is>
          <t>takeaway</t>
        </is>
      </c>
      <c r="D16" s="11" t="inlineStr">
        <is>
          <t>(회의/강의에서의) 핵심 요점, 시사점</t>
        </is>
      </c>
      <c r="E16" s="11" t="inlineStr">
        <is>
          <t>What was your biggest takeaway from today's summit?</t>
        </is>
      </c>
      <c r="F16" s="11" t="inlineStr">
        <is>
          <t>오늘 정상회의에서 얻은 당신의 가장 큰 핵심 교훈은 무엇이었나요?</t>
        </is>
      </c>
      <c r="G16" s="5">
        <f>HYPERLINK("https://www.youtube.com/watch?v=oVbnvHWjsII", "영상 보기 ▶")</f>
        <v/>
      </c>
    </row>
    <row r="17" ht="26" customHeight="1">
      <c r="A17" s="6" t="n">
        <v>1166</v>
      </c>
      <c r="B17" s="7" t="inlineStr">
        <is>
          <t>당혹감</t>
        </is>
      </c>
      <c r="C17" s="8" t="inlineStr">
        <is>
          <t>take aback</t>
        </is>
      </c>
      <c r="D17" s="12" t="inlineStr">
        <is>
          <t>(뜻밖의 일에) 몹시 당황하다, 깜짝 놀라다</t>
        </is>
      </c>
      <c r="E17" s="12" t="inlineStr">
        <is>
          <t>I was taken aback by his unusually aggressive response.</t>
        </is>
      </c>
      <c r="F17" s="12" t="inlineStr">
        <is>
          <t>그의 유난히 공격적인 반응에 나는 몹시 당황하고 깜짝 놀랐어.</t>
        </is>
      </c>
      <c r="G17" s="9">
        <f>HYPERLINK("https://www.youtube.com/watch?v=oVbnvHWjsII", "영상 보기 ▶")</f>
        <v/>
      </c>
    </row>
    <row r="18" ht="26" customHeight="1">
      <c r="A18" s="2" t="n">
        <v>1167</v>
      </c>
      <c r="B18" s="3" t="inlineStr">
        <is>
          <t>부모 닮음</t>
        </is>
      </c>
      <c r="C18" s="4" t="inlineStr">
        <is>
          <t>take after</t>
        </is>
      </c>
      <c r="D18" s="11" t="inlineStr">
        <is>
          <t>(부모나 손윗사람을) 성격이나 외모로 닮다</t>
        </is>
      </c>
      <c r="E18" s="11" t="inlineStr">
        <is>
          <t>She clearly takes after her mother in her artistic talent.</t>
        </is>
      </c>
      <c r="F18" s="11" t="inlineStr">
        <is>
          <t>그녀는 예술적 재능 면에서 어머니를 쏙 빼닮았어.</t>
        </is>
      </c>
      <c r="G18" s="5">
        <f>HYPERLINK("https://www.youtube.com/watch?v=oVbnvHWjsII", "영상 보기 ▶")</f>
        <v/>
      </c>
    </row>
    <row r="19" ht="26" customHeight="1">
      <c r="A19" s="6" t="n">
        <v>1168</v>
      </c>
      <c r="B19" s="7" t="inlineStr">
        <is>
          <t>발언 취소</t>
        </is>
      </c>
      <c r="C19" s="8" t="inlineStr">
        <is>
          <t>take back</t>
        </is>
      </c>
      <c r="D19" s="12" t="inlineStr">
        <is>
          <t>(했던 말을) 취소하다, 거두어들이다</t>
        </is>
      </c>
      <c r="E19" s="12" t="inlineStr">
        <is>
          <t>I apologize; that was unfair of me, and I take it back.</t>
        </is>
      </c>
      <c r="F19" s="12" t="inlineStr">
        <is>
          <t>사과할게, 내가 불공평했어. 방금 했던 말은 취소할게.</t>
        </is>
      </c>
      <c r="G19" s="9">
        <f>HYPERLINK("https://www.youtube.com/watch?v=oVbnvHWjsII", "영상 보기 ▶")</f>
        <v/>
      </c>
    </row>
    <row r="20" ht="26" customHeight="1">
      <c r="A20" s="2" t="n">
        <v>1169</v>
      </c>
      <c r="B20" s="3" t="inlineStr">
        <is>
          <t>식사 대접</t>
        </is>
      </c>
      <c r="C20" s="4" t="inlineStr">
        <is>
          <t>take out</t>
        </is>
      </c>
      <c r="D20" s="11" t="inlineStr">
        <is>
          <t>~를 데리고 나가 맛있는 식사를 사주다/대접하다</t>
        </is>
      </c>
      <c r="E20" s="11" t="inlineStr">
        <is>
          <t>Let me take you out for lunch to celebrate your success.</t>
        </is>
      </c>
      <c r="F20" s="11" t="inlineStr">
        <is>
          <t>너의 성공을 축하하며 내가 근사한 점심 한턱 살게.</t>
        </is>
      </c>
      <c r="G20" s="5">
        <f>HYPERLINK("https://www.youtube.com/watch?v=oVbnvHWjsII", "영상 보기 ▶")</f>
        <v/>
      </c>
    </row>
    <row r="21" ht="26" customHeight="1">
      <c r="A21" s="6" t="n">
        <v>1170</v>
      </c>
      <c r="B21" s="7" t="inlineStr">
        <is>
          <t>차근차근 안내</t>
        </is>
      </c>
      <c r="C21" s="8" t="inlineStr">
        <is>
          <t>take (사람) through</t>
        </is>
      </c>
      <c r="D21" s="12" t="inlineStr">
        <is>
          <t>~에게 과정을 차근차근 설명해 주다/안내하다</t>
        </is>
      </c>
      <c r="E21" s="12" t="inlineStr">
        <is>
          <t>Let me take you through the onboarding steps one by one.</t>
        </is>
      </c>
      <c r="F21" s="12" t="inlineStr">
        <is>
          <t>온보딩 단계들을 하나씩 차근차근 친절하게 안내해 드릴게요.</t>
        </is>
      </c>
      <c r="G21" s="9">
        <f>HYPERLINK("https://www.youtube.com/watch?v=oVbnvHWjsII", "영상 보기 ▶")</f>
        <v/>
      </c>
    </row>
    <row r="22" ht="26" customHeight="1">
      <c r="A22" s="2" t="n">
        <v>1171</v>
      </c>
      <c r="B22" s="3" t="inlineStr">
        <is>
          <t>인내</t>
        </is>
      </c>
      <c r="C22" s="4" t="inlineStr">
        <is>
          <t>put up with</t>
        </is>
      </c>
      <c r="D22" s="11" t="inlineStr">
        <is>
          <t>(짜증 나거나 힘든 상황을) 참고 견디다</t>
        </is>
      </c>
      <c r="E22" s="11" t="inlineStr">
        <is>
          <t>I refuse to put up with such disrespectful behavior.</t>
        </is>
      </c>
      <c r="F22" s="11" t="inlineStr">
        <is>
          <t>그런 무례한 태도를 더 이상은 참고 견딜 수 없습니다.</t>
        </is>
      </c>
      <c r="G22" s="5">
        <f>HYPERLINK("https://www.youtube.com/watch?v=oVbnvHWjsII", "영상 보기 ▶")</f>
        <v/>
      </c>
    </row>
    <row r="23" ht="26" customHeight="1">
      <c r="A23" s="6" t="n">
        <v>1172</v>
      </c>
      <c r="B23" s="7" t="inlineStr">
        <is>
          <t>일정 연기</t>
        </is>
      </c>
      <c r="C23" s="8" t="inlineStr">
        <is>
          <t>put off</t>
        </is>
      </c>
      <c r="D23" s="12" t="inlineStr">
        <is>
          <t>(귀찮아서) 나중으로 미루다, 연기하다</t>
        </is>
      </c>
      <c r="E23" s="12" t="inlineStr">
        <is>
          <t>Don't put off filing your expenses until the very last day.</t>
        </is>
      </c>
      <c r="F23" s="12" t="inlineStr">
        <is>
          <t>경비 청구서 제출을 마감 맨 마지막 날까지 미루지 마세요.</t>
        </is>
      </c>
      <c r="G23" s="9">
        <f>HYPERLINK("https://www.youtube.com/watch?v=oVbnvHWjsII", "영상 보기 ▶")</f>
        <v/>
      </c>
    </row>
    <row r="24" ht="26" customHeight="1">
      <c r="A24" s="2" t="n">
        <v>1173</v>
      </c>
      <c r="B24" s="3" t="inlineStr">
        <is>
          <t>당혹한 지목</t>
        </is>
      </c>
      <c r="C24" s="4" t="inlineStr">
        <is>
          <t>put on the spot</t>
        </is>
      </c>
      <c r="D24" s="11" t="inlineStr">
        <is>
          <t>(준비되지 않은 사람을) 곤란하게 지목하다</t>
        </is>
      </c>
      <c r="E24" s="11" t="inlineStr">
        <is>
          <t>I'm sorry to put you on the spot, but what is your opinion?</t>
        </is>
      </c>
      <c r="F24" s="11" t="inlineStr">
        <is>
          <t>불시에 지목해 곤란하게 해드려 죄송하지만, 의견이 어떠신가요?</t>
        </is>
      </c>
      <c r="G24" s="5">
        <f>HYPERLINK("https://www.youtube.com/watch?v=oVbnvHWjsII", "영상 보기 ▶")</f>
        <v/>
      </c>
    </row>
    <row r="25" ht="26" customHeight="1">
      <c r="A25" s="6" t="n">
        <v>1174</v>
      </c>
      <c r="B25" s="7" t="inlineStr">
        <is>
          <t>자료 취합</t>
        </is>
      </c>
      <c r="C25" s="8" t="inlineStr">
        <is>
          <t>put together</t>
        </is>
      </c>
      <c r="D25" s="12" t="inlineStr">
        <is>
          <t>(프레젠테이션/문서를) 준비하다, 취합하다</t>
        </is>
      </c>
      <c r="E25" s="12" t="inlineStr">
        <is>
          <t>Could you put together a summary deck for the investors?</t>
        </is>
      </c>
      <c r="F25" s="12" t="inlineStr">
        <is>
          <t>투자자들을 위한 요약 발표 자료 좀 취합해서 준비해 줄 수 있어?</t>
        </is>
      </c>
      <c r="G25" s="9">
        <f>HYPERLINK("https://www.youtube.com/watch?v=oVbnvHWjsII", "영상 보기 ▶")</f>
        <v/>
      </c>
    </row>
    <row r="26" ht="26" customHeight="1">
      <c r="A26" s="2" t="n">
        <v>1175</v>
      </c>
      <c r="B26" s="3" t="inlineStr">
        <is>
          <t>안건 제안</t>
        </is>
      </c>
      <c r="C26" s="4" t="inlineStr">
        <is>
          <t>put forward</t>
        </is>
      </c>
      <c r="D26" s="11" t="inlineStr">
        <is>
          <t>(의견/아이디어를) 공식적으로 제시하다</t>
        </is>
      </c>
      <c r="E26" s="11" t="inlineStr">
        <is>
          <t>He put forward an innovative plan to cut operational waste.</t>
        </is>
      </c>
      <c r="F26" s="11" t="inlineStr">
        <is>
          <t>그는 운영상 낭비를 줄이기 위한 혁신적인 기획안을 공식 제시했습니다.</t>
        </is>
      </c>
      <c r="G26" s="5">
        <f>HYPERLINK("https://www.youtube.com/watch?v=oVbnvHWjsII", "영상 보기 ▶")</f>
        <v/>
      </c>
    </row>
    <row r="27" ht="26" customHeight="1">
      <c r="A27" s="6" t="n">
        <v>1176</v>
      </c>
      <c r="B27" s="7" t="inlineStr">
        <is>
          <t>과거 매듭</t>
        </is>
      </c>
      <c r="C27" s="8" t="inlineStr">
        <is>
          <t>put behind</t>
        </is>
      </c>
      <c r="D27" s="12" t="inlineStr">
        <is>
          <t>(안 좋은 과거를) 털어버리고 뒤로 넘기다</t>
        </is>
      </c>
      <c r="E27" s="12" t="inlineStr">
        <is>
          <t>Let's put this misunderstanding behind us and move forward.</t>
        </is>
      </c>
      <c r="F27" s="12" t="inlineStr">
        <is>
          <t>이번 오해는 훌훌 털어버리고 미래를 향해 함께 나아갑시다.</t>
        </is>
      </c>
      <c r="G27" s="9">
        <f>HYPERLINK("https://www.youtube.com/watch?v=oVbnvHWjsII", "영상 보기 ▶")</f>
        <v/>
      </c>
    </row>
    <row r="28" ht="26" customHeight="1">
      <c r="A28" s="2" t="n">
        <v>1177</v>
      </c>
      <c r="B28" s="3" t="inlineStr">
        <is>
          <t>의사 전달</t>
        </is>
      </c>
      <c r="C28" s="4" t="inlineStr">
        <is>
          <t>put across</t>
        </is>
      </c>
      <c r="D28" s="11" t="inlineStr">
        <is>
          <t>(자신의 생각을) 명확하게 납득시키다/전달하다</t>
        </is>
      </c>
      <c r="E28" s="11" t="inlineStr">
        <is>
          <t>She successfully put across her vision to the board.</t>
        </is>
      </c>
      <c r="F28" s="11" t="inlineStr">
        <is>
          <t>그녀는 이사진에게 자신의 미래 비전을 명확하게 납득시켰습니다.</t>
        </is>
      </c>
      <c r="G28" s="5">
        <f>HYPERLINK("https://www.youtube.com/watch?v=oVbnvHWjsII", "영상 보기 ▶")</f>
        <v/>
      </c>
    </row>
    <row r="29" ht="26" customHeight="1">
      <c r="A29" s="6" t="n">
        <v>1178</v>
      </c>
      <c r="B29" s="7" t="inlineStr">
        <is>
          <t>비하/메모</t>
        </is>
      </c>
      <c r="C29" s="8" t="inlineStr">
        <is>
          <t>put down</t>
        </is>
      </c>
      <c r="D29" s="12" t="inlineStr">
        <is>
          <t>① 깎아내리다, 비하하다 ② 기록하다/적다</t>
        </is>
      </c>
      <c r="E29" s="12" t="inlineStr">
        <is>
          <t>A good manager never puts down employees in public.</t>
        </is>
      </c>
      <c r="F29" s="12" t="inlineStr">
        <is>
          <t>훌륭한 관리자는 공개된 자리에서 부하 직원을 깎아내리지 않습니다.</t>
        </is>
      </c>
      <c r="G29" s="9">
        <f>HYPERLINK("https://www.youtube.com/watch?v=oVbnvHWjsII", "영상 보기 ▶")</f>
        <v/>
      </c>
    </row>
    <row r="30" ht="26" customHeight="1">
      <c r="A30" s="2" t="n">
        <v>1179</v>
      </c>
      <c r="B30" s="3" t="inlineStr">
        <is>
          <t>불편 감수</t>
        </is>
      </c>
      <c r="C30" s="4" t="inlineStr">
        <is>
          <t>put out</t>
        </is>
      </c>
      <c r="D30" s="11" t="inlineStr">
        <is>
          <t>(타인에게) 번거로움/불편을 끼치다 (be put out)</t>
        </is>
      </c>
      <c r="E30" s="11" t="inlineStr">
        <is>
          <t>I don't want to put you out, so I can take a cab.</t>
        </is>
      </c>
      <c r="F30" s="11" t="inlineStr">
        <is>
          <t>당신을 번거롭게 해드리고 싶지 않으니 택시를 타고 갈게요.</t>
        </is>
      </c>
      <c r="G30" s="5">
        <f>HYPERLINK("https://www.youtube.com/watch?v=oVbnvHWjsII", "영상 보기 ▶")</f>
        <v/>
      </c>
    </row>
    <row r="31" ht="26" customHeight="1">
      <c r="A31" s="6" t="n">
        <v>1180</v>
      </c>
      <c r="B31" s="7" t="inlineStr">
        <is>
          <t>전화 연결</t>
        </is>
      </c>
      <c r="C31" s="8" t="inlineStr">
        <is>
          <t>put through</t>
        </is>
      </c>
      <c r="D31" s="12" t="inlineStr">
        <is>
          <t>(전화 통화 상대를) 연결해 주다</t>
        </is>
      </c>
      <c r="E31" s="12" t="inlineStr">
        <is>
          <t>Hold the line, please; I will put you through to accounting.</t>
        </is>
      </c>
      <c r="F31" s="12" t="inlineStr">
        <is>
          <t>잠시만 끊지 말고 기다려주세요, 회계팀으로 전화 연결해 드리겠습니다.</t>
        </is>
      </c>
      <c r="G31" s="9">
        <f>HYPERLINK("https://www.youtube.com/watch?v=oVbnvHWjsII", "영상 보기 ▶")</f>
        <v/>
      </c>
    </row>
    <row r="32" ht="26" customHeight="1">
      <c r="A32" s="2" t="n">
        <v>1181</v>
      </c>
      <c r="B32" s="3" t="inlineStr">
        <is>
          <t>성공 출세</t>
        </is>
      </c>
      <c r="C32" s="4" t="inlineStr">
        <is>
          <t>get ahead</t>
        </is>
      </c>
      <c r="D32" s="11" t="inlineStr">
        <is>
          <t>남보다 앞서 나가다, 출세하다, 성공하다</t>
        </is>
      </c>
      <c r="E32" s="11" t="inlineStr">
        <is>
          <t>Continuous self-learning is essential to get ahead in your career.</t>
        </is>
      </c>
      <c r="F32" s="11" t="inlineStr">
        <is>
          <t>커리어에서 남보다 앞서 성공하려면 지속적인 자기계발이 필수적입니다.</t>
        </is>
      </c>
      <c r="G32" s="5">
        <f>HYPERLINK("https://www.youtube.com/watch?v=oVbnvHWjsII", "영상 보기 ▶")</f>
        <v/>
      </c>
    </row>
    <row r="33" ht="26" customHeight="1">
      <c r="A33" s="6" t="n">
        <v>1182</v>
      </c>
      <c r="B33" s="7" t="inlineStr">
        <is>
          <t>원만한 관계</t>
        </is>
      </c>
      <c r="C33" s="8" t="inlineStr">
        <is>
          <t>get along</t>
        </is>
      </c>
      <c r="D33" s="12" t="inlineStr">
        <is>
          <t>(동료들과) 사이좋게 원만하게 지내다</t>
        </is>
      </c>
      <c r="E33" s="12" t="inlineStr">
        <is>
          <t>Our engineering and product teams get along very well.</t>
        </is>
      </c>
      <c r="F33" s="12" t="inlineStr">
        <is>
          <t>우리 엔지니어링팀과 프로덕트팀은 대단히 원만하게 잘 지냅니다.</t>
        </is>
      </c>
      <c r="G33" s="9">
        <f>HYPERLINK("https://www.youtube.com/watch?v=oVbnvHWjsII", "영상 보기 ▶")</f>
        <v/>
      </c>
    </row>
    <row r="34" ht="26" customHeight="1">
      <c r="A34" s="2" t="n">
        <v>1183</v>
      </c>
      <c r="B34" s="3" t="inlineStr">
        <is>
          <t>의사 소통</t>
        </is>
      </c>
      <c r="C34" s="4" t="inlineStr">
        <is>
          <t>get across</t>
        </is>
      </c>
      <c r="D34" s="11" t="inlineStr">
        <is>
          <t>(메시지가) 청중에게 잘 전달되다/먹히다</t>
        </is>
      </c>
      <c r="E34" s="11" t="inlineStr">
        <is>
          <t>Did the core message get across clearly during the demo?</t>
        </is>
      </c>
      <c r="F34" s="11" t="inlineStr">
        <is>
          <t>시연 발표 중에 핵심 메시지가 청중에게 명확히 잘 전달되었나요?</t>
        </is>
      </c>
      <c r="G34" s="5">
        <f>HYPERLINK("https://www.youtube.com/watch?v=oVbnvHWjsII", "영상 보기 ▶")</f>
        <v/>
      </c>
    </row>
    <row r="35" ht="26" customHeight="1">
      <c r="A35" s="6" t="n">
        <v>1184</v>
      </c>
      <c r="B35" s="7" t="inlineStr">
        <is>
          <t>문제 우회</t>
        </is>
      </c>
      <c r="C35" s="8" t="inlineStr">
        <is>
          <t>get around</t>
        </is>
      </c>
      <c r="D35" s="12" t="inlineStr">
        <is>
          <t>(규제나 장애물을) 융통성 있게 우회하다/돌파하다</t>
        </is>
      </c>
      <c r="E35" s="12" t="inlineStr">
        <is>
          <t>We found a clever software workaround to get around the bug.</t>
        </is>
      </c>
      <c r="F35" s="12" t="inlineStr">
        <is>
          <t>우리는 그 버그를 우회할 수 있는 기발한 소프트웨어 해결책을 찾아냈어.</t>
        </is>
      </c>
      <c r="G35" s="9">
        <f>HYPERLINK("https://www.youtube.com/watch?v=oVbnvHWjsII", "영상 보기 ▶")</f>
        <v/>
      </c>
    </row>
    <row r="36" ht="26" customHeight="1">
      <c r="A36" s="2" t="n">
        <v>1185</v>
      </c>
      <c r="B36" s="3" t="inlineStr">
        <is>
          <t>휴가 떠남</t>
        </is>
      </c>
      <c r="C36" s="4" t="inlineStr">
        <is>
          <t>get away</t>
        </is>
      </c>
      <c r="D36" s="11" t="inlineStr">
        <is>
          <t>(바쁜 일상에서 벗어나) 휴가를 떠나다</t>
        </is>
      </c>
      <c r="E36" s="11" t="inlineStr">
        <is>
          <t>I desperately need a weekend trip to get away from work stress.</t>
        </is>
      </c>
      <c r="F36" s="11" t="inlineStr">
        <is>
          <t>업무 스트레스에서 벗어나 재충전할 주말 휴가가 절실히 필요해.</t>
        </is>
      </c>
      <c r="G36" s="5">
        <f>HYPERLINK("https://www.youtube.com/watch?v=oVbnvHWjsII", "영상 보기 ▶")</f>
        <v/>
      </c>
    </row>
    <row r="37" ht="26" customHeight="1">
      <c r="A37" s="6" t="n">
        <v>1186</v>
      </c>
      <c r="B37" s="7" t="inlineStr">
        <is>
          <t>생계 유지</t>
        </is>
      </c>
      <c r="C37" s="8" t="inlineStr">
        <is>
          <t>get by</t>
        </is>
      </c>
      <c r="D37" s="12" t="inlineStr">
        <is>
          <t>그럭저럭 살아가다, 근근이 버텨내다</t>
        </is>
      </c>
      <c r="E37" s="12" t="inlineStr">
        <is>
          <t>My basic conversational French is enough to get by in Paris.</t>
        </is>
      </c>
      <c r="F37" s="12" t="inlineStr">
        <is>
          <t>내 기초 프랑스어 회화 실력은 파리에서 그럭저럭 다니기에 충분해.</t>
        </is>
      </c>
      <c r="G37" s="9">
        <f>HYPERLINK("https://www.youtube.com/watch?v=oVbnvHWjsII", "영상 보기 ▶")</f>
        <v/>
      </c>
    </row>
    <row r="38" ht="26" customHeight="1">
      <c r="A38" s="2" t="n">
        <v>1187</v>
      </c>
      <c r="B38" s="3" t="inlineStr">
        <is>
          <t>본격 착수</t>
        </is>
      </c>
      <c r="C38" s="4" t="inlineStr">
        <is>
          <t>get down to</t>
        </is>
      </c>
      <c r="D38" s="11" t="inlineStr">
        <is>
          <t>(미루지 않고) 본격적인 본론/업무에 착수하다</t>
        </is>
      </c>
      <c r="E38" s="11" t="inlineStr">
        <is>
          <t>Enough small talk; let's get down to business.</t>
        </is>
      </c>
      <c r="F38" s="11" t="inlineStr">
        <is>
          <t>스몰토크는 이쯤 하고 이제 본격적인 비즈니스 본론으로 들어갑시다.</t>
        </is>
      </c>
      <c r="G38" s="5">
        <f>HYPERLINK("https://www.youtube.com/watch?v=oVbnvHWjsII", "영상 보기 ▶")</f>
        <v/>
      </c>
    </row>
    <row r="39" ht="26" customHeight="1">
      <c r="A39" s="6" t="n">
        <v>1188</v>
      </c>
      <c r="B39" s="7" t="inlineStr">
        <is>
          <t>흥미 시작</t>
        </is>
      </c>
      <c r="C39" s="8" t="inlineStr">
        <is>
          <t>get into</t>
        </is>
      </c>
      <c r="D39" s="12" t="inlineStr">
        <is>
          <t>~에 입문하다, 흥미를 붙이다</t>
        </is>
      </c>
      <c r="E39" s="12" t="inlineStr">
        <is>
          <t>How did you first get into product management?</t>
        </is>
      </c>
      <c r="F39" s="12" t="inlineStr">
        <is>
          <t>프로덕트 매니지먼트 분야에는 처음에 어쩌다가 입문하시게 되었나요?</t>
        </is>
      </c>
      <c r="G39" s="9">
        <f>HYPERLINK("https://www.youtube.com/watch?v=oVbnvHWjsII", "영상 보기 ▶")</f>
        <v/>
      </c>
    </row>
    <row r="40" ht="26" customHeight="1">
      <c r="A40" s="2" t="n">
        <v>1189</v>
      </c>
      <c r="B40" s="3" t="inlineStr">
        <is>
          <t>일과 퇴근</t>
        </is>
      </c>
      <c r="C40" s="4" t="inlineStr">
        <is>
          <t>get off</t>
        </is>
      </c>
      <c r="D40" s="11" t="inlineStr">
        <is>
          <t>퇴근하다 (get off work at 6 PM)</t>
        </is>
      </c>
      <c r="E40" s="11" t="inlineStr">
        <is>
          <t>Let's grab a beer as soon as you get off work.</t>
        </is>
      </c>
      <c r="F40" s="11" t="inlineStr">
        <is>
          <t>퇴근하는 대로 바로 만나서 맥주 한잔하자.</t>
        </is>
      </c>
      <c r="G40" s="5">
        <f>HYPERLINK("https://www.youtube.com/watch?v=oVbnvHWjsII", "영상 보기 ▶")</f>
        <v/>
      </c>
    </row>
    <row r="41" ht="26" customHeight="1">
      <c r="A41" s="6" t="n">
        <v>1190</v>
      </c>
      <c r="B41" s="7" t="inlineStr">
        <is>
          <t>일 재개</t>
        </is>
      </c>
      <c r="C41" s="8" t="inlineStr">
        <is>
          <t>get on with</t>
        </is>
      </c>
      <c r="D41" s="12" t="inlineStr">
        <is>
          <t>(지체 없이) 하던 일을 계속해서 해나가다</t>
        </is>
      </c>
      <c r="E41" s="12" t="inlineStr">
        <is>
          <t>Stop daydreaming and get on with your assignments.</t>
        </is>
      </c>
      <c r="F41" s="12" t="inlineStr">
        <is>
          <t>멍때리지 말고 네게 주어진 과제들을 계속해서 해나가렴.</t>
        </is>
      </c>
      <c r="G41" s="9">
        <f>HYPERLINK("https://www.youtube.com/watch?v=oVbnvHWjsII", "영상 보기 ▶")</f>
        <v/>
      </c>
    </row>
    <row r="42" ht="26" customHeight="1">
      <c r="A42" s="2" t="n">
        <v>1191</v>
      </c>
      <c r="B42" s="3" t="inlineStr">
        <is>
          <t>의무 회피</t>
        </is>
      </c>
      <c r="C42" s="4" t="inlineStr">
        <is>
          <t>get out of</t>
        </is>
      </c>
      <c r="D42" s="11" t="inlineStr">
        <is>
          <t>(귀찮은 약속이나 일에서) 빠져나오다, 회피하다</t>
        </is>
      </c>
      <c r="E42" s="11" t="inlineStr">
        <is>
          <t>I'm trying to find an excuse to get out of the boring dinner.</t>
        </is>
      </c>
      <c r="F42" s="11" t="inlineStr">
        <is>
          <t>지루한 저녁 회식 자리에서 빠져나올 핑계를 찾는 중이야.</t>
        </is>
      </c>
      <c r="G42" s="5">
        <f>HYPERLINK("https://www.youtube.com/watch?v=oVbnvHWjsII", "영상 보기 ▶")</f>
        <v/>
      </c>
    </row>
    <row r="43" ht="26" customHeight="1">
      <c r="A43" s="6" t="n">
        <v>1192</v>
      </c>
      <c r="B43" s="7" t="inlineStr">
        <is>
          <t>극복 회복</t>
        </is>
      </c>
      <c r="C43" s="8" t="inlineStr">
        <is>
          <t>get over</t>
        </is>
      </c>
      <c r="D43" s="12" t="inlineStr">
        <is>
          <t>(충격/질병/실연을) 극복하다, 털고 일어나다</t>
        </is>
      </c>
      <c r="E43" s="12" t="inlineStr">
        <is>
          <t>It took him several months to get over the rejection.</t>
        </is>
      </c>
      <c r="F43" s="12" t="inlineStr">
        <is>
          <t>투자 거절의 충격을 털고 일어서기까지 몇 달이 걸렸습니다.</t>
        </is>
      </c>
      <c r="G43" s="9">
        <f>HYPERLINK("https://www.youtube.com/watch?v=oVbnvHWjsII", "영상 보기 ▶")</f>
        <v/>
      </c>
    </row>
    <row r="44" ht="26" customHeight="1">
      <c r="A44" s="2" t="n">
        <v>1193</v>
      </c>
      <c r="B44" s="3" t="inlineStr">
        <is>
          <t>난관 통과</t>
        </is>
      </c>
      <c r="C44" s="4" t="inlineStr">
        <is>
          <t>get through</t>
        </is>
      </c>
      <c r="D44" s="11" t="inlineStr">
        <is>
          <t>(힘든 시기를) 꿋꿋이 헤쳐 나가다, 전화 연결되다</t>
        </is>
      </c>
      <c r="E44" s="11" t="inlineStr">
        <is>
          <t>We supported each other to get through the product crisis.</t>
        </is>
      </c>
      <c r="F44" s="11" t="inlineStr">
        <is>
          <t>우리는 제품 위기를 헤쳐 나가기 위해 서로를 든든히 지탱해 주었습니다.</t>
        </is>
      </c>
      <c r="G44" s="5">
        <f>HYPERLINK("https://www.youtube.com/watch?v=oVbnvHWjsII", "영상 보기 ▶")</f>
        <v/>
      </c>
    </row>
    <row r="45" ht="26" customHeight="1">
      <c r="A45" s="6" t="n">
        <v>1194</v>
      </c>
      <c r="B45" s="7" t="inlineStr">
        <is>
          <t>진도 도달</t>
        </is>
      </c>
      <c r="C45" s="8" t="inlineStr">
        <is>
          <t>get up to</t>
        </is>
      </c>
      <c r="D45" s="12" t="inlineStr">
        <is>
          <t>(어떤 분량/진도까지) 도달하다, 마치다</t>
        </is>
      </c>
      <c r="E45" s="12" t="inlineStr">
        <is>
          <t>Which chapter did you get up to in the reading?</t>
        </is>
      </c>
      <c r="F45" s="12" t="inlineStr">
        <is>
          <t>독서 과제 몇 장까지 진도를 나갔어?</t>
        </is>
      </c>
      <c r="G45" s="9">
        <f>HYPERLINK("https://www.youtube.com/watch?v=oVbnvHWjsII", "영상 보기 ▶")</f>
        <v/>
      </c>
    </row>
    <row r="46" ht="26" customHeight="1">
      <c r="A46" s="2" t="n">
        <v>1195</v>
      </c>
      <c r="B46" s="3" t="inlineStr">
        <is>
          <t>임기응변</t>
        </is>
      </c>
      <c r="C46" s="4" t="inlineStr">
        <is>
          <t>make do</t>
        </is>
      </c>
      <c r="D46" s="11" t="inlineStr">
        <is>
          <t>아쉬운 대로 그럭저럭 때우다/만족하다</t>
        </is>
      </c>
      <c r="E46" s="11" t="inlineStr">
        <is>
          <t>We don't have a projector, so we'll have to make do with handouts.</t>
        </is>
      </c>
      <c r="F46" s="11" t="inlineStr">
        <is>
          <t>프로젝터가 없으니 아쉬운 대로 유인물로 때우며 진행해야겠어.</t>
        </is>
      </c>
      <c r="G46" s="5">
        <f>HYPERLINK("https://www.youtube.com/watch?v=oVbnvHWjsII", "영상 보기 ▶")</f>
        <v/>
      </c>
    </row>
    <row r="47" ht="26" customHeight="1">
      <c r="A47" s="6" t="n">
        <v>1196</v>
      </c>
      <c r="B47" s="7" t="inlineStr">
        <is>
          <t>파악 판독</t>
        </is>
      </c>
      <c r="C47" s="8" t="inlineStr">
        <is>
          <t>make out</t>
        </is>
      </c>
      <c r="D47" s="12" t="inlineStr">
        <is>
          <t>(흐릿한 글씨나 소리를) 알아보다, 판독하다</t>
        </is>
      </c>
      <c r="E47" s="12" t="inlineStr">
        <is>
          <t>I can barely make out his messy handwritten notes.</t>
        </is>
      </c>
      <c r="F47" s="12" t="inlineStr">
        <is>
          <t>그의 엉망인 손글씨 메모는 도저히 무슨 글자인지 알아보기 힘들어.</t>
        </is>
      </c>
      <c r="G47" s="9">
        <f>HYPERLINK("https://www.youtube.com/watch?v=oVbnvHWjsII", "영상 보기 ▶")</f>
        <v/>
      </c>
    </row>
    <row r="48" ht="26" customHeight="1">
      <c r="A48" s="2" t="n">
        <v>1197</v>
      </c>
      <c r="B48" s="3" t="inlineStr">
        <is>
          <t>도주 횡재</t>
        </is>
      </c>
      <c r="C48" s="4" t="inlineStr">
        <is>
          <t>make off</t>
        </is>
      </c>
      <c r="D48" s="11" t="inlineStr">
        <is>
          <t>급히 달아나다, 가로채 달아나다</t>
        </is>
      </c>
      <c r="E48" s="11" t="inlineStr">
        <is>
          <t>The startup founders made off with a huge profit after the buyout.</t>
        </is>
      </c>
      <c r="F48" s="11" t="inlineStr">
        <is>
          <t>스타트업 창업자들은 기업 매각 후 막대한 차익을 챙겼습니다.</t>
        </is>
      </c>
      <c r="G48" s="5">
        <f>HYPERLINK("https://www.youtube.com/watch?v=oVbnvHWjsII", "영상 보기 ▶")</f>
        <v/>
      </c>
    </row>
    <row r="49" ht="26" customHeight="1">
      <c r="A49" s="6" t="n">
        <v>1198</v>
      </c>
      <c r="B49" s="7" t="inlineStr">
        <is>
          <t>이치 타당</t>
        </is>
      </c>
      <c r="C49" s="8" t="inlineStr">
        <is>
          <t>make sense</t>
        </is>
      </c>
      <c r="D49" s="12" t="inlineStr">
        <is>
          <t>말이 되다, 이치에 맞다, 이해가 가다</t>
        </is>
      </c>
      <c r="E49" s="12" t="inlineStr">
        <is>
          <t>That explanation makes total sense now; thank you.</t>
        </is>
      </c>
      <c r="F49" s="12" t="inlineStr">
        <is>
          <t>그 설명을 듣고 나니 이제 완전히 납득이 가고 이해되네요. 감사합니다.</t>
        </is>
      </c>
      <c r="G49" s="9">
        <f>HYPERLINK("https://www.youtube.com/watch?v=oVbnvHWjsII", "영상 보기 ▶")</f>
        <v/>
      </c>
    </row>
    <row r="50" ht="26" customHeight="1">
      <c r="A50" s="2" t="n">
        <v>1199</v>
      </c>
      <c r="B50" s="3" t="inlineStr">
        <is>
          <t>보상 만회</t>
        </is>
      </c>
      <c r="C50" s="4" t="inlineStr">
        <is>
          <t>make up for</t>
        </is>
      </c>
      <c r="D50" s="11" t="inlineStr">
        <is>
          <t>(실수나 손실을) 만회하다, 보상하다</t>
        </is>
      </c>
      <c r="E50" s="11" t="inlineStr">
        <is>
          <t>I'll work through the weekend to make up for lost time.</t>
        </is>
      </c>
      <c r="F50" s="11" t="inlineStr">
        <is>
          <t>지연된 일정을 만회하기 위해 이번 주말에도 출근해 일할게요.</t>
        </is>
      </c>
      <c r="G50" s="5">
        <f>HYPERLINK("https://www.youtube.com/watch?v=oVbnvHWjsII", "영상 보기 ▶")</f>
        <v/>
      </c>
    </row>
    <row r="51" ht="26" customHeight="1">
      <c r="A51" s="6" t="n">
        <v>1200</v>
      </c>
      <c r="B51" s="7" t="inlineStr">
        <is>
          <t>길 터주기</t>
        </is>
      </c>
      <c r="C51" s="8" t="inlineStr">
        <is>
          <t>make way for</t>
        </is>
      </c>
      <c r="D51" s="12" t="inlineStr">
        <is>
          <t>~를 위해 길을 비켜주다, 자리를 양보하다</t>
        </is>
      </c>
      <c r="E51" s="12" t="inlineStr">
        <is>
          <t>Legacy software must make way for modern cloud systems.</t>
        </is>
      </c>
      <c r="F51" s="12" t="inlineStr">
        <is>
          <t>구형 레거시 소프트웨어는 현대적인 클라우드 시스템에 자리를 내주어야 합니다.</t>
        </is>
      </c>
      <c r="G51" s="9">
        <f>HYPERLINK("https://www.youtube.com/watch?v=oVbnvHWjsII", "영상 보기 ▶")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1" customWidth="1" min="3" max="3"/>
    <col width="48" customWidth="1" min="4" max="4"/>
    <col width="70" customWidth="1" min="5" max="5"/>
    <col width="75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1201</v>
      </c>
      <c r="B2" s="3" t="inlineStr">
        <is>
          <t>솔직한 고백</t>
        </is>
      </c>
      <c r="C2" s="4" t="inlineStr">
        <is>
          <t>level with</t>
        </is>
      </c>
      <c r="D2" s="11" t="inlineStr">
        <is>
          <t>솔직하게 털어놓고 말하다 (Just level with me)</t>
        </is>
      </c>
      <c r="E2" s="11" t="inlineStr">
        <is>
          <t>Just level with me: do we actually have a chance to win?</t>
        </is>
      </c>
      <c r="F2" s="11" t="inlineStr">
        <is>
          <t>솔직하게 까놓고 말해봐: 우리 진짜 수주를 따낼 승산이 있어?</t>
        </is>
      </c>
      <c r="G2" s="5">
        <f>HYPERLINK("https://www.youtube.com/watch?v=RuhL0VkISDM", "영상 보기 ▶")</f>
        <v/>
      </c>
    </row>
    <row r="3" ht="26" customHeight="1">
      <c r="A3" s="6" t="n">
        <v>1202</v>
      </c>
      <c r="B3" s="7" t="inlineStr">
        <is>
          <t>침착 냉정</t>
        </is>
      </c>
      <c r="C3" s="8" t="inlineStr">
        <is>
          <t>level-headed</t>
        </is>
      </c>
      <c r="D3" s="12" t="inlineStr">
        <is>
          <t>침착한, 냉철한, 분별력 있는</t>
        </is>
      </c>
      <c r="E3" s="12" t="inlineStr">
        <is>
          <t>She remains remarkably level-headed even during crises.</t>
        </is>
      </c>
      <c r="F3" s="12" t="inlineStr">
        <is>
          <t>그녀는 위기 상황에서도 놀라울 정도로 침착하고 냉철함을 유지합니다.</t>
        </is>
      </c>
      <c r="G3" s="9">
        <f>HYPERLINK("https://www.youtube.com/watch?v=RuhL0VkISDM", "영상 보기 ▶")</f>
        <v/>
      </c>
    </row>
    <row r="4" ht="26" customHeight="1">
      <c r="A4" s="2" t="n">
        <v>1203</v>
      </c>
      <c r="B4" s="3" t="inlineStr">
        <is>
          <t>공정 경쟁</t>
        </is>
      </c>
      <c r="C4" s="4" t="inlineStr">
        <is>
          <t>level playing field</t>
        </is>
      </c>
      <c r="D4" s="11" t="inlineStr">
        <is>
          <t>공평한 경쟁 환경, 공정한 기회</t>
        </is>
      </c>
      <c r="E4" s="11" t="inlineStr">
        <is>
          <t>Regulations should ensure a level playing field for all startups.</t>
        </is>
      </c>
      <c r="F4" s="11" t="inlineStr">
        <is>
          <t>규제 정책은 모든 스타트업에 공평한 경쟁 환경을 보장해 주어야 합니다.</t>
        </is>
      </c>
      <c r="G4" s="5">
        <f>HYPERLINK("https://www.youtube.com/watch?v=RuhL0VkISDM", "영상 보기 ▶")</f>
        <v/>
      </c>
    </row>
    <row r="5" ht="26" customHeight="1">
      <c r="A5" s="6" t="n">
        <v>1204</v>
      </c>
      <c r="B5" s="7" t="inlineStr">
        <is>
          <t>정직 신뢰</t>
        </is>
      </c>
      <c r="C5" s="8" t="inlineStr">
        <is>
          <t>on the level</t>
        </is>
      </c>
      <c r="D5" s="12" t="inlineStr">
        <is>
          <t>정직한, 합법적인, 믿을 수 있는</t>
        </is>
      </c>
      <c r="E5" s="12" t="inlineStr">
        <is>
          <t>Don't worry about the supplier; they are completely on the level.</t>
        </is>
      </c>
      <c r="F5" s="12" t="inlineStr">
        <is>
          <t>그 공급업체는 걱정하지 마세요, 완전히 정직하고 믿을 만한 곳입니다.</t>
        </is>
      </c>
      <c r="G5" s="9">
        <f>HYPERLINK("https://www.youtube.com/watch?v=RuhL0VkISDM", "영상 보기 ▶")</f>
        <v/>
      </c>
    </row>
    <row r="6" ht="26" customHeight="1">
      <c r="A6" s="2" t="n">
        <v>1205</v>
      </c>
      <c r="B6" s="3" t="inlineStr">
        <is>
          <t>차원 도약</t>
        </is>
      </c>
      <c r="C6" s="4" t="inlineStr">
        <is>
          <t>next level</t>
        </is>
      </c>
      <c r="D6" s="11" t="inlineStr">
        <is>
          <t>한 차원 더 높은 수준의, 차원이 다른</t>
        </is>
      </c>
      <c r="E6" s="11" t="inlineStr">
        <is>
          <t>Her culinary skills are on a completely next level.</t>
        </is>
      </c>
      <c r="F6" s="11" t="inlineStr">
        <is>
          <t>그녀의 요리 솜씨는 그야말로 차원이 다른 경지에 도달해 있어.</t>
        </is>
      </c>
      <c r="G6" s="5">
        <f>HYPERLINK("https://www.youtube.com/watch?v=RuhL0VkISDM", "영상 보기 ▶")</f>
        <v/>
      </c>
    </row>
    <row r="7" ht="26" customHeight="1">
      <c r="A7" s="6" t="n">
        <v>1206</v>
      </c>
      <c r="B7" s="7" t="inlineStr">
        <is>
          <t>위기 극복</t>
        </is>
      </c>
      <c r="C7" s="8" t="inlineStr">
        <is>
          <t>rise to the occasion</t>
        </is>
      </c>
      <c r="D7" s="12" t="inlineStr">
        <is>
          <t>위기나 기회에 발맞춰 훌륭히 역량을 발휘하다</t>
        </is>
      </c>
      <c r="E7" s="12" t="inlineStr">
        <is>
          <t>When the lead fell ill, she rose to the occasion brilliantly.</t>
        </is>
      </c>
      <c r="F7" s="12" t="inlineStr">
        <is>
          <t>팀장이 병가를 냈을 때 그녀는 멋지게 역량을 발휘해 공백을 메웠어.</t>
        </is>
      </c>
      <c r="G7" s="9">
        <f>HYPERLINK("https://www.youtube.com/watch?v=RuhL0VkISDM", "영상 보기 ▶")</f>
        <v/>
      </c>
    </row>
    <row r="8" ht="26" customHeight="1">
      <c r="A8" s="2" t="n">
        <v>1207</v>
      </c>
      <c r="B8" s="3" t="inlineStr">
        <is>
          <t>도덕적 품격</t>
        </is>
      </c>
      <c r="C8" s="4" t="inlineStr">
        <is>
          <t>take the high road</t>
        </is>
      </c>
      <c r="D8" s="11" t="inlineStr">
        <is>
          <t>치사하게 굴지 않고 도덕적으로 품격 있게 처신하다</t>
        </is>
      </c>
      <c r="E8" s="11" t="inlineStr">
        <is>
          <t>Instead of trading insults, he chose to take the high road.</t>
        </is>
      </c>
      <c r="F8" s="11" t="inlineStr">
        <is>
          <t>유치하게 인신공격을 주고받는 대신 그는 도덕적으로 품위 있게 대처했어.</t>
        </is>
      </c>
      <c r="G8" s="5">
        <f>HYPERLINK("https://www.youtube.com/watch?v=RuhL0VkISDM", "영상 보기 ▶")</f>
        <v/>
      </c>
    </row>
    <row r="9" ht="26" customHeight="1">
      <c r="A9" s="6" t="n">
        <v>1208</v>
      </c>
      <c r="B9" s="7" t="inlineStr">
        <is>
          <t>막대한 판돈</t>
        </is>
      </c>
      <c r="C9" s="8" t="inlineStr">
        <is>
          <t>high stakes</t>
        </is>
      </c>
      <c r="D9" s="12" t="inlineStr">
        <is>
          <t>성패에 막대한 판돈/위험이 걸린 (a high-stakes game)</t>
        </is>
      </c>
      <c r="E9" s="12" t="inlineStr">
        <is>
          <t>These high-stakes negotiations will determine our future.</t>
        </is>
      </c>
      <c r="F9" s="12" t="inlineStr">
        <is>
          <t>이 중대한 사활이 걸린 협상이 우리 회사의 미래를 결정지을 것입니다.</t>
        </is>
      </c>
      <c r="G9" s="9">
        <f>HYPERLINK("https://www.youtube.com/watch?v=RuhL0VkISDM", "영상 보기 ▶")</f>
        <v/>
      </c>
    </row>
    <row r="10" ht="26" customHeight="1">
      <c r="A10" s="2" t="n">
        <v>1209</v>
      </c>
      <c r="B10" s="3" t="inlineStr">
        <is>
          <t>고급 품질</t>
        </is>
      </c>
      <c r="C10" s="4" t="inlineStr">
        <is>
          <t>high-end</t>
        </is>
      </c>
      <c r="D10" s="11" t="inlineStr">
        <is>
          <t>최고급의, 고가의 (high-end luxury products)</t>
        </is>
      </c>
      <c r="E10" s="11" t="inlineStr">
        <is>
          <t>The studio invested in high-end audio recording equipment.</t>
        </is>
      </c>
      <c r="F10" s="11" t="inlineStr">
        <is>
          <t>스튜디오는 최고급 고성능 오디오 녹음 장비에 과감히 투자했습니다.</t>
        </is>
      </c>
      <c r="G10" s="5">
        <f>HYPERLINK("https://www.youtube.com/watch?v=RuhL0VkISDM", "영상 보기 ▶")</f>
        <v/>
      </c>
    </row>
    <row r="11" ht="26" customHeight="1">
      <c r="A11" s="6" t="n">
        <v>1210</v>
      </c>
      <c r="B11" s="7" t="inlineStr">
        <is>
          <t>이목 집중</t>
        </is>
      </c>
      <c r="C11" s="8" t="inlineStr">
        <is>
          <t>high-profile</t>
        </is>
      </c>
      <c r="D11" s="12" t="inlineStr">
        <is>
          <t>세간의 이목을 끄는, 저명한 (a high-profile lawsuit)</t>
        </is>
      </c>
      <c r="E11" s="12" t="inlineStr">
        <is>
          <t>He successfully handled several high-profile corporate cases.</t>
        </is>
      </c>
      <c r="F11" s="12" t="inlineStr">
        <is>
          <t>그는 세간의 이목이 집중된 굵직한 기업 소송들을 성공적으로 처리했습니다.</t>
        </is>
      </c>
      <c r="G11" s="9">
        <f>HYPERLINK("https://www.youtube.com/watch?v=RuhL0VkISDM", "영상 보기 ▶")</f>
        <v/>
      </c>
    </row>
    <row r="12" ht="26" customHeight="1">
      <c r="A12" s="2" t="n">
        <v>1211</v>
      </c>
      <c r="B12" s="3" t="inlineStr">
        <is>
          <t>은근함/절제</t>
        </is>
      </c>
      <c r="C12" s="4" t="inlineStr">
        <is>
          <t>low-key</t>
        </is>
      </c>
      <c r="D12" s="11" t="inlineStr">
        <is>
          <t>요란 떨지 않고 은근한, 조촐한</t>
        </is>
      </c>
      <c r="E12" s="11" t="inlineStr">
        <is>
          <t>We celebrated our anniversary with a low-key dinner at home.</t>
        </is>
      </c>
      <c r="F12" s="11" t="inlineStr">
        <is>
          <t>우리는 집에서 조촐하고 은근하게 저녁 식사를 하며 기념일을 축하했어.</t>
        </is>
      </c>
      <c r="G12" s="5">
        <f>HYPERLINK("https://www.youtube.com/watch?v=RuhL0VkISDM", "영상 보기 ▶")</f>
        <v/>
      </c>
    </row>
    <row r="13" ht="26" customHeight="1">
      <c r="A13" s="6" t="n">
        <v>1212</v>
      </c>
      <c r="B13" s="7" t="inlineStr">
        <is>
          <t>축소 평가</t>
        </is>
      </c>
      <c r="C13" s="8" t="inlineStr">
        <is>
          <t>downplay</t>
        </is>
      </c>
      <c r="D13" s="12" t="inlineStr">
        <is>
          <t>(심각성이나 중요성을) 대수롭지 않게 낮춰 말하다</t>
        </is>
      </c>
      <c r="E13" s="12" t="inlineStr">
        <is>
          <t>The official tried to downplay the impact of the data breach.</t>
        </is>
      </c>
      <c r="F13" s="12" t="inlineStr">
        <is>
          <t>담당자는 개인정보 유출 사고의 파장을 대수롭지 않게 축소하려 애썼어.</t>
        </is>
      </c>
      <c r="G13" s="9">
        <f>HYPERLINK("https://www.youtube.com/watch?v=RuhL0VkISDM", "영상 보기 ▶")</f>
        <v/>
      </c>
    </row>
    <row r="14" ht="26" customHeight="1">
      <c r="A14" s="2" t="n">
        <v>1213</v>
      </c>
      <c r="B14" s="3" t="inlineStr">
        <is>
          <t>소탈 겸손</t>
        </is>
      </c>
      <c r="C14" s="4" t="inlineStr">
        <is>
          <t>down to earth</t>
        </is>
      </c>
      <c r="D14" s="11" t="inlineStr">
        <is>
          <t>가식 없고 소탈한, 현실적인</t>
        </is>
      </c>
      <c r="E14" s="11" t="inlineStr">
        <is>
          <t>Despite his fame and wealth, he is remarkably down to earth.</t>
        </is>
      </c>
      <c r="F14" s="11" t="inlineStr">
        <is>
          <t>엄청난 명성과 부에도 불구하고 그는 대단히 소탈하고 겸손해.</t>
        </is>
      </c>
      <c r="G14" s="5">
        <f>HYPERLINK("https://www.youtube.com/watch?v=RuhL0VkISDM", "영상 보기 ▶")</f>
        <v/>
      </c>
    </row>
    <row r="15" ht="26" customHeight="1">
      <c r="A15" s="6" t="n">
        <v>1214</v>
      </c>
      <c r="B15" s="7" t="inlineStr">
        <is>
          <t>장점/호재</t>
        </is>
      </c>
      <c r="C15" s="8" t="inlineStr">
        <is>
          <t>upside</t>
        </is>
      </c>
      <c r="D15" s="12" t="inlineStr">
        <is>
          <t>장점, 긍정적인 면, 주가 상승 잠재력</t>
        </is>
      </c>
      <c r="E15" s="12" t="inlineStr">
        <is>
          <t>The investment carries risk, but the potential upside is huge.</t>
        </is>
      </c>
      <c r="F15" s="12" t="inlineStr">
        <is>
          <t>그 투자는 위험이 따르지만 잠재적인 상승 이익은 엄청납니다.</t>
        </is>
      </c>
      <c r="G15" s="9">
        <f>HYPERLINK("https://www.youtube.com/watch?v=RuhL0VkISDM", "영상 보기 ▶")</f>
        <v/>
      </c>
    </row>
    <row r="16" ht="26" customHeight="1">
      <c r="A16" s="2" t="n">
        <v>1215</v>
      </c>
      <c r="B16" s="3" t="inlineStr">
        <is>
          <t>단점/악재</t>
        </is>
      </c>
      <c r="C16" s="4" t="inlineStr">
        <is>
          <t>downside</t>
        </is>
      </c>
      <c r="D16" s="11" t="inlineStr">
        <is>
          <t>단점, 부정적인 측면</t>
        </is>
      </c>
      <c r="E16" s="11" t="inlineStr">
        <is>
          <t>Working remotely is great, but isolation is a clear downside.</t>
        </is>
      </c>
      <c r="F16" s="11" t="inlineStr">
        <is>
          <t>재택근무는 훌륭하지만 고립감이 든다는 것은 명백한 단점입니다.</t>
        </is>
      </c>
      <c r="G16" s="5">
        <f>HYPERLINK("https://www.youtube.com/watch?v=RuhL0VkISDM", "영상 보기 ▶")</f>
        <v/>
      </c>
    </row>
    <row r="17" ht="26" customHeight="1">
      <c r="A17" s="6" t="n">
        <v>1216</v>
      </c>
      <c r="B17" s="7" t="inlineStr">
        <is>
          <t>부작용</t>
        </is>
      </c>
      <c r="C17" s="8" t="inlineStr">
        <is>
          <t>side effect</t>
        </is>
      </c>
      <c r="D17" s="12" t="inlineStr">
        <is>
          <t>(약물이나 정책의) 부작용, 파생 효과</t>
        </is>
      </c>
      <c r="E17" s="12" t="inlineStr">
        <is>
          <t>Rising housing costs are an unintended side effect of growth.</t>
        </is>
      </c>
      <c r="F17" s="12" t="inlineStr">
        <is>
          <t>치솟는 집값은 급격한 경제 성장이 낳은 의도치 않은 부작용입니다.</t>
        </is>
      </c>
      <c r="G17" s="9">
        <f>HYPERLINK("https://www.youtube.com/watch?v=RuhL0VkISDM", "영상 보기 ▶")</f>
        <v/>
      </c>
    </row>
    <row r="18" ht="26" customHeight="1">
      <c r="A18" s="2" t="n">
        <v>1217</v>
      </c>
      <c r="B18" s="3" t="inlineStr">
        <is>
          <t>편들기</t>
        </is>
      </c>
      <c r="C18" s="4" t="inlineStr">
        <is>
          <t>take sides</t>
        </is>
      </c>
      <c r="D18" s="11" t="inlineStr">
        <is>
          <t>(갈등에서 어느 한쪽의) 편을 들다</t>
        </is>
      </c>
      <c r="E18" s="11" t="inlineStr">
        <is>
          <t>As a neutral mediator, I try never to take sides.</t>
        </is>
      </c>
      <c r="F18" s="11" t="inlineStr">
        <is>
          <t>중립적인 중재자로서 저는 절대 어느 한쪽 편도 들지 않으려 합니다.</t>
        </is>
      </c>
      <c r="G18" s="5">
        <f>HYPERLINK("https://www.youtube.com/watch?v=RuhL0VkISDM", "영상 보기 ▶")</f>
        <v/>
      </c>
    </row>
    <row r="19" ht="26" customHeight="1">
      <c r="A19" s="6" t="n">
        <v>1218</v>
      </c>
      <c r="B19" s="7" t="inlineStr">
        <is>
          <t>동조/편들기</t>
        </is>
      </c>
      <c r="C19" s="8" t="inlineStr">
        <is>
          <t>side with</t>
        </is>
      </c>
      <c r="D19" s="12" t="inlineStr">
        <is>
          <t>~의 편에 서다, 동조하다</t>
        </is>
      </c>
      <c r="E19" s="12" t="inlineStr">
        <is>
          <t>The committee ultimately decided to side with the workers.</t>
        </is>
      </c>
      <c r="F19" s="12" t="inlineStr">
        <is>
          <t>위원회는 고심 끝에 결국 노동자 측의 손을 들어주었습니다.</t>
        </is>
      </c>
      <c r="G19" s="9">
        <f>HYPERLINK("https://www.youtube.com/watch?v=RuhL0VkISDM", "영상 보기 ▶")</f>
        <v/>
      </c>
    </row>
    <row r="20" ht="26" customHeight="1">
      <c r="A20" s="2" t="n">
        <v>1219</v>
      </c>
      <c r="B20" s="3" t="inlineStr">
        <is>
          <t>삼천포 빠짐</t>
        </is>
      </c>
      <c r="C20" s="4" t="inlineStr">
        <is>
          <t>side-track</t>
        </is>
      </c>
      <c r="D20" s="11" t="inlineStr">
        <is>
          <t>(주제에서 벗어나) 삼천포로 빠지게 하다</t>
        </is>
      </c>
      <c r="E20" s="11" t="inlineStr">
        <is>
          <t>Let's not get side-tracked by minor formatting arguments.</t>
        </is>
      </c>
      <c r="F20" s="11" t="inlineStr">
        <is>
          <t>사소한 서식 논쟁 때문에 본론에서 벗어나 삼천포로 빠지지 맙시다.</t>
        </is>
      </c>
      <c r="G20" s="5">
        <f>HYPERLINK("https://www.youtube.com/watch?v=RuhL0VkISDM", "영상 보기 ▶")</f>
        <v/>
      </c>
    </row>
    <row r="21" ht="26" customHeight="1">
      <c r="A21" s="6" t="n">
        <v>1220</v>
      </c>
      <c r="B21" s="7" t="inlineStr">
        <is>
          <t>부산물</t>
        </is>
      </c>
      <c r="C21" s="8" t="inlineStr">
        <is>
          <t>by-product</t>
        </is>
      </c>
      <c r="D21" s="12" t="inlineStr">
        <is>
          <t>부산물, 뜻하지 않은 파생 결과</t>
        </is>
      </c>
      <c r="E21" s="12" t="inlineStr">
        <is>
          <t>A close friendship was a wonderful by-product of our teamwork.</t>
        </is>
      </c>
      <c r="F21" s="12" t="inlineStr">
        <is>
          <t>끈끈한 우정은 우리가 함께 팀워크를 발휘하며 얻은 멋진 부산물이었어.</t>
        </is>
      </c>
      <c r="G21" s="9">
        <f>HYPERLINK("https://www.youtube.com/watch?v=RuhL0VkISDM", "영상 보기 ▶")</f>
        <v/>
      </c>
    </row>
    <row r="22" ht="26" customHeight="1">
      <c r="A22" s="2" t="n">
        <v>1221</v>
      </c>
      <c r="B22" s="3" t="inlineStr">
        <is>
          <t>화제 전환</t>
        </is>
      </c>
      <c r="C22" s="4" t="inlineStr">
        <is>
          <t>by the way</t>
        </is>
      </c>
      <c r="D22" s="11" t="inlineStr">
        <is>
          <t>그런데, 그나저나 (화제 전환)</t>
        </is>
      </c>
      <c r="E22" s="11" t="inlineStr">
        <is>
          <t>By the way, did you receive the revised invoice?</t>
        </is>
      </c>
      <c r="F22" s="11" t="inlineStr">
        <is>
          <t>그나저나 수정된 세금계산서 메일로 잘 받으셨나요?</t>
        </is>
      </c>
      <c r="G22" s="5">
        <f>HYPERLINK("https://www.youtube.com/watch?v=RuhL0VkISDM", "영상 보기 ▶")</f>
        <v/>
      </c>
    </row>
    <row r="23" ht="26" customHeight="1">
      <c r="A23" s="6" t="n">
        <v>1222</v>
      </c>
      <c r="B23" s="7" t="inlineStr">
        <is>
          <t>흔쾌한 허락</t>
        </is>
      </c>
      <c r="C23" s="8" t="inlineStr">
        <is>
          <t>by all means</t>
        </is>
      </c>
      <c r="D23" s="12" t="inlineStr">
        <is>
          <t>얼마든지요, 물론이죠 (적극적 찬동)</t>
        </is>
      </c>
      <c r="E23" s="12" t="inlineStr">
        <is>
          <t>May I invite a colleague to the workshop? - By all means!</t>
        </is>
      </c>
      <c r="F23" s="12" t="inlineStr">
        <is>
          <t>워크숍에 동료를 한 명 초대해도 될까요? - 얼마든지요, 대환영입니다!</t>
        </is>
      </c>
      <c r="G23" s="9">
        <f>HYPERLINK("https://www.youtube.com/watch?v=RuhL0VkISDM", "영상 보기 ▶")</f>
        <v/>
      </c>
    </row>
    <row r="24" ht="26" customHeight="1">
      <c r="A24" s="2" t="n">
        <v>1223</v>
      </c>
      <c r="B24" s="3" t="inlineStr">
        <is>
          <t>결코 아님</t>
        </is>
      </c>
      <c r="C24" s="4" t="inlineStr">
        <is>
          <t>by no means</t>
        </is>
      </c>
      <c r="D24" s="11" t="inlineStr">
        <is>
          <t>결코 ~가 아니다 (절대 부정)</t>
        </is>
      </c>
      <c r="E24" s="11" t="inlineStr">
        <is>
          <t>Our victory is by no means guaranteed; stay vigilant.</t>
        </is>
      </c>
      <c r="F24" s="11" t="inlineStr">
        <is>
          <t>우리의 승리는 결코 보장된 것이 아니니 끝까지 긴장을 늦추지 마세요.</t>
        </is>
      </c>
      <c r="G24" s="5">
        <f>HYPERLINK("https://www.youtube.com/watch?v=RuhL0VkISDM", "영상 보기 ▶")</f>
        <v/>
      </c>
    </row>
    <row r="25" ht="26" customHeight="1">
      <c r="A25" s="6" t="n">
        <v>1224</v>
      </c>
      <c r="B25" s="7" t="inlineStr">
        <is>
          <t>단연코</t>
        </is>
      </c>
      <c r="C25" s="8" t="inlineStr">
        <is>
          <t>by far</t>
        </is>
      </c>
      <c r="D25" s="12" t="inlineStr">
        <is>
          <t>단연코, 훨씬 (최상급 강조)</t>
        </is>
      </c>
      <c r="E25" s="12" t="inlineStr">
        <is>
          <t>This is by far the most reliable laptop I have ever owned.</t>
        </is>
      </c>
      <c r="F25" s="12" t="inlineStr">
        <is>
          <t>이 노트북은 내가 지금까지 써본 것 중 단연코 가장 안정적이야.</t>
        </is>
      </c>
      <c r="G25" s="9">
        <f>HYPERLINK("https://www.youtube.com/watch?v=RuhL0VkISDM", "영상 보기 ▶")</f>
        <v/>
      </c>
    </row>
    <row r="26" ht="26" customHeight="1">
      <c r="A26" s="2" t="n">
        <v>1225</v>
      </c>
      <c r="B26" s="3" t="inlineStr">
        <is>
          <t>우연히</t>
        </is>
      </c>
      <c r="C26" s="4" t="inlineStr">
        <is>
          <t>by chance</t>
        </is>
      </c>
      <c r="D26" s="11" t="inlineStr">
        <is>
          <t>우연히, 어쩌다가</t>
        </is>
      </c>
      <c r="E26" s="11" t="inlineStr">
        <is>
          <t>I bumped into our former client by chance at the airport.</t>
        </is>
      </c>
      <c r="F26" s="11" t="inlineStr">
        <is>
          <t>공항에서 예전 고객사 담당자를 정말 우연히 마주쳤어.</t>
        </is>
      </c>
      <c r="G26" s="5">
        <f>HYPERLINK("https://www.youtube.com/watch?v=RuhL0VkISDM", "영상 보기 ▶")</f>
        <v/>
      </c>
    </row>
    <row r="27" ht="26" customHeight="1">
      <c r="A27" s="6" t="n">
        <v>1226</v>
      </c>
      <c r="B27" s="7" t="inlineStr">
        <is>
          <t>현실 수용</t>
        </is>
      </c>
      <c r="C27" s="8" t="inlineStr">
        <is>
          <t>come to terms with</t>
        </is>
      </c>
      <c r="D27" s="12" t="inlineStr">
        <is>
          <t>(어려운 현실을) 인정하고 받아들이다</t>
        </is>
      </c>
      <c r="E27" s="12" t="inlineStr">
        <is>
          <t>He finally came to terms with the reality of market shifts.</t>
        </is>
      </c>
      <c r="F27" s="12" t="inlineStr">
        <is>
          <t>그는 마침내 시장 변화라는 냉혹한 현실을 인정하고 받아들였습니다.</t>
        </is>
      </c>
      <c r="G27" s="9">
        <f>HYPERLINK("https://www.youtube.com/watch?v=RuhL0VkISDM", "영상 보기 ▶")</f>
        <v/>
      </c>
    </row>
    <row r="28" ht="26" customHeight="1">
      <c r="A28" s="2" t="n">
        <v>1227</v>
      </c>
      <c r="B28" s="3" t="inlineStr">
        <is>
          <t>진실 규명</t>
        </is>
      </c>
      <c r="C28" s="4" t="inlineStr">
        <is>
          <t>come to light</t>
        </is>
      </c>
      <c r="D28" s="11" t="inlineStr">
        <is>
          <t>(숨겨진 진실이나 비리가) 밝혀지다, 드러나다</t>
        </is>
      </c>
      <c r="E28" s="11" t="inlineStr">
        <is>
          <t>New evidence came to light during the independent audit.</t>
        </is>
      </c>
      <c r="F28" s="11" t="inlineStr">
        <is>
          <t>독립 감사 과정에서 새로운 결정적 증거들이 만천하에 드러났습니다.</t>
        </is>
      </c>
      <c r="G28" s="5">
        <f>HYPERLINK("https://www.youtube.com/watch?v=RuhL0VkISDM", "영상 보기 ▶")</f>
        <v/>
      </c>
    </row>
    <row r="29" ht="26" customHeight="1">
      <c r="A29" s="6" t="n">
        <v>1228</v>
      </c>
      <c r="B29" s="7" t="inlineStr">
        <is>
          <t>결실 맺음</t>
        </is>
      </c>
      <c r="C29" s="8" t="inlineStr">
        <is>
          <t>come to fruition</t>
        </is>
      </c>
      <c r="D29" s="12" t="inlineStr">
        <is>
          <t>(오랜 계획이나 노력이) 결실을 맺다</t>
        </is>
      </c>
      <c r="E29" s="12" t="inlineStr">
        <is>
          <t>Years of hard research have finally come to fruition.</t>
        </is>
      </c>
      <c r="F29" s="12" t="inlineStr">
        <is>
          <t>수년간의 끈질긴 연구 노력이 마침내 값진 결실을 맺었습니다.</t>
        </is>
      </c>
      <c r="G29" s="9">
        <f>HYPERLINK("https://www.youtube.com/watch?v=RuhL0VkISDM", "영상 보기 ▶")</f>
        <v/>
      </c>
    </row>
    <row r="30" ht="26" customHeight="1">
      <c r="A30" s="2" t="n">
        <v>1229</v>
      </c>
      <c r="B30" s="3" t="inlineStr">
        <is>
          <t>자백/실토</t>
        </is>
      </c>
      <c r="C30" s="4" t="inlineStr">
        <is>
          <t>come clean</t>
        </is>
      </c>
      <c r="D30" s="11" t="inlineStr">
        <is>
          <t>(숨기던 잘못을) 솔직히 털어놓다, 자백하다</t>
        </is>
      </c>
      <c r="E30" s="11" t="inlineStr">
        <is>
          <t>It's best to come clean about the bug before the product launch.</t>
        </is>
      </c>
      <c r="F30" s="11" t="inlineStr">
        <is>
          <t>제품 출시 전에 버그에 대해 솔직히 털어놓고 고백하는 것이 상책입니다.</t>
        </is>
      </c>
      <c r="G30" s="5">
        <f>HYPERLINK("https://www.youtube.com/watch?v=RuhL0VkISDM", "영상 보기 ▶")</f>
        <v/>
      </c>
    </row>
    <row r="31" ht="26" customHeight="1">
      <c r="A31" s="6" t="n">
        <v>1230</v>
      </c>
      <c r="B31" s="7" t="inlineStr">
        <is>
          <t>우연 발견</t>
        </is>
      </c>
      <c r="C31" s="8" t="inlineStr">
        <is>
          <t>come across</t>
        </is>
      </c>
      <c r="D31" s="12" t="inlineStr">
        <is>
          <t>우연히 마주치다, 특정한 인상을 주다</t>
        </is>
      </c>
      <c r="E31" s="12" t="inlineStr">
        <is>
          <t>I came across an insightful case study while browsing.</t>
        </is>
      </c>
      <c r="F31" s="12" t="inlineStr">
        <is>
          <t>자료를 검색하다가 대단히 통찰력 있는 사례 연구를 우연히 발견했어요.</t>
        </is>
      </c>
      <c r="G31" s="9">
        <f>HYPERLINK("https://www.youtube.com/watch?v=RuhL0VkISDM", "영상 보기 ▶")</f>
        <v/>
      </c>
    </row>
    <row r="32" ht="26" customHeight="1">
      <c r="A32" s="2" t="n">
        <v>1231</v>
      </c>
      <c r="B32" s="3" t="inlineStr">
        <is>
          <t>작용/영향</t>
        </is>
      </c>
      <c r="C32" s="4" t="inlineStr">
        <is>
          <t>come into play</t>
        </is>
      </c>
      <c r="D32" s="11" t="inlineStr">
        <is>
          <t>(요인이) 작용하기 시작하다, 영향을 미치다</t>
        </is>
      </c>
      <c r="E32" s="11" t="inlineStr">
        <is>
          <t>Emotional intelligence comes into play during high-pressure crises.</t>
        </is>
      </c>
      <c r="F32" s="11" t="inlineStr">
        <is>
          <t>극심한 압박의 위기 상황에서는 감성 지능이 결정적으로 작용합니다.</t>
        </is>
      </c>
      <c r="G32" s="5">
        <f>HYPERLINK("https://www.youtube.com/watch?v=RuhL0VkISDM", "영상 보기 ▶")</f>
        <v/>
      </c>
    </row>
    <row r="33" ht="26" customHeight="1">
      <c r="A33" s="6" t="n">
        <v>1232</v>
      </c>
      <c r="B33" s="7" t="inlineStr">
        <is>
          <t>축소 경시</t>
        </is>
      </c>
      <c r="C33" s="8" t="inlineStr">
        <is>
          <t>play down</t>
        </is>
      </c>
      <c r="D33" s="12" t="inlineStr">
        <is>
          <t>대수롭지 않게 깎아내리다, 축소하다</t>
        </is>
      </c>
      <c r="E33" s="12" t="inlineStr">
        <is>
          <t>They attempted to play down the severity of the loss.</t>
        </is>
      </c>
      <c r="F33" s="12" t="inlineStr">
        <is>
          <t>그들은 손실의 심각성을 대수롭지 않게 축소하려 시도했습니다.</t>
        </is>
      </c>
      <c r="G33" s="9">
        <f>HYPERLINK("https://www.youtube.com/watch?v=RuhL0VkISDM", "영상 보기 ▶")</f>
        <v/>
      </c>
    </row>
    <row r="34" ht="26" customHeight="1">
      <c r="A34" s="2" t="n">
        <v>1233</v>
      </c>
      <c r="B34" s="3" t="inlineStr">
        <is>
          <t>장단 맞추기</t>
        </is>
      </c>
      <c r="C34" s="4" t="inlineStr">
        <is>
          <t>play along</t>
        </is>
      </c>
      <c r="D34" s="11" t="inlineStr">
        <is>
          <t>(상황을 부드럽게 하려) 장단을 맞춰주다</t>
        </is>
      </c>
      <c r="E34" s="11" t="inlineStr">
        <is>
          <t>I didn't agree, but I played along to avoid creating a scene.</t>
        </is>
      </c>
      <c r="F34" s="11" t="inlineStr">
        <is>
          <t>동의하진 않았지만 소란을 피우고 싶지 않아 일단 장단을 맞춰주었어.</t>
        </is>
      </c>
      <c r="G34" s="5">
        <f>HYPERLINK("https://www.youtube.com/watch?v=RuhL0VkISDM", "영상 보기 ▶")</f>
        <v/>
      </c>
    </row>
    <row r="35" ht="26" customHeight="1">
      <c r="A35" s="6" t="n">
        <v>1234</v>
      </c>
      <c r="B35" s="7" t="inlineStr">
        <is>
          <t>안전제일</t>
        </is>
      </c>
      <c r="C35" s="8" t="inlineStr">
        <is>
          <t>play it safe</t>
        </is>
      </c>
      <c r="D35" s="12" t="inlineStr">
        <is>
          <t>위험을 피하고 안전하게 가다, 무리하지 않다</t>
        </is>
      </c>
      <c r="E35" s="12" t="inlineStr">
        <is>
          <t>Given the market volatility, let's play it safe this quarter.</t>
        </is>
      </c>
      <c r="F35" s="12" t="inlineStr">
        <is>
          <t>시장 변동성을 감안하여 이번 분기에는 무리하지 말고 안전하게 갑시다.</t>
        </is>
      </c>
      <c r="G35" s="9">
        <f>HYPERLINK("https://www.youtube.com/watch?v=RuhL0VkISDM", "영상 보기 ▶")</f>
        <v/>
      </c>
    </row>
    <row r="36" ht="26" customHeight="1">
      <c r="A36" s="2" t="n">
        <v>1235</v>
      </c>
      <c r="B36" s="3" t="inlineStr">
        <is>
          <t>원칙 준수</t>
        </is>
      </c>
      <c r="C36" s="4" t="inlineStr">
        <is>
          <t>play by the rules</t>
        </is>
      </c>
      <c r="D36" s="11" t="inlineStr">
        <is>
          <t>정정당당하게 규칙을 준수하다</t>
        </is>
      </c>
      <c r="E36" s="11" t="inlineStr">
        <is>
          <t>We win clients fairly because we always play by the rules.</t>
        </is>
      </c>
      <c r="F36" s="11" t="inlineStr">
        <is>
          <t>우리는 언제나 원칙과 규칙을 철저히 준수하기에 떳떳하게 수주합니다.</t>
        </is>
      </c>
      <c r="G36" s="5">
        <f>HYPERLINK("https://www.youtube.com/watch?v=RuhL0VkISDM", "영상 보기 ▶")</f>
        <v/>
      </c>
    </row>
    <row r="37" ht="26" customHeight="1">
      <c r="A37" s="6" t="n">
        <v>1236</v>
      </c>
      <c r="B37" s="7" t="inlineStr">
        <is>
          <t>배제/제외</t>
        </is>
      </c>
      <c r="C37" s="8" t="inlineStr">
        <is>
          <t>rule out</t>
        </is>
      </c>
      <c r="D37" s="12" t="inlineStr">
        <is>
          <t>(가능성을) 배제하다, 제외하다</t>
        </is>
      </c>
      <c r="E37" s="12" t="inlineStr">
        <is>
          <t>We cannot rule out the possibility of further price increases.</t>
        </is>
      </c>
      <c r="F37" s="12" t="inlineStr">
        <is>
          <t>추가적인 가격 인상 가능성을 결코 완전히 배제할 수는 없습니다.</t>
        </is>
      </c>
      <c r="G37" s="9">
        <f>HYPERLINK("https://www.youtube.com/watch?v=RuhL0VkISDM", "영상 보기 ▶")</f>
        <v/>
      </c>
    </row>
    <row r="38" ht="26" customHeight="1">
      <c r="A38" s="2" t="n">
        <v>1237</v>
      </c>
      <c r="B38" s="3" t="inlineStr">
        <is>
          <t>일반 원칙</t>
        </is>
      </c>
      <c r="C38" s="4" t="inlineStr">
        <is>
          <t>as a rule</t>
        </is>
      </c>
      <c r="D38" s="11" t="inlineStr">
        <is>
          <t>대체로, 통상적으로, 원칙적으로</t>
        </is>
      </c>
      <c r="E38" s="11" t="inlineStr">
        <is>
          <t>As a rule, we respond to all inquiries within 24 hours.</t>
        </is>
      </c>
      <c r="F38" s="11" t="inlineStr">
        <is>
          <t>원칙적으로 저희는 24시간 이내에 모든 고객 문의에 회신합니다.</t>
        </is>
      </c>
      <c r="G38" s="5">
        <f>HYPERLINK("https://www.youtube.com/watch?v=RuhL0VkISDM", "영상 보기 ▶")</f>
        <v/>
      </c>
    </row>
    <row r="39" ht="26" customHeight="1">
      <c r="A39" s="6" t="n">
        <v>1238</v>
      </c>
      <c r="B39" s="7" t="inlineStr">
        <is>
          <t>황금률</t>
        </is>
      </c>
      <c r="C39" s="8" t="inlineStr">
        <is>
          <t>golden rule</t>
        </is>
      </c>
      <c r="D39" s="12" t="inlineStr">
        <is>
          <t>가장 중요한 절대 황금률/제1원칙</t>
        </is>
      </c>
      <c r="E39" s="12" t="inlineStr">
        <is>
          <t>Treating clients with empathy is our agency's golden rule.</t>
        </is>
      </c>
      <c r="F39" s="12" t="inlineStr">
        <is>
          <t>고객을 진심 어린 공감으로 대하는 것이 우리 에이전시의 제1 황금률입니다.</t>
        </is>
      </c>
      <c r="G39" s="9">
        <f>HYPERLINK("https://www.youtube.com/watch?v=RuhL0VkISDM", "영상 보기 ▶")</f>
        <v/>
      </c>
    </row>
    <row r="40" ht="26" customHeight="1">
      <c r="A40" s="2" t="n">
        <v>1239</v>
      </c>
      <c r="B40" s="3" t="inlineStr">
        <is>
          <t>융통성</t>
        </is>
      </c>
      <c r="C40" s="4" t="inlineStr">
        <is>
          <t>bend the rules</t>
        </is>
      </c>
      <c r="D40" s="11" t="inlineStr">
        <is>
          <t>(상황에 맞게) 규칙을 살짝 융통성 있게 적용하다</t>
        </is>
      </c>
      <c r="E40" s="11" t="inlineStr">
        <is>
          <t>Can you bend the rules just this once for an emergency?</t>
        </is>
      </c>
      <c r="F40" s="11" t="inlineStr">
        <is>
          <t>응급 상황이니 이번 딱 한 번만 규칙을 융통성 있게 봐주실 수 있나요?</t>
        </is>
      </c>
      <c r="G40" s="5">
        <f>HYPERLINK("https://www.youtube.com/watch?v=RuhL0VkISDM", "영상 보기 ▶")</f>
        <v/>
      </c>
    </row>
    <row r="41" ht="26" customHeight="1">
      <c r="A41" s="6" t="n">
        <v>1240</v>
      </c>
      <c r="B41" s="7" t="inlineStr">
        <is>
          <t>불문율</t>
        </is>
      </c>
      <c r="C41" s="8" t="inlineStr">
        <is>
          <t>unwritten rule</t>
        </is>
      </c>
      <c r="D41" s="12" t="inlineStr">
        <is>
          <t>명문화되지 않은 암묵적인 룰, 불문율</t>
        </is>
      </c>
      <c r="E41" s="12" t="inlineStr">
        <is>
          <t>Leaving clean meeting rooms is an unwritten rule here.</t>
        </is>
      </c>
      <c r="F41" s="12" t="inlineStr">
        <is>
          <t>회의 후 회의실을 깔끔히 치워두는 것은 이곳의 암묵적인 불문율입니다.</t>
        </is>
      </c>
      <c r="G41" s="9">
        <f>HYPERLINK("https://www.youtube.com/watch?v=RuhL0VkISDM", "영상 보기 ▶")</f>
        <v/>
      </c>
    </row>
    <row r="42" ht="26" customHeight="1">
      <c r="A42" s="2" t="n">
        <v>1241</v>
      </c>
      <c r="B42" s="3" t="inlineStr">
        <is>
          <t>어색함 깨기</t>
        </is>
      </c>
      <c r="C42" s="4" t="inlineStr">
        <is>
          <t>break the ice</t>
        </is>
      </c>
      <c r="D42" s="11" t="inlineStr">
        <is>
          <t>(서먹서먹한) 어색한 분위기를 깨다</t>
        </is>
      </c>
      <c r="E42" s="11" t="inlineStr">
        <is>
          <t>A quick funny quiz helped break the ice at the workshop.</t>
        </is>
      </c>
      <c r="F42" s="11" t="inlineStr">
        <is>
          <t>간단한 넌센스 퀴즈가 워크숍의 서먹서먹한 어색한 분위기를 깨주었어.</t>
        </is>
      </c>
      <c r="G42" s="5">
        <f>HYPERLINK("https://www.youtube.com/watch?v=RuhL0VkISDM", "영상 보기 ▶")</f>
        <v/>
      </c>
    </row>
    <row r="43" ht="26" customHeight="1">
      <c r="A43" s="6" t="n">
        <v>1242</v>
      </c>
      <c r="B43" s="7" t="inlineStr">
        <is>
          <t>아이스브레이커</t>
        </is>
      </c>
      <c r="C43" s="8" t="inlineStr">
        <is>
          <t>icebreaker</t>
        </is>
      </c>
      <c r="D43" s="12" t="inlineStr">
        <is>
          <t>서먹함을 풀어주는 가벼운 대화나 게임</t>
        </is>
      </c>
      <c r="E43" s="12" t="inlineStr">
        <is>
          <t>Let's begin with a light icebreaker before presentations.</t>
        </is>
      </c>
      <c r="F43" s="12" t="inlineStr">
        <is>
          <t>발표에 앞서 가벼운 아이스브레이킹 대화로 서먹함을 풀어봅시다.</t>
        </is>
      </c>
      <c r="G43" s="9">
        <f>HYPERLINK("https://www.youtube.com/watch?v=RuhL0VkISDM", "영상 보기 ▶")</f>
        <v/>
      </c>
    </row>
    <row r="44" ht="26" customHeight="1">
      <c r="A44" s="2" t="n">
        <v>1243</v>
      </c>
      <c r="B44" s="3" t="inlineStr">
        <is>
          <t>살얼음판</t>
        </is>
      </c>
      <c r="C44" s="4" t="inlineStr">
        <is>
          <t>skate on thin ice</t>
        </is>
      </c>
      <c r="D44" s="11" t="inlineStr">
        <is>
          <t>위태위태한 살얼음판을 걷다, 위험을 무릅쓰다</t>
        </is>
      </c>
      <c r="E44" s="11" t="inlineStr">
        <is>
          <t>Showing up late repeatedly means you're skating on thin ice.</t>
        </is>
      </c>
      <c r="F44" s="11" t="inlineStr">
        <is>
          <t>계속해서 지각하는 건 인사고과 상 살얼음판을 걷고 있는 짓이야.</t>
        </is>
      </c>
      <c r="G44" s="5">
        <f>HYPERLINK("https://www.youtube.com/watch?v=RuhL0VkISDM", "영상 보기 ▶")</f>
        <v/>
      </c>
    </row>
    <row r="45" ht="26" customHeight="1">
      <c r="A45" s="6" t="n">
        <v>1244</v>
      </c>
      <c r="B45" s="7" t="inlineStr">
        <is>
          <t>막판 망설임</t>
        </is>
      </c>
      <c r="C45" s="8" t="inlineStr">
        <is>
          <t>cold feet</t>
        </is>
      </c>
      <c r="D45" s="12" t="inlineStr">
        <is>
          <t>(결혼이나 계약 직전) 두려움으로 망설이다</t>
        </is>
      </c>
      <c r="E45" s="12" t="inlineStr">
        <is>
          <t>He got cold feet right before signing the mortgage papers.</t>
        </is>
      </c>
      <c r="F45" s="12" t="inlineStr">
        <is>
          <t>그는 주택담보대출 서류에 서명하기 직전에 두려움이 엄습해 망설였어.</t>
        </is>
      </c>
      <c r="G45" s="9">
        <f>HYPERLINK("https://www.youtube.com/watch?v=RuhL0VkISDM", "영상 보기 ▶")</f>
        <v/>
      </c>
    </row>
    <row r="46" ht="26" customHeight="1">
      <c r="A46" s="2" t="n">
        <v>1245</v>
      </c>
      <c r="B46" s="3" t="inlineStr">
        <is>
          <t>냉대/문전박대</t>
        </is>
      </c>
      <c r="C46" s="4" t="inlineStr">
        <is>
          <t>cold shoulder</t>
        </is>
      </c>
      <c r="D46" s="11" t="inlineStr">
        <is>
          <t>쌀쌀맞은 냉대, 무시 (give the cold shoulder)</t>
        </is>
      </c>
      <c r="E46" s="11" t="inlineStr">
        <is>
          <t>She gave him the cold shoulder after their bitter argument.</t>
        </is>
      </c>
      <c r="F46" s="11" t="inlineStr">
        <is>
          <t>격한 말다툼을 벌인 뒤 그녀는 그를 아주 쌀쌀맞게 냉대했어.</t>
        </is>
      </c>
      <c r="G46" s="5">
        <f>HYPERLINK("https://www.youtube.com/watch?v=RuhL0VkISDM", "영상 보기 ▶")</f>
        <v/>
      </c>
    </row>
    <row r="47" ht="26" customHeight="1">
      <c r="A47" s="6" t="n">
        <v>1246</v>
      </c>
      <c r="B47" s="7" t="inlineStr">
        <is>
          <t>냉혹/무자비</t>
        </is>
      </c>
      <c r="C47" s="8" t="inlineStr">
        <is>
          <t>in cold blood</t>
        </is>
      </c>
      <c r="D47" s="12" t="inlineStr">
        <is>
          <t>피도 눈물도 없이, 냉혹하고 무자비하게</t>
        </is>
      </c>
      <c r="E47" s="12" t="inlineStr">
        <is>
          <t>The hostile takeover was planned in ruthless, cold blood.</t>
        </is>
      </c>
      <c r="F47" s="12" t="inlineStr">
        <is>
          <t>그 적대적 인수합병은 피도 눈물도 없는 냉혹한 치밀함 속에 기획되었습니다.</t>
        </is>
      </c>
      <c r="G47" s="9">
        <f>HYPERLINK("https://www.youtube.com/watch?v=RuhL0VkISDM", "영상 보기 ▶")</f>
        <v/>
      </c>
    </row>
    <row r="48" ht="26" customHeight="1">
      <c r="A48" s="2" t="n">
        <v>1247</v>
      </c>
      <c r="B48" s="3" t="inlineStr">
        <is>
          <t>마음 열림</t>
        </is>
      </c>
      <c r="C48" s="4" t="inlineStr">
        <is>
          <t>warm up to</t>
        </is>
      </c>
      <c r="D48" s="11" t="inlineStr">
        <is>
          <t>(서먹하던 사람이나 아이디어에) 마음을 열다, 호감을 갖다</t>
        </is>
      </c>
      <c r="E48" s="11" t="inlineStr">
        <is>
          <t>The team was hesitant initially, but warmed up to the idea.</t>
        </is>
      </c>
      <c r="F48" s="11" t="inlineStr">
        <is>
          <t>팀원들은 처음엔 주저했지만 점차 그 아이디어에 호감을 갖고 마음을 열었어.</t>
        </is>
      </c>
      <c r="G48" s="5">
        <f>HYPERLINK("https://www.youtube.com/watch?v=RuhL0VkISDM", "영상 보기 ▶")</f>
        <v/>
      </c>
    </row>
    <row r="49" ht="26" customHeight="1">
      <c r="A49" s="6" t="n">
        <v>1248</v>
      </c>
      <c r="B49" s="7" t="inlineStr">
        <is>
          <t>곤경/위기</t>
        </is>
      </c>
      <c r="C49" s="8" t="inlineStr">
        <is>
          <t>in hot water</t>
        </is>
      </c>
      <c r="D49" s="12" t="inlineStr">
        <is>
          <t>심각한 곤경에 처한, 징계를 받을 위기인</t>
        </is>
      </c>
      <c r="E49" s="12" t="inlineStr">
        <is>
          <t>The CFO is in hot water over the undisclosed tax error.</t>
        </is>
      </c>
      <c r="F49" s="12" t="inlineStr">
        <is>
          <t>재무이사는 누락된 세금 오류 건으로 인해 심각한 징계 위기에 처했습니다.</t>
        </is>
      </c>
      <c r="G49" s="9">
        <f>HYPERLINK("https://www.youtube.com/watch?v=RuhL0VkISDM", "영상 보기 ▶")</f>
        <v/>
      </c>
    </row>
    <row r="50" ht="26" customHeight="1">
      <c r="A50" s="2" t="n">
        <v>1249</v>
      </c>
      <c r="B50" s="3" t="inlineStr">
        <is>
          <t>뜨거운 감자</t>
        </is>
      </c>
      <c r="C50" s="4" t="inlineStr">
        <is>
          <t>hot potato</t>
        </is>
      </c>
      <c r="D50" s="11" t="inlineStr">
        <is>
          <t>다루기 껄끄러워 서로 떠넘기는 뜨거운 감자</t>
        </is>
      </c>
      <c r="E50" s="11" t="inlineStr">
        <is>
          <t>Office seating policy became a political hot potato.</t>
        </is>
      </c>
      <c r="F50" s="11" t="inlineStr">
        <is>
          <t>자율 좌석제 정책은 사내에서 아무도 손대기 싫어하는 뜨거운 감자가 되었어.</t>
        </is>
      </c>
      <c r="G50" s="5">
        <f>HYPERLINK("https://www.youtube.com/watch?v=RuhL0VkISDM", "영상 보기 ▶")</f>
        <v/>
      </c>
    </row>
    <row r="51" ht="26" customHeight="1">
      <c r="A51" s="6" t="n">
        <v>1250</v>
      </c>
      <c r="B51" s="7" t="inlineStr">
        <is>
          <t>기회 포착</t>
        </is>
      </c>
      <c r="C51" s="8" t="inlineStr">
        <is>
          <t>strike while the iron is hot</t>
        </is>
      </c>
      <c r="D51" s="12" t="inlineStr">
        <is>
          <t>쇠뿔도 단김에 빼라, 기회가 왔을 때 즉시 잡아라</t>
        </is>
      </c>
      <c r="E51" s="12" t="inlineStr">
        <is>
          <t>Client interest is peak; let's strike while the iron is hot!</t>
        </is>
      </c>
      <c r="F51" s="12" t="inlineStr">
        <is>
          <t>고객사의 관심이 최고조에 달했으니, 쇠뿔도 단김에 빼듯 지금 바로 계약을 밀어붙입시다!</t>
        </is>
      </c>
      <c r="G51" s="9">
        <f>HYPERLINK("https://www.youtube.com/watch?v=RuhL0VkISDM", "영상 보기 ▶")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3" customWidth="1" min="3" max="3"/>
    <col width="48" customWidth="1" min="4" max="4"/>
    <col width="75" customWidth="1" min="5" max="5"/>
    <col width="59.9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1251</v>
      </c>
      <c r="B2" s="3" t="inlineStr">
        <is>
          <t>실전회화/표현</t>
        </is>
      </c>
      <c r="C2" s="4" t="inlineStr">
        <is>
          <t>managed to</t>
        </is>
      </c>
      <c r="D2" s="11" t="inlineStr">
        <is>
          <t>간신히, 가까스로 ~하다</t>
        </is>
      </c>
      <c r="E2" s="11" t="inlineStr">
        <is>
          <t>We managed to finish the project on time.</t>
        </is>
      </c>
      <c r="F2" s="11" t="inlineStr">
        <is>
          <t>쉽지 않았지만 프로젝트를 제시간에 끝냈어.</t>
        </is>
      </c>
      <c r="G2" s="5">
        <f>HYPERLINK("https://www.youtube.com/watch?v=GRXUIzkV_HA", "영상 보기 ▶")</f>
        <v/>
      </c>
    </row>
    <row r="3" ht="26" customHeight="1">
      <c r="A3" s="6" t="n">
        <v>1252</v>
      </c>
      <c r="B3" s="7" t="inlineStr">
        <is>
          <t>공감/감정</t>
        </is>
      </c>
      <c r="C3" s="8" t="inlineStr">
        <is>
          <t>justify</t>
        </is>
      </c>
      <c r="D3" s="12" t="inlineStr">
        <is>
          <t>정당화, 합리화하다</t>
        </is>
      </c>
      <c r="E3" s="12" t="inlineStr">
        <is>
          <t>I can't justify the cost.</t>
        </is>
      </c>
      <c r="F3" s="12" t="inlineStr">
        <is>
          <t>아무리 생각해도 비용이 말이 안되는 듯.</t>
        </is>
      </c>
      <c r="G3" s="9">
        <f>HYPERLINK("https://www.youtube.com/watch?v=GRXUIzkV_HA", "영상 보기 ▶")</f>
        <v/>
      </c>
    </row>
    <row r="4" ht="26" customHeight="1">
      <c r="A4" s="2" t="n">
        <v>1253</v>
      </c>
      <c r="B4" s="3" t="inlineStr">
        <is>
          <t>실전회화/표현</t>
        </is>
      </c>
      <c r="C4" s="4" t="inlineStr">
        <is>
          <t>What's new?</t>
        </is>
      </c>
      <c r="D4" s="11" t="inlineStr">
        <is>
          <t>별 일 없어?</t>
        </is>
      </c>
      <c r="E4" s="11" t="inlineStr">
        <is>
          <t>A: What's new?</t>
        </is>
      </c>
      <c r="F4" s="11" t="inlineStr">
        <is>
          <t>별 일 없어?</t>
        </is>
      </c>
      <c r="G4" s="5">
        <f>HYPERLINK("https://www.youtube.com/watch?v=GRXUIzkV_HA", "영상 보기 ▶")</f>
        <v/>
      </c>
    </row>
    <row r="5" ht="26" customHeight="1">
      <c r="A5" s="6" t="n">
        <v>1254</v>
      </c>
      <c r="B5" s="7" t="inlineStr">
        <is>
          <t>실전회화/표현</t>
        </is>
      </c>
      <c r="C5" s="8" t="inlineStr">
        <is>
          <t>count</t>
        </is>
      </c>
      <c r="D5" s="12" t="inlineStr">
        <is>
          <t>인정되다, 인정하다</t>
        </is>
      </c>
      <c r="E5" s="12" t="inlineStr">
        <is>
          <t>You have to apologize in person. Texting 'I'm sorry' doesn't count.</t>
        </is>
      </c>
      <c r="F5" s="12" t="inlineStr">
        <is>
          <t>직접 만나서 사과를 해야지. 그냥 문자로 사과하는 건 사과가 아니야.</t>
        </is>
      </c>
      <c r="G5" s="9">
        <f>HYPERLINK("https://www.youtube.com/watch?v=GRXUIzkV_HA", "영상 보기 ▶")</f>
        <v/>
      </c>
    </row>
    <row r="6" ht="26" customHeight="1">
      <c r="A6" s="2" t="n">
        <v>1255</v>
      </c>
      <c r="B6" s="3" t="inlineStr">
        <is>
          <t>실전회화/표현</t>
        </is>
      </c>
      <c r="C6" s="4" t="inlineStr">
        <is>
          <t>count (as) ~</t>
        </is>
      </c>
      <c r="D6" s="11" t="inlineStr">
        <is>
          <t>라고 간주하다, 여기다</t>
        </is>
      </c>
      <c r="E6" s="11" t="inlineStr">
        <is>
          <t>I count myself lucky.</t>
        </is>
      </c>
      <c r="F6" s="11" t="inlineStr">
        <is>
          <t>전 제가 운이 좋다고 생각해요.</t>
        </is>
      </c>
      <c r="G6" s="5">
        <f>HYPERLINK("https://www.youtube.com/watch?v=GRXUIzkV_HA", "영상 보기 ▶")</f>
        <v/>
      </c>
    </row>
    <row r="7" ht="26" customHeight="1">
      <c r="A7" s="6" t="n">
        <v>1256</v>
      </c>
      <c r="B7" s="7" t="inlineStr">
        <is>
          <t>실전회화/표현</t>
        </is>
      </c>
      <c r="C7" s="8" t="inlineStr">
        <is>
          <t>count</t>
        </is>
      </c>
      <c r="D7" s="12" t="inlineStr">
        <is>
          <t>중요하다</t>
        </is>
      </c>
      <c r="E7" s="12" t="inlineStr">
        <is>
          <t>Every second counts.</t>
        </is>
      </c>
      <c r="F7" s="12" t="inlineStr">
        <is>
          <t>일분 일초가 소중해.</t>
        </is>
      </c>
      <c r="G7" s="9">
        <f>HYPERLINK("https://www.youtube.com/watch?v=GRXUIzkV_HA", "영상 보기 ▶")</f>
        <v/>
      </c>
    </row>
    <row r="8" ht="26" customHeight="1">
      <c r="A8" s="2" t="n">
        <v>1257</v>
      </c>
      <c r="B8" s="3" t="inlineStr">
        <is>
          <t>공감/감정</t>
        </is>
      </c>
      <c r="C8" s="4" t="inlineStr">
        <is>
          <t>enlighten</t>
        </is>
      </c>
      <c r="D8" s="11" t="inlineStr">
        <is>
          <t>이해시키다, 일깨워주다</t>
        </is>
      </c>
      <c r="E8" s="11" t="inlineStr">
        <is>
          <t>I'm not familiar with the concept. Could you enlighten me?</t>
        </is>
      </c>
      <c r="F8" s="11" t="inlineStr">
        <is>
          <t>개념이 익숙치가 않아서 그런데, 정확히 어떤건지 알려주시겠어요?</t>
        </is>
      </c>
      <c r="G8" s="5">
        <f>HYPERLINK("https://www.youtube.com/watch?v=GRXUIzkV_HA", "영상 보기 ▶")</f>
        <v/>
      </c>
    </row>
    <row r="9" ht="26" customHeight="1">
      <c r="A9" s="6" t="n">
        <v>1258</v>
      </c>
      <c r="B9" s="7" t="inlineStr">
        <is>
          <t>실전회화/표현</t>
        </is>
      </c>
      <c r="C9" s="8" t="inlineStr">
        <is>
          <t>enlightening</t>
        </is>
      </c>
      <c r="D9" s="12" t="inlineStr">
        <is>
          <t>큰 깨우침을 주는, 아주 도움이 되는</t>
        </is>
      </c>
      <c r="E9" s="12" t="inlineStr">
        <is>
          <t>A: How was the seminar?</t>
        </is>
      </c>
      <c r="F9" s="12" t="inlineStr">
        <is>
          <t>세미나는 어땠어?</t>
        </is>
      </c>
      <c r="G9" s="9">
        <f>HYPERLINK("https://www.youtube.com/watch?v=GRXUIzkV_HA", "영상 보기 ▶")</f>
        <v/>
      </c>
    </row>
    <row r="10" ht="26" customHeight="1">
      <c r="A10" s="2" t="n">
        <v>1259</v>
      </c>
      <c r="B10" s="3" t="inlineStr">
        <is>
          <t>실전회화/표현</t>
        </is>
      </c>
      <c r="C10" s="4" t="inlineStr">
        <is>
          <t>get a hold of</t>
        </is>
      </c>
      <c r="D10" s="11" t="inlineStr">
        <is>
          <t>연락이 닿다</t>
        </is>
      </c>
      <c r="E10" s="11" t="inlineStr">
        <is>
          <t>Did you get a hold of Sarah?</t>
        </is>
      </c>
      <c r="F10" s="11" t="inlineStr">
        <is>
          <t>Sarah와 연락 됐어?</t>
        </is>
      </c>
      <c r="G10" s="5">
        <f>HYPERLINK("https://www.youtube.com/watch?v=GRXUIzkV_HA", "영상 보기 ▶")</f>
        <v/>
      </c>
    </row>
    <row r="11" ht="26" customHeight="1">
      <c r="A11" s="6" t="n">
        <v>1260</v>
      </c>
      <c r="B11" s="7" t="inlineStr">
        <is>
          <t>실전회화/표현</t>
        </is>
      </c>
      <c r="C11" s="8" t="inlineStr">
        <is>
          <t>rave about</t>
        </is>
      </c>
      <c r="D11" s="12" t="inlineStr">
        <is>
          <t>극찬하다, 열변을 토하다</t>
        </is>
      </c>
      <c r="E11" s="12" t="inlineStr">
        <is>
          <t>We should go there for dinner. Everyone at the office has been raving about it.</t>
        </is>
      </c>
      <c r="F11" s="12" t="inlineStr">
        <is>
          <t>거기 저녁먹으러 가자. 다들 거기 엄청 맛있다고 난리더라구.</t>
        </is>
      </c>
      <c r="G11" s="9">
        <f>HYPERLINK("https://www.youtube.com/watch?v=GRXUIzkV_HA", "영상 보기 ▶")</f>
        <v/>
      </c>
    </row>
    <row r="12" ht="26" customHeight="1">
      <c r="A12" s="2" t="n">
        <v>1261</v>
      </c>
      <c r="B12" s="3" t="inlineStr">
        <is>
          <t>공감/감정</t>
        </is>
      </c>
      <c r="C12" s="4" t="inlineStr">
        <is>
          <t>You made my day.</t>
        </is>
      </c>
      <c r="D12" s="11" t="inlineStr">
        <is>
          <t>덕분에 정말 기분 좋은 하루인걸.</t>
        </is>
      </c>
      <c r="E12" s="11" t="inlineStr">
        <is>
          <t>A: Amelia was raving about your pie on the way over.</t>
        </is>
      </c>
      <c r="F12" s="11" t="inlineStr">
        <is>
          <t>Amelia가 오는 길에 파이가 맛있다고 얼마나 말하던지요.</t>
        </is>
      </c>
      <c r="G12" s="5">
        <f>HYPERLINK("https://www.youtube.com/watch?v=GRXUIzkV_HA", "영상 보기 ▶")</f>
        <v/>
      </c>
    </row>
    <row r="13" ht="26" customHeight="1">
      <c r="A13" s="6" t="n">
        <v>1262</v>
      </c>
      <c r="B13" s="7" t="inlineStr">
        <is>
          <t>실전회화/표현</t>
        </is>
      </c>
      <c r="C13" s="8" t="inlineStr">
        <is>
          <t>caught up in ~</t>
        </is>
      </c>
      <c r="D13" s="12" t="inlineStr">
        <is>
          <t>에 휘말린, 사로잡힌, 얽매인</t>
        </is>
      </c>
      <c r="E13" s="12" t="inlineStr">
        <is>
          <t>Sorry I'm late. I got caught up in a meeting.</t>
        </is>
      </c>
      <c r="F13" s="12" t="inlineStr">
        <is>
          <t>늦어서 미안해. 미팅에 붙잡혀 있었어.</t>
        </is>
      </c>
      <c r="G13" s="9">
        <f>HYPERLINK("https://www.youtube.com/watch?v=GRXUIzkV_HA", "영상 보기 ▶")</f>
        <v/>
      </c>
    </row>
    <row r="14" ht="26" customHeight="1">
      <c r="A14" s="2" t="n">
        <v>1263</v>
      </c>
      <c r="B14" s="3" t="inlineStr">
        <is>
          <t>공감/감정</t>
        </is>
      </c>
      <c r="C14" s="4" t="inlineStr">
        <is>
          <t>I got caught up in the moment.</t>
        </is>
      </c>
      <c r="D14" s="11" t="inlineStr">
        <is>
          <t>순간의 분위기에 휩쓸렸어.</t>
        </is>
      </c>
      <c r="E14" s="11" t="inlineStr">
        <is>
          <t>I got caught up in the moment.</t>
        </is>
      </c>
      <c r="F14" s="11" t="inlineStr">
        <is>
          <t>순간의 분위기에 휩쓸렸어.</t>
        </is>
      </c>
      <c r="G14" s="5">
        <f>HYPERLINK("https://www.youtube.com/watch?v=GRXUIzkV_HA", "영상 보기 ▶")</f>
        <v/>
      </c>
    </row>
    <row r="15" ht="26" customHeight="1">
      <c r="A15" s="6" t="n">
        <v>1264</v>
      </c>
      <c r="B15" s="7" t="inlineStr">
        <is>
          <t>실전회화/표현</t>
        </is>
      </c>
      <c r="C15" s="8" t="inlineStr">
        <is>
          <t>I'm counting down the days.</t>
        </is>
      </c>
      <c r="D15" s="12" t="inlineStr">
        <is>
          <t>그 날만 기다리고 있어.</t>
        </is>
      </c>
      <c r="E15" s="12" t="inlineStr">
        <is>
          <t>A: Your vacation is coming up.</t>
        </is>
      </c>
      <c r="F15" s="12" t="inlineStr">
        <is>
          <t>곧 너의 방학이네.</t>
        </is>
      </c>
      <c r="G15" s="9">
        <f>HYPERLINK("https://www.youtube.com/watch?v=GRXUIzkV_HA", "영상 보기 ▶")</f>
        <v/>
      </c>
    </row>
    <row r="16" ht="26" customHeight="1">
      <c r="A16" s="2" t="n">
        <v>1265</v>
      </c>
      <c r="B16" s="3" t="inlineStr">
        <is>
          <t>실전회화/표현</t>
        </is>
      </c>
      <c r="C16" s="4" t="inlineStr">
        <is>
          <t>pay off</t>
        </is>
      </c>
      <c r="D16" s="11" t="inlineStr">
        <is>
          <t>빛을 발하다, 성과를 거두다</t>
        </is>
      </c>
      <c r="E16" s="11" t="inlineStr">
        <is>
          <t>Out hard work paid off.</t>
        </is>
      </c>
      <c r="F16" s="11" t="inlineStr">
        <is>
          <t>열심히 일한 보람이 있네.</t>
        </is>
      </c>
      <c r="G16" s="5">
        <f>HYPERLINK("https://www.youtube.com/watch?v=GRXUIzkV_HA", "영상 보기 ▶")</f>
        <v/>
      </c>
    </row>
    <row r="17" ht="26" customHeight="1">
      <c r="A17" s="6" t="n">
        <v>1266</v>
      </c>
      <c r="B17" s="7" t="inlineStr">
        <is>
          <t>실전회화/표현</t>
        </is>
      </c>
      <c r="C17" s="8" t="inlineStr">
        <is>
          <t>unprecedented</t>
        </is>
      </c>
      <c r="D17" s="12" t="inlineStr">
        <is>
          <t>전례없는, 이례없는</t>
        </is>
      </c>
      <c r="E17" s="12" t="inlineStr">
        <is>
          <t>I have to admit, it's unprecedented.</t>
        </is>
      </c>
      <c r="F17" s="12" t="inlineStr">
        <is>
          <t>솔직히 한번도 이런 적 없어.</t>
        </is>
      </c>
      <c r="G17" s="9">
        <f>HYPERLINK("https://www.youtube.com/watch?v=GRXUIzkV_HA", "영상 보기 ▶")</f>
        <v/>
      </c>
    </row>
    <row r="18" ht="26" customHeight="1">
      <c r="A18" s="2" t="n">
        <v>1267</v>
      </c>
      <c r="B18" s="3" t="inlineStr">
        <is>
          <t>실전회화/표현</t>
        </is>
      </c>
      <c r="C18" s="4" t="inlineStr">
        <is>
          <t>flawless</t>
        </is>
      </c>
      <c r="D18" s="11" t="inlineStr">
        <is>
          <t>흠잡을데 없는</t>
        </is>
      </c>
      <c r="E18" s="11" t="inlineStr">
        <is>
          <t>It's flawless.</t>
        </is>
      </c>
      <c r="F18" s="11" t="inlineStr">
        <is>
          <t>나무랄데 없이 완벽해.</t>
        </is>
      </c>
      <c r="G18" s="5">
        <f>HYPERLINK("https://www.youtube.com/watch?v=GRXUIzkV_HA", "영상 보기 ▶")</f>
        <v/>
      </c>
    </row>
    <row r="19" ht="26" customHeight="1">
      <c r="A19" s="6" t="n">
        <v>1268</v>
      </c>
      <c r="B19" s="7" t="inlineStr">
        <is>
          <t>사교/관심</t>
        </is>
      </c>
      <c r="C19" s="8" t="inlineStr">
        <is>
          <t>What's your story?</t>
        </is>
      </c>
      <c r="D19" s="12" t="inlineStr">
        <is>
          <t>어떤 사연/배경이 있으신가요? (어쩌다 여기까지 오게 되셨어요?)</t>
        </is>
      </c>
      <c r="E19" s="12" t="inlineStr">
        <is>
          <t>So, what's your story? How did you end up in tech?</t>
        </is>
      </c>
      <c r="F19" s="12" t="inlineStr">
        <is>
          <t>그래, 넌 어떤 사연이 있어? 어쩌다 IT 업계로 오게 된 거야?</t>
        </is>
      </c>
      <c r="G19" s="9">
        <f>HYPERLINK("https://www.youtube.com/watch?v=GRXUIzkV_HA", "영상 보기 ▶")</f>
        <v/>
      </c>
    </row>
    <row r="20" ht="26" customHeight="1">
      <c r="A20" s="2" t="n">
        <v>1269</v>
      </c>
      <c r="B20" s="3" t="inlineStr">
        <is>
          <t>실전회화/표현</t>
        </is>
      </c>
      <c r="C20" s="4" t="inlineStr">
        <is>
          <t>invaluable (</t>
        </is>
      </c>
      <c r="D20" s="11" t="inlineStr">
        <is>
          <t>값을 매길 수 없을 정도로) 매우 귀중한</t>
        </is>
      </c>
      <c r="E20" s="11" t="inlineStr">
        <is>
          <t>She's invaluable to our team.</t>
        </is>
      </c>
      <c r="F20" s="11" t="inlineStr">
        <is>
          <t>그녀는 우리 팀에 없어서는 안 될 존재야.</t>
        </is>
      </c>
      <c r="G20" s="5">
        <f>HYPERLINK("https://www.youtube.com/watch?v=GRXUIzkV_HA", "영상 보기 ▶")</f>
        <v/>
      </c>
    </row>
    <row r="21" ht="26" customHeight="1">
      <c r="A21" s="6" t="n">
        <v>1270</v>
      </c>
      <c r="B21" s="7" t="inlineStr">
        <is>
          <t>실전회화/표현</t>
        </is>
      </c>
      <c r="C21" s="8" t="inlineStr">
        <is>
          <t>priceless (</t>
        </is>
      </c>
      <c r="D21" s="12" t="inlineStr">
        <is>
          <t>가격을 매길 수 없을 정도로) 매우 귀중한</t>
        </is>
      </c>
      <c r="E21" s="12" t="inlineStr">
        <is>
          <t>Our friendship is priceless.</t>
        </is>
      </c>
      <c r="F21" s="12" t="inlineStr">
        <is>
          <t>우리 우정은 돈 주고도 살 수 없어.</t>
        </is>
      </c>
      <c r="G21" s="9">
        <f>HYPERLINK("https://www.youtube.com/watch?v=GRXUIzkV_HA", "영상 보기 ▶")</f>
        <v/>
      </c>
    </row>
    <row r="22" ht="26" customHeight="1">
      <c r="A22" s="2" t="n">
        <v>1271</v>
      </c>
      <c r="B22" s="3" t="inlineStr">
        <is>
          <t>공감/감정</t>
        </is>
      </c>
      <c r="C22" s="4" t="inlineStr">
        <is>
          <t>It's the thought that counts.</t>
        </is>
      </c>
      <c r="D22" s="11" t="inlineStr">
        <is>
          <t>마음이 중요한 거지.</t>
        </is>
      </c>
      <c r="E22" s="11" t="inlineStr">
        <is>
          <t>A: I wonder how much she spent on this.</t>
        </is>
      </c>
      <c r="F22" s="11" t="inlineStr">
        <is>
          <t>얼마나 여기 썼을지 궁금하네.</t>
        </is>
      </c>
      <c r="G22" s="5">
        <f>HYPERLINK("https://www.youtube.com/watch?v=GRXUIzkV_HA", "영상 보기 ▶")</f>
        <v/>
      </c>
    </row>
    <row r="23" ht="26" customHeight="1">
      <c r="A23" s="6" t="n">
        <v>1272</v>
      </c>
      <c r="B23" s="7" t="inlineStr">
        <is>
          <t>실전회화/표현</t>
        </is>
      </c>
      <c r="C23" s="8" t="inlineStr">
        <is>
          <t>timeless</t>
        </is>
      </c>
      <c r="D23" s="12" t="inlineStr">
        <is>
          <t>세월이 흘러도 변치 않는, 유행을 타지 않는</t>
        </is>
      </c>
      <c r="E23" s="12" t="inlineStr">
        <is>
          <t>It's a timeless design.</t>
        </is>
      </c>
      <c r="F23" s="12" t="inlineStr">
        <is>
          <t>그건 유행을 타지 않는 디자인이야.</t>
        </is>
      </c>
      <c r="G23" s="9">
        <f>HYPERLINK("https://www.youtube.com/watch?v=GRXUIzkV_HA", "영상 보기 ▶")</f>
        <v/>
      </c>
    </row>
    <row r="24" ht="26" customHeight="1">
      <c r="A24" s="2" t="n">
        <v>1273</v>
      </c>
      <c r="B24" s="3" t="inlineStr">
        <is>
          <t>실전회화/표현</t>
        </is>
      </c>
      <c r="C24" s="4" t="inlineStr">
        <is>
          <t>effortless</t>
        </is>
      </c>
      <c r="D24" s="11" t="inlineStr">
        <is>
          <t>노력/힘이 들지 않는, 쉽게 되는</t>
        </is>
      </c>
      <c r="E24" s="11" t="inlineStr">
        <is>
          <t>He's effortlessly charming.</t>
        </is>
      </c>
      <c r="F24" s="11" t="inlineStr">
        <is>
          <t>그는 노력하지 않아도 매력적이야.</t>
        </is>
      </c>
      <c r="G24" s="5">
        <f>HYPERLINK("https://www.youtube.com/watch?v=GRXUIzkV_HA", "영상 보기 ▶")</f>
        <v/>
      </c>
    </row>
    <row r="25" ht="26" customHeight="1">
      <c r="A25" s="6" t="n">
        <v>1274</v>
      </c>
      <c r="B25" s="7" t="inlineStr">
        <is>
          <t>실전회화/표현</t>
        </is>
      </c>
      <c r="C25" s="8" t="inlineStr">
        <is>
          <t>concrete</t>
        </is>
      </c>
      <c r="D25" s="12" t="inlineStr">
        <is>
          <t>구체적인, 확실한</t>
        </is>
      </c>
      <c r="E25" s="12" t="inlineStr">
        <is>
          <t>I haven't made any concrete plans yet.</t>
        </is>
      </c>
      <c r="F25" s="12" t="inlineStr">
        <is>
          <t>아직 구체적인 계획은 세우지 않았어.</t>
        </is>
      </c>
      <c r="G25" s="9">
        <f>HYPERLINK("https://www.youtube.com/watch?v=GRXUIzkV_HA", "영상 보기 ▶")</f>
        <v/>
      </c>
    </row>
    <row r="26" ht="26" customHeight="1">
      <c r="A26" s="2" t="n">
        <v>1275</v>
      </c>
      <c r="B26" s="3" t="inlineStr">
        <is>
          <t>실전회화/표현</t>
        </is>
      </c>
      <c r="C26" s="4" t="inlineStr">
        <is>
          <t>take steps</t>
        </is>
      </c>
      <c r="D26" s="11" t="inlineStr">
        <is>
          <t>조치를 취하다</t>
        </is>
      </c>
      <c r="E26" s="11" t="inlineStr">
        <is>
          <t>We need to take concrete steps instead of just talking about it.</t>
        </is>
      </c>
      <c r="F26" s="11" t="inlineStr">
        <is>
          <t>그냥 말로만 하는게 아니라 실질적인 조치를 취해야해.</t>
        </is>
      </c>
      <c r="G26" s="5">
        <f>HYPERLINK("https://www.youtube.com/watch?v=GRXUIzkV_HA", "영상 보기 ▶")</f>
        <v/>
      </c>
    </row>
    <row r="27" ht="26" customHeight="1">
      <c r="A27" s="6" t="n">
        <v>1276</v>
      </c>
      <c r="B27" s="7" t="inlineStr">
        <is>
          <t>실전회화/표현</t>
        </is>
      </c>
      <c r="C27" s="8" t="inlineStr">
        <is>
          <t>take one step at a time</t>
        </is>
      </c>
      <c r="D27" s="12" t="inlineStr">
        <is>
          <t>하나씩 차근차근 해결하다</t>
        </is>
      </c>
      <c r="E27" s="12" t="inlineStr">
        <is>
          <t>Let's take it one step at a time.</t>
        </is>
      </c>
      <c r="F27" s="12" t="inlineStr">
        <is>
          <t>차근차근 해결해보자.</t>
        </is>
      </c>
      <c r="G27" s="9">
        <f>HYPERLINK("https://www.youtube.com/watch?v=GRXUIzkV_HA", "영상 보기 ▶")</f>
        <v/>
      </c>
    </row>
    <row r="28" ht="26" customHeight="1">
      <c r="A28" s="2" t="n">
        <v>1277</v>
      </c>
      <c r="B28" s="3" t="inlineStr">
        <is>
          <t>실전회화/표현</t>
        </is>
      </c>
      <c r="C28" s="4" t="inlineStr">
        <is>
          <t>step back</t>
        </is>
      </c>
      <c r="D28" s="11" t="inlineStr">
        <is>
          <t>한걸음 물러서다</t>
        </is>
      </c>
      <c r="E28" s="11" t="inlineStr">
        <is>
          <t>Let's take a step back for a moment.</t>
        </is>
      </c>
      <c r="F28" s="11" t="inlineStr">
        <is>
          <t>잠시 한 걸음 물러서서 생각해보자.</t>
        </is>
      </c>
      <c r="G28" s="5">
        <f>HYPERLINK("https://www.youtube.com/watch?v=GRXUIzkV_HA", "영상 보기 ▶")</f>
        <v/>
      </c>
    </row>
    <row r="29" ht="26" customHeight="1">
      <c r="A29" s="6" t="n">
        <v>1278</v>
      </c>
      <c r="B29" s="7" t="inlineStr">
        <is>
          <t>의견/의사결정</t>
        </is>
      </c>
      <c r="C29" s="8" t="inlineStr">
        <is>
          <t>second opinion</t>
        </is>
      </c>
      <c r="D29" s="12" t="inlineStr">
        <is>
          <t>다른 사람의 의견, 견해</t>
        </is>
      </c>
      <c r="E29" s="12" t="inlineStr">
        <is>
          <t>Let's show it to Ted. It wouldn't hurt to get a second opinion.</t>
        </is>
      </c>
      <c r="F29" s="12" t="inlineStr">
        <is>
          <t>Ted에게 보여주자. 다른 의견을 들어서 손해볼 건 없지.</t>
        </is>
      </c>
      <c r="G29" s="9">
        <f>HYPERLINK("https://www.youtube.com/watch?v=GRXUIzkV_HA", "영상 보기 ▶")</f>
        <v/>
      </c>
    </row>
    <row r="30" ht="26" customHeight="1">
      <c r="A30" s="2" t="n">
        <v>1279</v>
      </c>
      <c r="B30" s="3" t="inlineStr">
        <is>
          <t>의견/의사결정</t>
        </is>
      </c>
      <c r="C30" s="4" t="inlineStr">
        <is>
          <t>get another set/pair of eyes</t>
        </is>
      </c>
      <c r="D30" s="11" t="inlineStr">
        <is>
          <t>확인차 ~를 보여주다, 다른 의견을 묻다</t>
        </is>
      </c>
      <c r="E30" s="11" t="inlineStr">
        <is>
          <t>Let's show it to Ted. It wouldn't hurt to get another set of eyes on this.</t>
        </is>
      </c>
      <c r="F30" s="11" t="inlineStr">
        <is>
          <t>Ted에게 보여주자. 다른 의견을 들어봐서 나쁠 건 없잖아.</t>
        </is>
      </c>
      <c r="G30" s="5">
        <f>HYPERLINK("https://www.youtube.com/watch?v=GRXUIzkV_HA", "영상 보기 ▶")</f>
        <v/>
      </c>
    </row>
    <row r="31" ht="26" customHeight="1">
      <c r="A31" s="6" t="n">
        <v>1280</v>
      </c>
      <c r="B31" s="7" t="inlineStr">
        <is>
          <t>실전회화/표현</t>
        </is>
      </c>
      <c r="C31" s="8" t="inlineStr">
        <is>
          <t>miss</t>
        </is>
      </c>
      <c r="D31" s="12" t="inlineStr">
        <is>
          <t>그리워하다, 아쉬워하다, (자리에 없어) 허전하다</t>
        </is>
      </c>
      <c r="E31" s="12" t="inlineStr">
        <is>
          <t>We missed you at the meeting this morning.</t>
        </is>
      </c>
      <c r="F31" s="12" t="inlineStr">
        <is>
          <t>네가 없어서 허전했어 or 오늘 회의에 안왔더라?</t>
        </is>
      </c>
      <c r="G31" s="9">
        <f>HYPERLINK("https://www.youtube.com/watch?v=GRXUIzkV_HA", "영상 보기 ▶")</f>
        <v/>
      </c>
    </row>
    <row r="32" ht="26" customHeight="1">
      <c r="A32" s="2" t="n">
        <v>1281</v>
      </c>
      <c r="B32" s="3" t="inlineStr">
        <is>
          <t>의견/의사결정</t>
        </is>
      </c>
      <c r="C32" s="4" t="inlineStr">
        <is>
          <t>think of ~</t>
        </is>
      </c>
      <c r="D32" s="11" t="inlineStr">
        <is>
          <t>를 떠올리다, 생각해내다</t>
        </is>
      </c>
      <c r="E32" s="11" t="inlineStr">
        <is>
          <t>That's a brilliant idea. How did you think of that?</t>
        </is>
      </c>
      <c r="F32" s="11" t="inlineStr">
        <is>
          <t>정말 좋은 생각이다, 어떻게 생각해낸거야?</t>
        </is>
      </c>
      <c r="G32" s="5">
        <f>HYPERLINK("https://www.youtube.com/watch?v=GRXUIzkV_HA", "영상 보기 ▶")</f>
        <v/>
      </c>
    </row>
    <row r="33" ht="26" customHeight="1">
      <c r="A33" s="6" t="n">
        <v>1282</v>
      </c>
      <c r="B33" s="7" t="inlineStr">
        <is>
          <t>실전회화/표현</t>
        </is>
      </c>
      <c r="C33" s="8" t="inlineStr">
        <is>
          <t>think of A as B A</t>
        </is>
      </c>
      <c r="D33" s="12" t="inlineStr">
        <is>
          <t>를 B라고 여기다</t>
        </is>
      </c>
      <c r="E33" s="12" t="inlineStr">
        <is>
          <t>I think of her as a friend, not just a college.</t>
        </is>
      </c>
      <c r="F33" s="12" t="inlineStr">
        <is>
          <t>난 그녀를 단순히 동료가 아닌 친구로 생각해.</t>
        </is>
      </c>
      <c r="G33" s="9">
        <f>HYPERLINK("https://www.youtube.com/watch?v=GRXUIzkV_HA", "영상 보기 ▶")</f>
        <v/>
      </c>
    </row>
    <row r="34" ht="26" customHeight="1">
      <c r="A34" s="2" t="n">
        <v>1283</v>
      </c>
      <c r="B34" s="3" t="inlineStr">
        <is>
          <t>실전회화/표현</t>
        </is>
      </c>
      <c r="C34" s="4" t="inlineStr">
        <is>
          <t>Count me in</t>
        </is>
      </c>
      <c r="D34" s="11" t="inlineStr">
        <is>
          <t>나도 끼워줘.</t>
        </is>
      </c>
      <c r="E34" s="11" t="inlineStr">
        <is>
          <t>A: We are going to the movies tonight. Do you want to join us?</t>
        </is>
      </c>
      <c r="F34" s="11" t="inlineStr">
        <is>
          <t>우리 오늘 밤에 영화 보러 갈건데 너도 같이 갈래?</t>
        </is>
      </c>
      <c r="G34" s="5">
        <f>HYPERLINK("https://www.youtube.com/watch?v=GRXUIzkV_HA", "영상 보기 ▶")</f>
        <v/>
      </c>
    </row>
    <row r="35" ht="26" customHeight="1">
      <c r="A35" s="6" t="n">
        <v>1284</v>
      </c>
      <c r="B35" s="7" t="inlineStr">
        <is>
          <t>실전회화/표현</t>
        </is>
      </c>
      <c r="C35" s="8" t="inlineStr">
        <is>
          <t>Count me out.</t>
        </is>
      </c>
      <c r="D35" s="12" t="inlineStr">
        <is>
          <t>난 빠질래.</t>
        </is>
      </c>
      <c r="E35" s="12" t="inlineStr">
        <is>
          <t>A: Do you want to join us for a drink after work?</t>
        </is>
      </c>
      <c r="F35" s="12" t="inlineStr">
        <is>
          <t>퇴근하고 우리랑 한잔할래?</t>
        </is>
      </c>
      <c r="G35" s="9">
        <f>HYPERLINK("https://www.youtube.com/watch?v=GRXUIzkV_HA", "영상 보기 ▶")</f>
        <v/>
      </c>
    </row>
    <row r="36" ht="26" customHeight="1">
      <c r="A36" s="2" t="n">
        <v>1285</v>
      </c>
      <c r="B36" s="3" t="inlineStr">
        <is>
          <t>실전회화/표현</t>
        </is>
      </c>
      <c r="C36" s="4" t="inlineStr">
        <is>
          <t>affect</t>
        </is>
      </c>
      <c r="D36" s="11" t="inlineStr">
        <is>
          <t>영향을 미치다</t>
        </is>
      </c>
      <c r="E36" s="11" t="inlineStr">
        <is>
          <t>We argue all the time. It's so stressful. It's even affecting my work.</t>
        </is>
      </c>
      <c r="F36" s="11" t="inlineStr">
        <is>
          <t>툭하면 싸워서 너무 스트레스 받아. 일에도 영향을 미칠 정도야.</t>
        </is>
      </c>
      <c r="G36" s="5">
        <f>HYPERLINK("https://www.youtube.com/watch?v=GRXUIzkV_HA", "영상 보기 ▶")</f>
        <v/>
      </c>
    </row>
    <row r="37" ht="26" customHeight="1">
      <c r="A37" s="6" t="n">
        <v>1286</v>
      </c>
      <c r="B37" s="7" t="inlineStr">
        <is>
          <t>실전회화/표현</t>
        </is>
      </c>
      <c r="C37" s="8" t="inlineStr">
        <is>
          <t>effect</t>
        </is>
      </c>
      <c r="D37" s="12" t="inlineStr">
        <is>
          <t>영향, 효과</t>
        </is>
      </c>
      <c r="E37" s="12" t="inlineStr">
        <is>
          <t>His speech affected the stock market, and its effects were immediate.</t>
        </is>
      </c>
      <c r="F37" s="12" t="inlineStr">
        <is>
          <t>그의 연설은 주식 시장에 영향을 미쳤고 그 영향은 즉각적이었어.</t>
        </is>
      </c>
      <c r="G37" s="9">
        <f>HYPERLINK("https://www.youtube.com/watch?v=GRXUIzkV_HA", "영상 보기 ▶")</f>
        <v/>
      </c>
    </row>
    <row r="38" ht="26" customHeight="1">
      <c r="A38" s="2" t="n">
        <v>1287</v>
      </c>
      <c r="B38" s="3" t="inlineStr">
        <is>
          <t>공감/감정</t>
        </is>
      </c>
      <c r="C38" s="4" t="inlineStr">
        <is>
          <t>effect change</t>
        </is>
      </c>
      <c r="D38" s="11" t="inlineStr">
        <is>
          <t>변화를 일으키다</t>
        </is>
      </c>
      <c r="E38" s="11" t="inlineStr">
        <is>
          <t>This new management may effect change in our company culture.</t>
        </is>
      </c>
      <c r="F38" s="11" t="inlineStr">
        <is>
          <t>새로운 경영진이 회사 문화에 변화를 일으킬 수 있어.</t>
        </is>
      </c>
      <c r="G38" s="5">
        <f>HYPERLINK("https://www.youtube.com/watch?v=GRXUIzkV_HA", "영상 보기 ▶")</f>
        <v/>
      </c>
    </row>
    <row r="39" ht="26" customHeight="1">
      <c r="A39" s="6" t="n">
        <v>1288</v>
      </c>
      <c r="B39" s="7" t="inlineStr">
        <is>
          <t>실전회화/표현</t>
        </is>
      </c>
      <c r="C39" s="8" t="inlineStr">
        <is>
          <t>throw</t>
        </is>
      </c>
      <c r="D39" s="12" t="inlineStr">
        <is>
          <t>사람 off ~를 헷갈리게, 혼란스럽게 하다</t>
        </is>
      </c>
      <c r="E39" s="12" t="inlineStr">
        <is>
          <t>I liked the design, but the color kind of threw me off.</t>
        </is>
      </c>
      <c r="F39" s="12" t="inlineStr">
        <is>
          <t>디자인은 마음에 들었는데, 왜 그런 색상을 쓴건지 좀 혼란스러웠어.</t>
        </is>
      </c>
      <c r="G39" s="9">
        <f>HYPERLINK("https://www.youtube.com/watch?v=GRXUIzkV_HA", "영상 보기 ▶")</f>
        <v/>
      </c>
    </row>
    <row r="40" ht="26" customHeight="1">
      <c r="A40" s="2" t="n">
        <v>1289</v>
      </c>
      <c r="B40" s="3" t="inlineStr">
        <is>
          <t>실전회화/표현</t>
        </is>
      </c>
      <c r="C40" s="4" t="inlineStr">
        <is>
          <t>though</t>
        </is>
      </c>
      <c r="D40" s="11" t="inlineStr">
        <is>
          <t>그래도</t>
        </is>
      </c>
      <c r="E40" s="11" t="inlineStr">
        <is>
          <t>I'm good. Thank you, though.</t>
        </is>
      </c>
      <c r="F40" s="11" t="inlineStr">
        <is>
          <t>전 괜찮아요, 그래도 고맙습니다.</t>
        </is>
      </c>
      <c r="G40" s="5">
        <f>HYPERLINK("https://www.youtube.com/watch?v=GRXUIzkV_HA", "영상 보기 ▶")</f>
        <v/>
      </c>
    </row>
    <row r="41" ht="26" customHeight="1">
      <c r="A41" s="6" t="n">
        <v>1290</v>
      </c>
      <c r="B41" s="7" t="inlineStr">
        <is>
          <t>실전회화/표현</t>
        </is>
      </c>
      <c r="C41" s="8" t="inlineStr">
        <is>
          <t>count on</t>
        </is>
      </c>
      <c r="D41" s="12" t="inlineStr">
        <is>
          <t>사람 ~에게 기대다, 의지하다</t>
        </is>
      </c>
      <c r="E41" s="12" t="inlineStr">
        <is>
          <t>You can't count on anyone these days.</t>
        </is>
      </c>
      <c r="F41" s="12" t="inlineStr">
        <is>
          <t>요즘엔 그 누구도 의지할 수 없어.</t>
        </is>
      </c>
      <c r="G41" s="9">
        <f>HYPERLINK("https://www.youtube.com/watch?v=GRXUIzkV_HA", "영상 보기 ▶")</f>
        <v/>
      </c>
    </row>
    <row r="42" ht="26" customHeight="1">
      <c r="A42" s="2" t="n">
        <v>1291</v>
      </c>
      <c r="B42" s="3" t="inlineStr">
        <is>
          <t>실전회화/표현</t>
        </is>
      </c>
      <c r="C42" s="4" t="inlineStr">
        <is>
          <t>count on</t>
        </is>
      </c>
      <c r="D42" s="11" t="inlineStr">
        <is>
          <t>대상 ~를 기대하다, 어떤 일이 일어날거라 믿다</t>
        </is>
      </c>
      <c r="E42" s="11" t="inlineStr">
        <is>
          <t>I'm counting on that money to come in.</t>
        </is>
      </c>
      <c r="F42" s="11" t="inlineStr">
        <is>
          <t>그 돈이 들어 올거라 믿고 있어.</t>
        </is>
      </c>
      <c r="G42" s="5">
        <f>HYPERLINK("https://www.youtube.com/watch?v=GRXUIzkV_HA", "영상 보기 ▶")</f>
        <v/>
      </c>
    </row>
    <row r="43" ht="26" customHeight="1">
      <c r="A43" s="6" t="n">
        <v>1292</v>
      </c>
      <c r="B43" s="7" t="inlineStr">
        <is>
          <t>실전회화/표현</t>
        </is>
      </c>
      <c r="C43" s="8" t="inlineStr">
        <is>
          <t>cost-effective</t>
        </is>
      </c>
      <c r="D43" s="12" t="inlineStr">
        <is>
          <t>가성비 좋은</t>
        </is>
      </c>
      <c r="E43" s="12" t="inlineStr">
        <is>
          <t>You should buy in bulk. It's way more cost-effective.</t>
        </is>
      </c>
      <c r="F43" s="12" t="inlineStr">
        <is>
          <t>대량으로 구매 해. 그게 훨씬 가성비가 좋아.</t>
        </is>
      </c>
      <c r="G43" s="9">
        <f>HYPERLINK("https://www.youtube.com/watch?v=GRXUIzkV_HA", "영상 보기 ▶")</f>
        <v/>
      </c>
    </row>
    <row r="44" ht="26" customHeight="1">
      <c r="A44" s="2" t="n">
        <v>1293</v>
      </c>
      <c r="B44" s="3" t="inlineStr">
        <is>
          <t>실전회화/표현</t>
        </is>
      </c>
      <c r="C44" s="4" t="inlineStr">
        <is>
          <t>effective</t>
        </is>
      </c>
      <c r="D44" s="11" t="inlineStr">
        <is>
          <t>효과적인, 효력이 생기는</t>
        </is>
      </c>
      <c r="E44" s="11" t="inlineStr">
        <is>
          <t>When is this change effective?</t>
        </is>
      </c>
      <c r="F44" s="11" t="inlineStr">
        <is>
          <t>언제부터 이 변경 사항이 적용되나요?</t>
        </is>
      </c>
      <c r="G44" s="5">
        <f>HYPERLINK("https://www.youtube.com/watch?v=GRXUIzkV_HA", "영상 보기 ▶")</f>
        <v/>
      </c>
    </row>
    <row r="45" ht="26" customHeight="1">
      <c r="A45" s="6" t="n">
        <v>1294</v>
      </c>
      <c r="B45" s="7" t="inlineStr">
        <is>
          <t>실전회화/표현</t>
        </is>
      </c>
      <c r="C45" s="8" t="inlineStr">
        <is>
          <t>etc.</t>
        </is>
      </c>
      <c r="D45" s="12" t="inlineStr">
        <is>
          <t>기타 등등 (&amp;#x3D; et cetera)</t>
        </is>
      </c>
      <c r="E45" s="12" t="inlineStr">
        <is>
          <t>There are many things to consider, such as price, design, color, etc.</t>
        </is>
      </c>
      <c r="F45" s="12" t="inlineStr">
        <is>
          <t>가격, 디자인, 색상 등 고려할게 많아.</t>
        </is>
      </c>
      <c r="G45" s="9">
        <f>HYPERLINK("https://www.youtube.com/watch?v=GRXUIzkV_HA", "영상 보기 ▶")</f>
        <v/>
      </c>
    </row>
    <row r="46" ht="26" customHeight="1">
      <c r="A46" s="2" t="n">
        <v>1295</v>
      </c>
      <c r="B46" s="3" t="inlineStr">
        <is>
          <t>실전회화/표현</t>
        </is>
      </c>
      <c r="C46" s="4" t="inlineStr">
        <is>
          <t>chaos</t>
        </is>
      </c>
      <c r="D46" s="11" t="inlineStr">
        <is>
          <t>혼란, 난장판</t>
        </is>
      </c>
      <c r="E46" s="11" t="inlineStr">
        <is>
          <t>It's chaos.</t>
        </is>
      </c>
      <c r="F46" s="11" t="inlineStr">
        <is>
          <t>진짜 정신이 하나도 없다.</t>
        </is>
      </c>
      <c r="G46" s="5">
        <f>HYPERLINK("https://www.youtube.com/watch?v=GRXUIzkV_HA", "영상 보기 ▶")</f>
        <v/>
      </c>
    </row>
    <row r="47" ht="26" customHeight="1">
      <c r="A47" s="6" t="n">
        <v>1296</v>
      </c>
      <c r="B47" s="7" t="inlineStr">
        <is>
          <t>실전회화/표현</t>
        </is>
      </c>
      <c r="C47" s="8" t="inlineStr">
        <is>
          <t>loose end</t>
        </is>
      </c>
      <c r="D47" s="12" t="inlineStr">
        <is>
          <t>미해결인 부분</t>
        </is>
      </c>
      <c r="E47" s="12" t="inlineStr">
        <is>
          <t>I can't agree to this. There are so many loose ends.</t>
        </is>
      </c>
      <c r="F47" s="12" t="inlineStr">
        <is>
          <t>아직 허술한 부분이 많아서 동의할 수 없어.</t>
        </is>
      </c>
      <c r="G47" s="9">
        <f>HYPERLINK("https://www.youtube.com/watch?v=GRXUIzkV_HA", "영상 보기 ▶")</f>
        <v/>
      </c>
    </row>
    <row r="48" ht="26" customHeight="1">
      <c r="A48" s="2" t="n">
        <v>1297</v>
      </c>
      <c r="B48" s="3" t="inlineStr">
        <is>
          <t>실전회화/표현</t>
        </is>
      </c>
      <c r="C48" s="4" t="inlineStr">
        <is>
          <t>tie up loose ends</t>
        </is>
      </c>
      <c r="D48" s="11" t="inlineStr">
        <is>
          <t>마무리 하다, 결말 짓다</t>
        </is>
      </c>
      <c r="E48" s="11" t="inlineStr">
        <is>
          <t>Let's tie up loose ends from yesterday.</t>
        </is>
      </c>
      <c r="F48" s="11" t="inlineStr">
        <is>
          <t>어제 하던 일을 마무리 하자.</t>
        </is>
      </c>
      <c r="G48" s="5">
        <f>HYPERLINK("https://www.youtube.com/watch?v=GRXUIzkV_HA", "영상 보기 ▶")</f>
        <v/>
      </c>
    </row>
    <row r="49" ht="26" customHeight="1">
      <c r="A49" s="6" t="n">
        <v>1298</v>
      </c>
      <c r="B49" s="7" t="inlineStr">
        <is>
          <t>실전회화/표현</t>
        </is>
      </c>
      <c r="C49" s="8" t="inlineStr">
        <is>
          <t>I'm not in a position to ~ ~</t>
        </is>
      </c>
      <c r="D49" s="12" t="inlineStr">
        <is>
          <t>할 수 있는 처지가 아니야.</t>
        </is>
      </c>
      <c r="E49" s="12" t="inlineStr">
        <is>
          <t>I'm not in a position to make that kind of purchase.</t>
        </is>
      </c>
      <c r="F49" s="12" t="inlineStr">
        <is>
          <t>내가 그런 구매를 할 상황이 아니야.</t>
        </is>
      </c>
      <c r="G49" s="9">
        <f>HYPERLINK("https://www.youtube.com/watch?v=GRXUIzkV_HA", "영상 보기 ▶")</f>
        <v/>
      </c>
    </row>
    <row r="50" ht="26" customHeight="1">
      <c r="A50" s="2" t="n">
        <v>1299</v>
      </c>
      <c r="B50" s="3" t="inlineStr">
        <is>
          <t>실전회화/표현</t>
        </is>
      </c>
      <c r="C50" s="4" t="inlineStr">
        <is>
          <t>basic</t>
        </is>
      </c>
      <c r="D50" s="11" t="inlineStr">
        <is>
          <t>기본, 기초</t>
        </is>
      </c>
      <c r="E50" s="11" t="inlineStr">
        <is>
          <t>A: Did I miss anything important?</t>
        </is>
      </c>
      <c r="F50" s="11" t="inlineStr">
        <is>
          <t>내가 놓친 중요한 내용이 있었어?</t>
        </is>
      </c>
      <c r="G50" s="5">
        <f>HYPERLINK("https://www.youtube.com/watch?v=GRXUIzkV_HA", "영상 보기 ▶")</f>
        <v/>
      </c>
    </row>
    <row r="51" ht="26" customHeight="1">
      <c r="A51" s="6" t="n">
        <v>1300</v>
      </c>
      <c r="B51" s="7" t="inlineStr">
        <is>
          <t>실전회화/표현</t>
        </is>
      </c>
      <c r="C51" s="8" t="inlineStr">
        <is>
          <t>get the hang of</t>
        </is>
      </c>
      <c r="D51" s="12" t="inlineStr">
        <is>
          <t>요령을 터득하다, 감을 잡다</t>
        </is>
      </c>
      <c r="E51" s="12" t="inlineStr">
        <is>
          <t>Don't worry. You'll get the hang of it.</t>
        </is>
      </c>
      <c r="F51" s="12" t="inlineStr">
        <is>
          <t>걱정마, 감을 잡게 될 거야.</t>
        </is>
      </c>
      <c r="G51" s="9">
        <f>HYPERLINK("https://www.youtube.com/watch?v=GRXUIzkV_HA", "영상 보기 ▶")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8" customWidth="1" min="3" max="3"/>
    <col width="43.3" customWidth="1" min="4" max="4"/>
    <col width="75" customWidth="1" min="5" max="5"/>
    <col width="65.3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1301</v>
      </c>
      <c r="B2" s="3" t="inlineStr">
        <is>
          <t>실전회화/표현</t>
        </is>
      </c>
      <c r="C2" s="4" t="inlineStr">
        <is>
          <t>mull over ~</t>
        </is>
      </c>
      <c r="D2" s="11" t="inlineStr">
        <is>
          <t>에 대해 숙고하다</t>
        </is>
      </c>
      <c r="E2" s="11" t="inlineStr">
        <is>
          <t>Let's touch base next week. I need some time to mull it over.</t>
        </is>
      </c>
      <c r="F2" s="11" t="inlineStr">
        <is>
          <t>다음주에 다시 연락하도록 하죠. 생각할 시간이 좀 필요해서요.</t>
        </is>
      </c>
      <c r="G2" s="5">
        <f>HYPERLINK("https://www.youtube.com/watch?v=FpHJaIjKUdE", "영상 보기 ▶")</f>
        <v/>
      </c>
    </row>
    <row r="3" ht="26" customHeight="1">
      <c r="A3" s="6" t="n">
        <v>1302</v>
      </c>
      <c r="B3" s="7" t="inlineStr">
        <is>
          <t>실전회화/표현</t>
        </is>
      </c>
      <c r="C3" s="8" t="inlineStr">
        <is>
          <t>be underway</t>
        </is>
      </c>
      <c r="D3" s="12" t="inlineStr">
        <is>
          <t>진행 중이다, 나아가고 있다</t>
        </is>
      </c>
      <c r="E3" s="12" t="inlineStr">
        <is>
          <t>Is the project underway?</t>
        </is>
      </c>
      <c r="F3" s="12" t="inlineStr">
        <is>
          <t>프로젝트 진행 중이야?</t>
        </is>
      </c>
      <c r="G3" s="9">
        <f>HYPERLINK("https://www.youtube.com/watch?v=FpHJaIjKUdE", "영상 보기 ▶")</f>
        <v/>
      </c>
    </row>
    <row r="4" ht="26" customHeight="1">
      <c r="A4" s="2" t="n">
        <v>1303</v>
      </c>
      <c r="B4" s="3" t="inlineStr">
        <is>
          <t>실전회화/표현</t>
        </is>
      </c>
      <c r="C4" s="4" t="inlineStr">
        <is>
          <t>from the get-go</t>
        </is>
      </c>
      <c r="D4" s="11" t="inlineStr">
        <is>
          <t>처음부터</t>
        </is>
      </c>
      <c r="E4" s="11" t="inlineStr">
        <is>
          <t>It was successful from the get-go.</t>
        </is>
      </c>
      <c r="F4" s="11" t="inlineStr">
        <is>
          <t>처음부터 성공적이었어.</t>
        </is>
      </c>
      <c r="G4" s="5">
        <f>HYPERLINK("https://www.youtube.com/watch?v=FpHJaIjKUdE", "영상 보기 ▶")</f>
        <v/>
      </c>
    </row>
    <row r="5" ht="26" customHeight="1">
      <c r="A5" s="6" t="n">
        <v>1304</v>
      </c>
      <c r="B5" s="7" t="inlineStr">
        <is>
          <t>의견/의사결정</t>
        </is>
      </c>
      <c r="C5" s="8" t="inlineStr">
        <is>
          <t>ball's in one's court ~</t>
        </is>
      </c>
      <c r="D5" s="12" t="inlineStr">
        <is>
          <t>에게 결정권이 달렸다</t>
        </is>
      </c>
      <c r="E5" s="12" t="inlineStr">
        <is>
          <t>We've done everything we can. The ball's in their court now.</t>
        </is>
      </c>
      <c r="F5" s="12" t="inlineStr">
        <is>
          <t>우리가 할 수 있는 건 다 했어. 이제 그들이 결정할 일만 남았어.</t>
        </is>
      </c>
      <c r="G5" s="9">
        <f>HYPERLINK("https://www.youtube.com/watch?v=FpHJaIjKUdE", "영상 보기 ▶")</f>
        <v/>
      </c>
    </row>
    <row r="6" ht="26" customHeight="1">
      <c r="A6" s="2" t="n">
        <v>1305</v>
      </c>
      <c r="B6" s="3" t="inlineStr">
        <is>
          <t>실전회화/표현</t>
        </is>
      </c>
      <c r="C6" s="4" t="inlineStr">
        <is>
          <t>table</t>
        </is>
      </c>
      <c r="D6" s="11" t="inlineStr">
        <is>
          <t>미루다, 연기하다</t>
        </is>
      </c>
      <c r="E6" s="11" t="inlineStr">
        <is>
          <t>Can we table that?</t>
        </is>
      </c>
      <c r="F6" s="11" t="inlineStr">
        <is>
          <t>나중에 얘기해도 될까요?</t>
        </is>
      </c>
      <c r="G6" s="5">
        <f>HYPERLINK("https://www.youtube.com/watch?v=FpHJaIjKUdE", "영상 보기 ▶")</f>
        <v/>
      </c>
    </row>
    <row r="7" ht="26" customHeight="1">
      <c r="A7" s="6" t="n">
        <v>1306</v>
      </c>
      <c r="B7" s="7" t="inlineStr">
        <is>
          <t>공감/감정</t>
        </is>
      </c>
      <c r="C7" s="8" t="inlineStr">
        <is>
          <t>mesmerize</t>
        </is>
      </c>
      <c r="D7" s="12" t="inlineStr">
        <is>
          <t>마음을 사로잡다, 넋을 빼놓다</t>
        </is>
      </c>
      <c r="E7" s="12" t="inlineStr">
        <is>
          <t>I was mesmerized by his story.</t>
        </is>
      </c>
      <c r="F7" s="12" t="inlineStr">
        <is>
          <t>그의 이야기에 푹 빠져들었어.</t>
        </is>
      </c>
      <c r="G7" s="9">
        <f>HYPERLINK("https://www.youtube.com/watch?v=FpHJaIjKUdE", "영상 보기 ▶")</f>
        <v/>
      </c>
    </row>
    <row r="8" ht="26" customHeight="1">
      <c r="A8" s="2" t="n">
        <v>1307</v>
      </c>
      <c r="B8" s="3" t="inlineStr">
        <is>
          <t>실전회화/표현</t>
        </is>
      </c>
      <c r="C8" s="4" t="inlineStr">
        <is>
          <t>cut corners</t>
        </is>
      </c>
      <c r="D8" s="11" t="inlineStr">
        <is>
          <t>절차를 생략하다, 대충 해치우다</t>
        </is>
      </c>
      <c r="E8" s="11" t="inlineStr">
        <is>
          <t>I don't cut corners.</t>
        </is>
      </c>
      <c r="F8" s="11" t="inlineStr">
        <is>
          <t>전 일을 대충하지 않아요.</t>
        </is>
      </c>
      <c r="G8" s="5">
        <f>HYPERLINK("https://www.youtube.com/watch?v=FpHJaIjKUdE", "영상 보기 ▶")</f>
        <v/>
      </c>
    </row>
    <row r="9" ht="26" customHeight="1">
      <c r="A9" s="6" t="n">
        <v>1308</v>
      </c>
      <c r="B9" s="7" t="inlineStr">
        <is>
          <t>의견/의사결정</t>
        </is>
      </c>
      <c r="C9" s="8" t="inlineStr">
        <is>
          <t>don't see eye to eye</t>
        </is>
      </c>
      <c r="D9" s="12" t="inlineStr">
        <is>
          <t>의견, 생각이 다르다</t>
        </is>
      </c>
      <c r="E9" s="12" t="inlineStr">
        <is>
          <t>We don't see eye to eye on the new marketing strategy.</t>
        </is>
      </c>
      <c r="F9" s="12" t="inlineStr">
        <is>
          <t>새로운 마케팅 전략에 대해 의견이 달라.</t>
        </is>
      </c>
      <c r="G9" s="9">
        <f>HYPERLINK("https://www.youtube.com/watch?v=FpHJaIjKUdE", "영상 보기 ▶")</f>
        <v/>
      </c>
    </row>
    <row r="10" ht="26" customHeight="1">
      <c r="A10" s="2" t="n">
        <v>1309</v>
      </c>
      <c r="B10" s="3" t="inlineStr">
        <is>
          <t>공감/감정</t>
        </is>
      </c>
      <c r="C10" s="4" t="inlineStr">
        <is>
          <t>digest</t>
        </is>
      </c>
      <c r="D10" s="11" t="inlineStr">
        <is>
          <t>소화하다, 완전히 이해하다</t>
        </is>
      </c>
      <c r="E10" s="11" t="inlineStr">
        <is>
          <t>You covered a lot of information. I need some time to digest.</t>
        </is>
      </c>
      <c r="F10" s="11" t="inlineStr">
        <is>
          <t>네가 많은 내용을 다뤄서, 이해할 시간이 좀 필요해.</t>
        </is>
      </c>
      <c r="G10" s="5">
        <f>HYPERLINK("https://www.youtube.com/watch?v=FpHJaIjKUdE", "영상 보기 ▶")</f>
        <v/>
      </c>
    </row>
    <row r="11" ht="26" customHeight="1">
      <c r="A11" s="6" t="n">
        <v>1310</v>
      </c>
      <c r="B11" s="7" t="inlineStr">
        <is>
          <t>실전회화/표현</t>
        </is>
      </c>
      <c r="C11" s="8" t="inlineStr">
        <is>
          <t>skeleton in the closet</t>
        </is>
      </c>
      <c r="D11" s="12" t="inlineStr">
        <is>
          <t>숨기고 싶은 비밀</t>
        </is>
      </c>
      <c r="E11" s="12" t="inlineStr">
        <is>
          <t>We all have skeletons in our closet.</t>
        </is>
      </c>
      <c r="F11" s="12" t="inlineStr">
        <is>
          <t>누구나 숨기고 싶은 비밀이 있잖아요.</t>
        </is>
      </c>
      <c r="G11" s="9">
        <f>HYPERLINK("https://www.youtube.com/watch?v=FpHJaIjKUdE", "영상 보기 ▶")</f>
        <v/>
      </c>
    </row>
    <row r="12" ht="26" customHeight="1">
      <c r="A12" s="2" t="n">
        <v>1311</v>
      </c>
      <c r="B12" s="3" t="inlineStr">
        <is>
          <t>실전회화/표현</t>
        </is>
      </c>
      <c r="C12" s="4" t="inlineStr">
        <is>
          <t>add up</t>
        </is>
      </c>
      <c r="D12" s="11" t="inlineStr">
        <is>
          <t>말이 되다, 앞뒤가 맞다</t>
        </is>
      </c>
      <c r="E12" s="11" t="inlineStr">
        <is>
          <t>Something doesn't add up.</t>
        </is>
      </c>
      <c r="F12" s="11" t="inlineStr">
        <is>
          <t>뭔가 앞뒤가 안 맞아.</t>
        </is>
      </c>
      <c r="G12" s="5">
        <f>HYPERLINK("https://www.youtube.com/watch?v=FpHJaIjKUdE", "영상 보기 ▶")</f>
        <v/>
      </c>
    </row>
    <row r="13" ht="26" customHeight="1">
      <c r="A13" s="6" t="n">
        <v>1312</v>
      </c>
      <c r="B13" s="7" t="inlineStr">
        <is>
          <t>실전회화/표현</t>
        </is>
      </c>
      <c r="C13" s="8" t="inlineStr">
        <is>
          <t>Last but not least</t>
        </is>
      </c>
      <c r="D13" s="12" t="inlineStr">
        <is>
          <t>마지막으로 (하지만 앞서 언급한 것만큼 중요한)</t>
        </is>
      </c>
      <c r="E13" s="12" t="inlineStr">
        <is>
          <t>Last but not least, I'd like to talk about ~.</t>
        </is>
      </c>
      <c r="F13" s="12" t="inlineStr">
        <is>
          <t>마지막으로 ~에 대해 얘기하고 싶어요.</t>
        </is>
      </c>
      <c r="G13" s="9">
        <f>HYPERLINK("https://www.youtube.com/watch?v=FpHJaIjKUdE", "영상 보기 ▶")</f>
        <v/>
      </c>
    </row>
    <row r="14" ht="26" customHeight="1">
      <c r="A14" s="2" t="n">
        <v>1313</v>
      </c>
      <c r="B14" s="3" t="inlineStr">
        <is>
          <t>실전회화/표현</t>
        </is>
      </c>
      <c r="C14" s="4" t="inlineStr">
        <is>
          <t>First things first</t>
        </is>
      </c>
      <c r="D14" s="11" t="inlineStr">
        <is>
          <t>가장 먼저, 우선</t>
        </is>
      </c>
      <c r="E14" s="11" t="inlineStr">
        <is>
          <t>First things first, I need you to fill out these forms.</t>
        </is>
      </c>
      <c r="F14" s="11" t="inlineStr">
        <is>
          <t>먼저 이 양식부터 작성해주세요.</t>
        </is>
      </c>
      <c r="G14" s="5">
        <f>HYPERLINK("https://www.youtube.com/watch?v=FpHJaIjKUdE", "영상 보기 ▶")</f>
        <v/>
      </c>
    </row>
    <row r="15" ht="26" customHeight="1">
      <c r="A15" s="6" t="n">
        <v>1314</v>
      </c>
      <c r="B15" s="7" t="inlineStr">
        <is>
          <t>실전회화/표현</t>
        </is>
      </c>
      <c r="C15" s="8" t="inlineStr">
        <is>
          <t>out of the blue</t>
        </is>
      </c>
      <c r="D15" s="12" t="inlineStr">
        <is>
          <t>갑자기, 난데없이</t>
        </is>
      </c>
      <c r="E15" s="12" t="inlineStr">
        <is>
          <t>She just called me out of the blue.</t>
        </is>
      </c>
      <c r="F15" s="12" t="inlineStr">
        <is>
          <t>그냥 갑자기 나한테 전화했어.</t>
        </is>
      </c>
      <c r="G15" s="9">
        <f>HYPERLINK("https://www.youtube.com/watch?v=FpHJaIjKUdE", "영상 보기 ▶")</f>
        <v/>
      </c>
    </row>
    <row r="16" ht="26" customHeight="1">
      <c r="A16" s="2" t="n">
        <v>1315</v>
      </c>
      <c r="B16" s="3" t="inlineStr">
        <is>
          <t>실전회화/표현</t>
        </is>
      </c>
      <c r="C16" s="4" t="inlineStr">
        <is>
          <t>touchy</t>
        </is>
      </c>
      <c r="D16" s="11" t="inlineStr">
        <is>
          <t>민감한, 조심해서 다뤄야 하는</t>
        </is>
      </c>
      <c r="E16" s="11" t="inlineStr">
        <is>
          <t>It's a touchy subject for her.</t>
        </is>
      </c>
      <c r="F16" s="11" t="inlineStr">
        <is>
          <t>그건 그녀에게 민감한 주제야.</t>
        </is>
      </c>
      <c r="G16" s="5">
        <f>HYPERLINK("https://www.youtube.com/watch?v=FpHJaIjKUdE", "영상 보기 ▶")</f>
        <v/>
      </c>
    </row>
    <row r="17" ht="26" customHeight="1">
      <c r="A17" s="6" t="n">
        <v>1316</v>
      </c>
      <c r="B17" s="7" t="inlineStr">
        <is>
          <t>실전회화/표현</t>
        </is>
      </c>
      <c r="C17" s="8" t="inlineStr">
        <is>
          <t>be open to ~</t>
        </is>
      </c>
      <c r="D17" s="12" t="inlineStr">
        <is>
          <t>를 고려할 의향이 있다</t>
        </is>
      </c>
      <c r="E17" s="12" t="inlineStr">
        <is>
          <t>I'm open to your ideas.</t>
        </is>
      </c>
      <c r="F17" s="12" t="inlineStr">
        <is>
          <t>네 생각을 고려해볼테니 말해봐.</t>
        </is>
      </c>
      <c r="G17" s="9">
        <f>HYPERLINK("https://www.youtube.com/watch?v=FpHJaIjKUdE", "영상 보기 ▶")</f>
        <v/>
      </c>
    </row>
    <row r="18" ht="26" customHeight="1">
      <c r="A18" s="2" t="n">
        <v>1317</v>
      </c>
      <c r="B18" s="3" t="inlineStr">
        <is>
          <t>실전회화/표현</t>
        </is>
      </c>
      <c r="C18" s="4" t="inlineStr">
        <is>
          <t>exhaustive</t>
        </is>
      </c>
      <c r="D18" s="11" t="inlineStr">
        <is>
          <t>철저한, 완전한</t>
        </is>
      </c>
      <c r="E18" s="11" t="inlineStr">
        <is>
          <t>This is by no means an exhaustive list.</t>
        </is>
      </c>
      <c r="F18" s="11" t="inlineStr">
        <is>
          <t>이 리스트에 나와있는게 절대 다가 아니야.</t>
        </is>
      </c>
      <c r="G18" s="5">
        <f>HYPERLINK("https://www.youtube.com/watch?v=FpHJaIjKUdE", "영상 보기 ▶")</f>
        <v/>
      </c>
    </row>
    <row r="19" ht="26" customHeight="1">
      <c r="A19" s="6" t="n">
        <v>1318</v>
      </c>
      <c r="B19" s="7" t="inlineStr">
        <is>
          <t>공감/이해</t>
        </is>
      </c>
      <c r="C19" s="8" t="inlineStr">
        <is>
          <t>I understand where you're coming from.</t>
        </is>
      </c>
      <c r="D19" s="12" t="inlineStr">
        <is>
          <t>네가 왜 그러는지/어떤 입장인지 충분히 이해해</t>
        </is>
      </c>
      <c r="E19" s="12" t="inlineStr">
        <is>
          <t>I understand where you're coming from, but we still have a budget.</t>
        </is>
      </c>
      <c r="F19" s="12" t="inlineStr">
        <is>
          <t>네 입장이 어떤지 충분히 이해하지만, 여전히 예산 한계가 있어.</t>
        </is>
      </c>
      <c r="G19" s="9">
        <f>HYPERLINK("https://www.youtube.com/watch?v=FpHJaIjKUdE", "영상 보기 ▶")</f>
        <v/>
      </c>
    </row>
    <row r="20" ht="26" customHeight="1">
      <c r="A20" s="2" t="n">
        <v>1319</v>
      </c>
      <c r="B20" s="3" t="inlineStr">
        <is>
          <t>실전회화/표현</t>
        </is>
      </c>
      <c r="C20" s="4" t="inlineStr">
        <is>
          <t>block out</t>
        </is>
      </c>
      <c r="D20" s="11" t="inlineStr">
        <is>
          <t>시간을 빼놓다</t>
        </is>
      </c>
      <c r="E20" s="11" t="inlineStr">
        <is>
          <t>A: Do you think she can meet today?</t>
        </is>
      </c>
      <c r="F20" s="11" t="inlineStr">
        <is>
          <t>그녀가 우리와 오늘 만날 수 있을까?</t>
        </is>
      </c>
      <c r="G20" s="5">
        <f>HYPERLINK("https://www.youtube.com/watch?v=FpHJaIjKUdE", "영상 보기 ▶")</f>
        <v/>
      </c>
    </row>
    <row r="21" ht="26" customHeight="1">
      <c r="A21" s="6" t="n">
        <v>1320</v>
      </c>
      <c r="B21" s="7" t="inlineStr">
        <is>
          <t>의견/의사결정</t>
        </is>
      </c>
      <c r="C21" s="8" t="inlineStr">
        <is>
          <t>put it on the table</t>
        </is>
      </c>
      <c r="D21" s="12" t="inlineStr">
        <is>
          <t>안건으로 내놓다, 제안하다</t>
        </is>
      </c>
      <c r="E21" s="12" t="inlineStr">
        <is>
          <t>Let's talk about it. Let's put it on the table and see what he thinks.</t>
        </is>
      </c>
      <c r="F21" s="12" t="inlineStr">
        <is>
          <t>얘기해보자. 한번 제안해보고 어떤 생각인지 들어보자.</t>
        </is>
      </c>
      <c r="G21" s="9">
        <f>HYPERLINK("https://www.youtube.com/watch?v=FpHJaIjKUdE", "영상 보기 ▶")</f>
        <v/>
      </c>
    </row>
    <row r="22" ht="26" customHeight="1">
      <c r="A22" s="2" t="n">
        <v>1321</v>
      </c>
      <c r="B22" s="3" t="inlineStr">
        <is>
          <t>실전회화/표현</t>
        </is>
      </c>
      <c r="C22" s="4" t="inlineStr">
        <is>
          <t>talk</t>
        </is>
      </c>
      <c r="D22" s="11" t="inlineStr">
        <is>
          <t>대상 out 얘기로 풀다</t>
        </is>
      </c>
      <c r="E22" s="11" t="inlineStr">
        <is>
          <t>There's nothing you can't talk out.</t>
        </is>
      </c>
      <c r="F22" s="11" t="inlineStr">
        <is>
          <t>대화로 못 푸는 건 없어.</t>
        </is>
      </c>
      <c r="G22" s="5">
        <f>HYPERLINK("https://www.youtube.com/watch?v=FpHJaIjKUdE", "영상 보기 ▶")</f>
        <v/>
      </c>
    </row>
    <row r="23" ht="26" customHeight="1">
      <c r="A23" s="6" t="n">
        <v>1322</v>
      </c>
      <c r="B23" s="7" t="inlineStr">
        <is>
          <t>실전회화/표현</t>
        </is>
      </c>
      <c r="C23" s="8" t="inlineStr">
        <is>
          <t>cut out for ~</t>
        </is>
      </c>
      <c r="D23" s="12" t="inlineStr">
        <is>
          <t>에 적합한, 소질이 있는</t>
        </is>
      </c>
      <c r="E23" s="12" t="inlineStr">
        <is>
          <t>I'm not cut out for this job.</t>
        </is>
      </c>
      <c r="F23" s="12" t="inlineStr">
        <is>
          <t>전 이 직업에 적합하지 않아요.</t>
        </is>
      </c>
      <c r="G23" s="9">
        <f>HYPERLINK("https://www.youtube.com/watch?v=FpHJaIjKUdE", "영상 보기 ▶")</f>
        <v/>
      </c>
    </row>
    <row r="24" ht="26" customHeight="1">
      <c r="A24" s="2" t="n">
        <v>1323</v>
      </c>
      <c r="B24" s="3" t="inlineStr">
        <is>
          <t>실전회화/표현</t>
        </is>
      </c>
      <c r="C24" s="4" t="inlineStr">
        <is>
          <t>come down with</t>
        </is>
      </c>
      <c r="D24" s="11" t="inlineStr">
        <is>
          <t>질병에 걸리다</t>
        </is>
      </c>
      <c r="E24" s="11" t="inlineStr">
        <is>
          <t>I think I'm coming down with something.</t>
        </is>
      </c>
      <c r="F24" s="11" t="inlineStr">
        <is>
          <t>나 감기 기운이 있는 것 같아.</t>
        </is>
      </c>
      <c r="G24" s="5">
        <f>HYPERLINK("https://www.youtube.com/watch?v=FpHJaIjKUdE", "영상 보기 ▶")</f>
        <v/>
      </c>
    </row>
    <row r="25" ht="26" customHeight="1">
      <c r="A25" s="6" t="n">
        <v>1324</v>
      </c>
      <c r="B25" s="7" t="inlineStr">
        <is>
          <t>실전회화/표현</t>
        </is>
      </c>
      <c r="C25" s="8" t="inlineStr">
        <is>
          <t>have bigger fish to fry</t>
        </is>
      </c>
      <c r="D25" s="12" t="inlineStr">
        <is>
          <t>더 중요한 일이 있다</t>
        </is>
      </c>
      <c r="E25" s="12" t="inlineStr">
        <is>
          <t>Right now, we have bigger fish to fry.</t>
        </is>
      </c>
      <c r="F25" s="12" t="inlineStr">
        <is>
          <t>지금은 더 급히 해결해야하는 중요한 일이 있잖아.</t>
        </is>
      </c>
      <c r="G25" s="9">
        <f>HYPERLINK("https://www.youtube.com/watch?v=FpHJaIjKUdE", "영상 보기 ▶")</f>
        <v/>
      </c>
    </row>
    <row r="26" ht="26" customHeight="1">
      <c r="A26" s="2" t="n">
        <v>1325</v>
      </c>
      <c r="B26" s="3" t="inlineStr">
        <is>
          <t>일상 회화</t>
        </is>
      </c>
      <c r="C26" s="4" t="inlineStr">
        <is>
          <t>My eyes were bigger than my stomach.</t>
        </is>
      </c>
      <c r="D26" s="11" t="inlineStr">
        <is>
          <t>욕심껏 많이 시켰는데 배불러서 다 못 먹겠어</t>
        </is>
      </c>
      <c r="E26" s="11" t="inlineStr">
        <is>
          <t>I shouldn't have ordered two pizzas; my eyes were bigger than my stomach.</t>
        </is>
      </c>
      <c r="F26" s="11" t="inlineStr">
        <is>
          <t>피자를 두 판이나 시키지 말았어야 했는데, 욕심이 너무 과했어.</t>
        </is>
      </c>
      <c r="G26" s="5">
        <f>HYPERLINK("https://www.youtube.com/watch?v=FpHJaIjKUdE", "영상 보기 ▶")</f>
        <v/>
      </c>
    </row>
    <row r="27" ht="26" customHeight="1">
      <c r="A27" s="6" t="n">
        <v>1326</v>
      </c>
      <c r="B27" s="7" t="inlineStr">
        <is>
          <t>실전회화/표현</t>
        </is>
      </c>
      <c r="C27" s="8" t="inlineStr">
        <is>
          <t>wake-up call</t>
        </is>
      </c>
      <c r="D27" s="12" t="inlineStr">
        <is>
          <t>정신을 차리게 하는 계기</t>
        </is>
      </c>
      <c r="E27" s="12" t="inlineStr">
        <is>
          <t>All the other companies are downsizing. This should be a wake-up call to all of us.</t>
        </is>
      </c>
      <c r="F27" s="12" t="inlineStr">
        <is>
          <t>다른 회사들은 다 구조조정에 들어갔어. 우리 모두 정신차려야 해.</t>
        </is>
      </c>
      <c r="G27" s="9">
        <f>HYPERLINK("https://www.youtube.com/watch?v=FpHJaIjKUdE", "영상 보기 ▶")</f>
        <v/>
      </c>
    </row>
    <row r="28" ht="26" customHeight="1">
      <c r="A28" s="2" t="n">
        <v>1327</v>
      </c>
      <c r="B28" s="3" t="inlineStr">
        <is>
          <t>실전회화/표현</t>
        </is>
      </c>
      <c r="C28" s="4" t="inlineStr">
        <is>
          <t>off</t>
        </is>
      </c>
      <c r="D28" s="11" t="inlineStr">
        <is>
          <t>잘못된, 틀린</t>
        </is>
      </c>
      <c r="E28" s="11" t="inlineStr">
        <is>
          <t>Something's off.</t>
        </is>
      </c>
      <c r="F28" s="11" t="inlineStr">
        <is>
          <t>뭔가 이상한데.</t>
        </is>
      </c>
      <c r="G28" s="5">
        <f>HYPERLINK("https://www.youtube.com/watch?v=FpHJaIjKUdE", "영상 보기 ▶")</f>
        <v/>
      </c>
    </row>
    <row r="29" ht="26" customHeight="1">
      <c r="A29" s="6" t="n">
        <v>1328</v>
      </c>
      <c r="B29" s="7" t="inlineStr">
        <is>
          <t>팀워크/총력</t>
        </is>
      </c>
      <c r="C29" s="8" t="inlineStr">
        <is>
          <t>All hands on deck.</t>
        </is>
      </c>
      <c r="D29" s="12" t="inlineStr">
        <is>
          <t>모두가 손을 걷어붙이고 힘을 합쳐야 해 (총력전)</t>
        </is>
      </c>
      <c r="E29" s="12" t="inlineStr">
        <is>
          <t>The deadline is tomorrow, so it's all hands on deck.</t>
        </is>
      </c>
      <c r="F29" s="12" t="inlineStr">
        <is>
          <t>마감이 내일이라 전원이 총출동해 달라붙어야 합니다.</t>
        </is>
      </c>
      <c r="G29" s="9">
        <f>HYPERLINK("https://www.youtube.com/watch?v=FpHJaIjKUdE", "영상 보기 ▶")</f>
        <v/>
      </c>
    </row>
    <row r="30" ht="26" customHeight="1">
      <c r="A30" s="2" t="n">
        <v>1329</v>
      </c>
      <c r="B30" s="3" t="inlineStr">
        <is>
          <t>실전회화/표현</t>
        </is>
      </c>
      <c r="C30" s="4" t="inlineStr">
        <is>
          <t>I'd rather not ~</t>
        </is>
      </c>
      <c r="D30" s="11" t="inlineStr">
        <is>
          <t>하지 않는게 낫겠어</t>
        </is>
      </c>
      <c r="E30" s="11" t="inlineStr">
        <is>
          <t>I'd rather not talk about it. It's a touchy subject for me.</t>
        </is>
      </c>
      <c r="F30" s="11" t="inlineStr">
        <is>
          <t>그 얘긴 하고싶지 않아. 나한테는 민감한 주제거든.</t>
        </is>
      </c>
      <c r="G30" s="5">
        <f>HYPERLINK("https://www.youtube.com/watch?v=FpHJaIjKUdE", "영상 보기 ▶")</f>
        <v/>
      </c>
    </row>
    <row r="31" ht="26" customHeight="1">
      <c r="A31" s="6" t="n">
        <v>1330</v>
      </c>
      <c r="B31" s="7" t="inlineStr">
        <is>
          <t>실전회화/표현</t>
        </is>
      </c>
      <c r="C31" s="8" t="inlineStr">
        <is>
          <t>late bloomer</t>
        </is>
      </c>
      <c r="D31" s="12" t="inlineStr">
        <is>
          <t>늦게 피는 꽃, 대기만성형</t>
        </is>
      </c>
      <c r="E31" s="12" t="inlineStr">
        <is>
          <t>She's a late bloomer.</t>
        </is>
      </c>
      <c r="F31" s="12" t="inlineStr">
        <is>
          <t>그녀는 늦게 성공한 케이스야.</t>
        </is>
      </c>
      <c r="G31" s="9">
        <f>HYPERLINK("https://www.youtube.com/watch?v=FpHJaIjKUdE", "영상 보기 ▶")</f>
        <v/>
      </c>
    </row>
    <row r="32" ht="26" customHeight="1">
      <c r="A32" s="2" t="n">
        <v>1331</v>
      </c>
      <c r="B32" s="3" t="inlineStr">
        <is>
          <t>공감/감정</t>
        </is>
      </c>
      <c r="C32" s="4" t="inlineStr">
        <is>
          <t>Don't beat yourself up.</t>
        </is>
      </c>
      <c r="D32" s="11" t="inlineStr">
        <is>
          <t>자책하지 마.</t>
        </is>
      </c>
      <c r="E32" s="11" t="inlineStr">
        <is>
          <t>Don't beat yourself up too hard. Who knows? You might be a late bloomer.</t>
        </is>
      </c>
      <c r="F32" s="11" t="inlineStr">
        <is>
          <t>너무 자책하지 마. 누가 알아, 네가 나중에 엄청 성공할지?</t>
        </is>
      </c>
      <c r="G32" s="5">
        <f>HYPERLINK("https://www.youtube.com/watch?v=FpHJaIjKUdE", "영상 보기 ▶")</f>
        <v/>
      </c>
    </row>
    <row r="33" ht="26" customHeight="1">
      <c r="A33" s="6" t="n">
        <v>1332</v>
      </c>
      <c r="B33" s="7" t="inlineStr">
        <is>
          <t>실전회화/표현</t>
        </is>
      </c>
      <c r="C33" s="8" t="inlineStr">
        <is>
          <t>only so many/much</t>
        </is>
      </c>
      <c r="D33" s="12" t="inlineStr">
        <is>
          <t>제한된, 한계가 있는</t>
        </is>
      </c>
      <c r="E33" s="12" t="inlineStr">
        <is>
          <t>I know you want to help her, but there's only so much you can do.</t>
        </is>
      </c>
      <c r="F33" s="12" t="inlineStr">
        <is>
          <t>네가 그녀를 도와주고 싶은 건 알겠지만 네가 할 수 있는 것도 한계가 있어.</t>
        </is>
      </c>
      <c r="G33" s="9">
        <f>HYPERLINK("https://www.youtube.com/watch?v=FpHJaIjKUdE", "영상 보기 ▶")</f>
        <v/>
      </c>
    </row>
    <row r="34" ht="26" customHeight="1">
      <c r="A34" s="2" t="n">
        <v>1333</v>
      </c>
      <c r="B34" s="3" t="inlineStr">
        <is>
          <t>실전회화/표현</t>
        </is>
      </c>
      <c r="C34" s="4" t="inlineStr">
        <is>
          <t>be on the fence</t>
        </is>
      </c>
      <c r="D34" s="11" t="inlineStr">
        <is>
          <t>고민 중이다</t>
        </is>
      </c>
      <c r="E34" s="11" t="inlineStr">
        <is>
          <t>I'm still on the fence.</t>
        </is>
      </c>
      <c r="F34" s="11" t="inlineStr">
        <is>
          <t>아직 고민 중이야.</t>
        </is>
      </c>
      <c r="G34" s="5">
        <f>HYPERLINK("https://www.youtube.com/watch?v=FpHJaIjKUdE", "영상 보기 ▶")</f>
        <v/>
      </c>
    </row>
    <row r="35" ht="26" customHeight="1">
      <c r="A35" s="6" t="n">
        <v>1334</v>
      </c>
      <c r="B35" s="7" t="inlineStr">
        <is>
          <t>의견/의사결정</t>
        </is>
      </c>
      <c r="C35" s="8" t="inlineStr">
        <is>
          <t>sleep on</t>
        </is>
      </c>
      <c r="D35" s="12" t="inlineStr">
        <is>
          <t>곰곰이 생각해보다</t>
        </is>
      </c>
      <c r="E35" s="12" t="inlineStr">
        <is>
          <t>A: Think it through, okay? Don't do something you're gonna regret for the rest of your life.</t>
        </is>
      </c>
      <c r="F35" s="12" t="inlineStr">
        <is>
          <t>잘 생각해봐. 평생 후회할 짓은 하지 말고.</t>
        </is>
      </c>
      <c r="G35" s="9">
        <f>HYPERLINK("https://www.youtube.com/watch?v=FpHJaIjKUdE", "영상 보기 ▶")</f>
        <v/>
      </c>
    </row>
    <row r="36" ht="26" customHeight="1">
      <c r="A36" s="2" t="n">
        <v>1335</v>
      </c>
      <c r="B36" s="3" t="inlineStr">
        <is>
          <t>실전회화/표현</t>
        </is>
      </c>
      <c r="C36" s="4" t="inlineStr">
        <is>
          <t>ever-growing</t>
        </is>
      </c>
      <c r="D36" s="11" t="inlineStr">
        <is>
          <t>계속 늘어나는, 계속 자라나는</t>
        </is>
      </c>
      <c r="E36" s="11" t="inlineStr">
        <is>
          <t>It's an ever-growing market.</t>
        </is>
      </c>
      <c r="F36" s="11" t="inlineStr">
        <is>
          <t>그건 계속 커지는 시장이야.</t>
        </is>
      </c>
      <c r="G36" s="5">
        <f>HYPERLINK("https://www.youtube.com/watch?v=FpHJaIjKUdE", "영상 보기 ▶")</f>
        <v/>
      </c>
    </row>
    <row r="37" ht="26" customHeight="1">
      <c r="A37" s="6" t="n">
        <v>1336</v>
      </c>
      <c r="B37" s="7" t="inlineStr">
        <is>
          <t>실전회화/표현</t>
        </is>
      </c>
      <c r="C37" s="8" t="inlineStr">
        <is>
          <t>on the side</t>
        </is>
      </c>
      <c r="D37" s="12" t="inlineStr">
        <is>
          <t>사이드에, 따로</t>
        </is>
      </c>
      <c r="E37" s="12" t="inlineStr">
        <is>
          <t>Can I have the sauce on the side?</t>
        </is>
      </c>
      <c r="F37" s="12" t="inlineStr">
        <is>
          <t>소스는 따로 주실 수 있나요?</t>
        </is>
      </c>
      <c r="G37" s="9">
        <f>HYPERLINK("https://www.youtube.com/watch?v=FpHJaIjKUdE", "영상 보기 ▶")</f>
        <v/>
      </c>
    </row>
    <row r="38" ht="26" customHeight="1">
      <c r="A38" s="2" t="n">
        <v>1337</v>
      </c>
      <c r="B38" s="3" t="inlineStr">
        <is>
          <t>실전회화/표현</t>
        </is>
      </c>
      <c r="C38" s="4" t="inlineStr">
        <is>
          <t>strong suit</t>
        </is>
      </c>
      <c r="D38" s="11" t="inlineStr">
        <is>
          <t>강점, 잘 하는 분야</t>
        </is>
      </c>
      <c r="E38" s="11" t="inlineStr">
        <is>
          <t>A: He's late again.</t>
        </is>
      </c>
      <c r="F38" s="11" t="inlineStr">
        <is>
          <t>또 늦네.</t>
        </is>
      </c>
      <c r="G38" s="5">
        <f>HYPERLINK("https://www.youtube.com/watch?v=FpHJaIjKUdE", "영상 보기 ▶")</f>
        <v/>
      </c>
    </row>
    <row r="39" ht="26" customHeight="1">
      <c r="A39" s="6" t="n">
        <v>1338</v>
      </c>
      <c r="B39" s="7" t="inlineStr">
        <is>
          <t>실전회화/표현</t>
        </is>
      </c>
      <c r="C39" s="8" t="inlineStr">
        <is>
          <t>cut down on ~</t>
        </is>
      </c>
      <c r="D39" s="12" t="inlineStr">
        <is>
          <t>를 줄이다</t>
        </is>
      </c>
      <c r="E39" s="12" t="inlineStr">
        <is>
          <t>I'm trying to cut down on drinking.</t>
        </is>
      </c>
      <c r="F39" s="12" t="inlineStr">
        <is>
          <t>술을 줄이려고 노력 중이야.</t>
        </is>
      </c>
      <c r="G39" s="9">
        <f>HYPERLINK("https://www.youtube.com/watch?v=FpHJaIjKUdE", "영상 보기 ▶")</f>
        <v/>
      </c>
    </row>
    <row r="40" ht="26" customHeight="1">
      <c r="A40" s="2" t="n">
        <v>1339</v>
      </c>
      <c r="B40" s="3" t="inlineStr">
        <is>
          <t>실전회화/표현</t>
        </is>
      </c>
      <c r="C40" s="4" t="inlineStr">
        <is>
          <t>valet [</t>
        </is>
      </c>
      <c r="D40" s="11" t="inlineStr">
        <is>
          <t>밸레이]</t>
        </is>
      </c>
      <c r="E40" s="11" t="inlineStr">
        <is>
          <t>How much is the valet?</t>
        </is>
      </c>
      <c r="F40" s="11" t="inlineStr">
        <is>
          <t>발렛 파킹비는 얼마에요?</t>
        </is>
      </c>
      <c r="G40" s="5">
        <f>HYPERLINK("https://www.youtube.com/watch?v=FpHJaIjKUdE", "영상 보기 ▶")</f>
        <v/>
      </c>
    </row>
    <row r="41" ht="26" customHeight="1">
      <c r="A41" s="6" t="n">
        <v>1340</v>
      </c>
      <c r="B41" s="7" t="inlineStr">
        <is>
          <t>공감/감정</t>
        </is>
      </c>
      <c r="C41" s="8" t="inlineStr">
        <is>
          <t>streamline</t>
        </is>
      </c>
      <c r="D41" s="12" t="inlineStr">
        <is>
          <t>간소화하다, 능률화하다</t>
        </is>
      </c>
      <c r="E41" s="12" t="inlineStr">
        <is>
          <t>It will help us streamline the process.</t>
        </is>
      </c>
      <c r="F41" s="12" t="inlineStr">
        <is>
          <t>과정을 간소화 시키는데 도움이 될거야.</t>
        </is>
      </c>
      <c r="G41" s="9">
        <f>HYPERLINK("https://www.youtube.com/watch?v=FpHJaIjKUdE", "영상 보기 ▶")</f>
        <v/>
      </c>
    </row>
    <row r="42" ht="26" customHeight="1">
      <c r="A42" s="2" t="n">
        <v>1341</v>
      </c>
      <c r="B42" s="3" t="inlineStr">
        <is>
          <t>실전회화/표현</t>
        </is>
      </c>
      <c r="C42" s="4" t="inlineStr">
        <is>
          <t>tirelessly</t>
        </is>
      </c>
      <c r="D42" s="11" t="inlineStr">
        <is>
          <t>지칠 줄 모르고, 끊임없이</t>
        </is>
      </c>
      <c r="E42" s="11" t="inlineStr">
        <is>
          <t>We've been working tirelessly to come up with a solution.</t>
        </is>
      </c>
      <c r="F42" s="11" t="inlineStr">
        <is>
          <t>해결책을 마련하기 위해 정말 열심히 일했어요.</t>
        </is>
      </c>
      <c r="G42" s="5">
        <f>HYPERLINK("https://www.youtube.com/watch?v=FpHJaIjKUdE", "영상 보기 ▶")</f>
        <v/>
      </c>
    </row>
    <row r="43" ht="26" customHeight="1">
      <c r="A43" s="6" t="n">
        <v>1342</v>
      </c>
      <c r="B43" s="7" t="inlineStr">
        <is>
          <t>실전회화/표현</t>
        </is>
      </c>
      <c r="C43" s="8" t="inlineStr">
        <is>
          <t>if possible</t>
        </is>
      </c>
      <c r="D43" s="12" t="inlineStr">
        <is>
          <t>가능하다면</t>
        </is>
      </c>
      <c r="E43" s="12" t="inlineStr">
        <is>
          <t>If possible, could we speed this up and have it done by EOD?</t>
        </is>
      </c>
      <c r="F43" s="12" t="inlineStr">
        <is>
          <t>가능하다면 좀 더 빨리 처리해서 오늘 퇴근 전까지 끝낼 수 있을까?</t>
        </is>
      </c>
      <c r="G43" s="9">
        <f>HYPERLINK("https://www.youtube.com/watch?v=FpHJaIjKUdE", "영상 보기 ▶")</f>
        <v/>
      </c>
    </row>
    <row r="44" ht="26" customHeight="1">
      <c r="A44" s="2" t="n">
        <v>1343</v>
      </c>
      <c r="B44" s="3" t="inlineStr">
        <is>
          <t>공감/감정</t>
        </is>
      </c>
      <c r="C44" s="4" t="inlineStr">
        <is>
          <t>gravitate towards</t>
        </is>
      </c>
      <c r="D44" s="11" t="inlineStr">
        <is>
          <t>관심이 가다, 마음이 끌리다</t>
        </is>
      </c>
      <c r="E44" s="11" t="inlineStr">
        <is>
          <t>I tend to gravitate towards lighter colors. They suit me better.</t>
        </is>
      </c>
      <c r="F44" s="11" t="inlineStr">
        <is>
          <t>난 밝은 색깔이 끌리더라구. 나한테 더 어울려서 말이야.</t>
        </is>
      </c>
      <c r="G44" s="5">
        <f>HYPERLINK("https://www.youtube.com/watch?v=FpHJaIjKUdE", "영상 보기 ▶")</f>
        <v/>
      </c>
    </row>
    <row r="45" ht="26" customHeight="1">
      <c r="A45" s="6" t="n">
        <v>1344</v>
      </c>
      <c r="B45" s="7" t="inlineStr">
        <is>
          <t>실전회화/표현</t>
        </is>
      </c>
      <c r="C45" s="8" t="inlineStr">
        <is>
          <t>versatile</t>
        </is>
      </c>
      <c r="D45" s="12" t="inlineStr">
        <is>
          <t>다재다능한, 다용도의</t>
        </is>
      </c>
      <c r="E45" s="12" t="inlineStr">
        <is>
          <t>It's very versatile.</t>
        </is>
      </c>
      <c r="F45" s="12" t="inlineStr">
        <is>
          <t>다양한 상황에서 쓸 수 있어.</t>
        </is>
      </c>
      <c r="G45" s="9">
        <f>HYPERLINK("https://www.youtube.com/watch?v=FpHJaIjKUdE", "영상 보기 ▶")</f>
        <v/>
      </c>
    </row>
    <row r="46" ht="26" customHeight="1">
      <c r="A46" s="2" t="n">
        <v>1345</v>
      </c>
      <c r="B46" s="3" t="inlineStr">
        <is>
          <t>실전회화/표현</t>
        </is>
      </c>
      <c r="C46" s="4" t="inlineStr">
        <is>
          <t>compatible</t>
        </is>
      </c>
      <c r="D46" s="11" t="inlineStr">
        <is>
          <t>호환이 되는, 잘 맞는</t>
        </is>
      </c>
      <c r="E46" s="11" t="inlineStr">
        <is>
          <t>I don't think we're compatible. We don't see eye to eye.</t>
        </is>
      </c>
      <c r="F46" s="11" t="inlineStr">
        <is>
          <t>우린 안 맞는 것 같아. 생각하는게 달라.</t>
        </is>
      </c>
      <c r="G46" s="5">
        <f>HYPERLINK("https://www.youtube.com/watch?v=FpHJaIjKUdE", "영상 보기 ▶")</f>
        <v/>
      </c>
    </row>
    <row r="47" ht="26" customHeight="1">
      <c r="A47" s="6" t="n">
        <v>1346</v>
      </c>
      <c r="B47" s="7" t="inlineStr">
        <is>
          <t>실전회화/표현</t>
        </is>
      </c>
      <c r="C47" s="8" t="inlineStr">
        <is>
          <t>pour into</t>
        </is>
      </c>
      <c r="D47" s="12" t="inlineStr">
        <is>
          <t>쏟아 붓다</t>
        </is>
      </c>
      <c r="E47" s="12" t="inlineStr">
        <is>
          <t>A: I can tell he's poured a lot of money into this project. He didn't cut any corners.</t>
        </is>
      </c>
      <c r="F47" s="12" t="inlineStr">
        <is>
          <t>그가 이 프로젝트에 많은 돈을 투자했다는 걸 알겠다. 돈을 아끼지 않았어.</t>
        </is>
      </c>
      <c r="G47" s="9">
        <f>HYPERLINK("https://www.youtube.com/watch?v=FpHJaIjKUdE", "영상 보기 ▶")</f>
        <v/>
      </c>
    </row>
    <row r="48" ht="26" customHeight="1">
      <c r="A48" s="2" t="n">
        <v>1347</v>
      </c>
      <c r="B48" s="3" t="inlineStr">
        <is>
          <t>실전회화/표현</t>
        </is>
      </c>
      <c r="C48" s="4" t="inlineStr">
        <is>
          <t>(at) any second (now)</t>
        </is>
      </c>
      <c r="D48" s="11" t="inlineStr">
        <is>
          <t>곧, 언제든</t>
        </is>
      </c>
      <c r="E48" s="11" t="inlineStr">
        <is>
          <t>It looks like it's gonna rain any second.</t>
        </is>
      </c>
      <c r="F48" s="11" t="inlineStr">
        <is>
          <t>금방이라도 비가 올 것 같아.</t>
        </is>
      </c>
      <c r="G48" s="5">
        <f>HYPERLINK("https://www.youtube.com/watch?v=FpHJaIjKUdE", "영상 보기 ▶")</f>
        <v/>
      </c>
    </row>
    <row r="49" ht="26" customHeight="1">
      <c r="A49" s="6" t="n">
        <v>1348</v>
      </c>
      <c r="B49" s="7" t="inlineStr">
        <is>
          <t>실전회화/표현</t>
        </is>
      </c>
      <c r="C49" s="8" t="inlineStr">
        <is>
          <t>better than ever</t>
        </is>
      </c>
      <c r="D49" s="12" t="inlineStr">
        <is>
          <t>그 어느때보다도 더</t>
        </is>
      </c>
      <c r="E49" s="12" t="inlineStr">
        <is>
          <t>You look better than ever.</t>
        </is>
      </c>
      <c r="F49" s="12" t="inlineStr">
        <is>
          <t>너 어느때보다 좋아 보여.</t>
        </is>
      </c>
      <c r="G49" s="9">
        <f>HYPERLINK("https://www.youtube.com/watch?v=FpHJaIjKUdE", "영상 보기 ▶")</f>
        <v/>
      </c>
    </row>
    <row r="50" ht="26" customHeight="1">
      <c r="A50" s="2" t="n">
        <v>1349</v>
      </c>
      <c r="B50" s="3" t="inlineStr">
        <is>
          <t>실전회화/표현</t>
        </is>
      </c>
      <c r="C50" s="4" t="inlineStr">
        <is>
          <t>anyway</t>
        </is>
      </c>
      <c r="D50" s="11" t="inlineStr">
        <is>
          <t>그건 그렇고, 어쨌든</t>
        </is>
      </c>
      <c r="E50" s="11" t="inlineStr">
        <is>
          <t>Anyway, let's talk about something else.</t>
        </is>
      </c>
      <c r="F50" s="11" t="inlineStr">
        <is>
          <t>그건 그렇고, 다른 얘기도 좀 해보자</t>
        </is>
      </c>
      <c r="G50" s="5">
        <f>HYPERLINK("https://www.youtube.com/watch?v=FpHJaIjKUdE", "영상 보기 ▶")</f>
        <v/>
      </c>
    </row>
    <row r="51" ht="26" customHeight="1">
      <c r="A51" s="6" t="n">
        <v>1350</v>
      </c>
      <c r="B51" s="7" t="inlineStr">
        <is>
          <t>실전회화/표현</t>
        </is>
      </c>
      <c r="C51" s="8" t="inlineStr">
        <is>
          <t>come across as ~</t>
        </is>
      </c>
      <c r="D51" s="12" t="inlineStr">
        <is>
          <t>라는 인상을 주다</t>
        </is>
      </c>
      <c r="E51" s="12" t="inlineStr">
        <is>
          <t>I don't wanna come across as cheap.</t>
        </is>
      </c>
      <c r="F51" s="12" t="inlineStr">
        <is>
          <t>쪼잔해보이고 싶지 않아.</t>
        </is>
      </c>
      <c r="G51" s="9">
        <f>HYPERLINK("https://www.youtube.com/watch?v=FpHJaIjKUdE", "영상 보기 ▶")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6" customWidth="1" min="3" max="3"/>
    <col width="45.7" customWidth="1" min="4" max="4"/>
    <col width="75" customWidth="1" min="5" max="5"/>
    <col width="65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1351</v>
      </c>
      <c r="B2" s="3" t="inlineStr">
        <is>
          <t>실전회화/표현</t>
        </is>
      </c>
      <c r="C2" s="4" t="inlineStr">
        <is>
          <t>I'll leave you to it.</t>
        </is>
      </c>
      <c r="D2" s="11" t="inlineStr">
        <is>
          <t>너에게 맡길게.</t>
        </is>
      </c>
      <c r="E2" s="11" t="inlineStr">
        <is>
          <t>I'll leave you to your work.</t>
        </is>
      </c>
      <c r="F2" s="11" t="inlineStr">
        <is>
          <t>마저 일 봐, 난 이만 가볼게.</t>
        </is>
      </c>
      <c r="G2" s="5">
        <f>HYPERLINK("https://www.youtube.com/watch?v=20-dlZsgpFk", "영상 보기 ▶")</f>
        <v/>
      </c>
    </row>
    <row r="3" ht="26" customHeight="1">
      <c r="A3" s="6" t="n">
        <v>1352</v>
      </c>
      <c r="B3" s="7" t="inlineStr">
        <is>
          <t>실전회화/표현</t>
        </is>
      </c>
      <c r="C3" s="8" t="inlineStr">
        <is>
          <t>high-maintenance</t>
        </is>
      </c>
      <c r="D3" s="12" t="inlineStr">
        <is>
          <t>세심한 관리가 필요한, 손이 많이 가는</t>
        </is>
      </c>
      <c r="E3" s="12" t="inlineStr">
        <is>
          <t>You should go with black. I mean, white is a high-maintenance color.</t>
        </is>
      </c>
      <c r="F3" s="12" t="inlineStr">
        <is>
          <t>검정색이 낫겠다, 흰색은 관리하기 힘들잖아.</t>
        </is>
      </c>
      <c r="G3" s="9">
        <f>HYPERLINK("https://www.youtube.com/watch?v=20-dlZsgpFk", "영상 보기 ▶")</f>
        <v/>
      </c>
    </row>
    <row r="4" ht="26" customHeight="1">
      <c r="A4" s="2" t="n">
        <v>1353</v>
      </c>
      <c r="B4" s="3" t="inlineStr">
        <is>
          <t>실전회화/표현</t>
        </is>
      </c>
      <c r="C4" s="4" t="inlineStr">
        <is>
          <t>low-maintenance</t>
        </is>
      </c>
      <c r="D4" s="11" t="inlineStr">
        <is>
          <t>손이 많이 안 가는, 유지 비용이 많이 안 드는</t>
        </is>
      </c>
      <c r="E4" s="11" t="inlineStr">
        <is>
          <t>It's a low-maintenance plant.</t>
        </is>
      </c>
      <c r="F4" s="11" t="inlineStr">
        <is>
          <t>키우기 쉬운 식물이야.</t>
        </is>
      </c>
      <c r="G4" s="5">
        <f>HYPERLINK("https://www.youtube.com/watch?v=20-dlZsgpFk", "영상 보기 ▶")</f>
        <v/>
      </c>
    </row>
    <row r="5" ht="26" customHeight="1">
      <c r="A5" s="6" t="n">
        <v>1354</v>
      </c>
      <c r="B5" s="7" t="inlineStr">
        <is>
          <t>실전회화/표현</t>
        </is>
      </c>
      <c r="C5" s="8" t="inlineStr">
        <is>
          <t>put a pin in</t>
        </is>
      </c>
      <c r="D5" s="12" t="inlineStr">
        <is>
          <t>대상 잠시 접어두고 넘어가다, 나중에 다시 논의하다</t>
        </is>
      </c>
      <c r="E5" s="12" t="inlineStr">
        <is>
          <t>It's getting late. Let's put a pin in it and discuss it tomorrow.</t>
        </is>
      </c>
      <c r="F5" s="12" t="inlineStr">
        <is>
          <t>시간이 늦었으니 일단 접어두고 내일 얘기하자.</t>
        </is>
      </c>
      <c r="G5" s="9">
        <f>HYPERLINK("https://www.youtube.com/watch?v=20-dlZsgpFk", "영상 보기 ▶")</f>
        <v/>
      </c>
    </row>
    <row r="6" ht="26" customHeight="1">
      <c r="A6" s="2" t="n">
        <v>1355</v>
      </c>
      <c r="B6" s="3" t="inlineStr">
        <is>
          <t>의견/의사결정</t>
        </is>
      </c>
      <c r="C6" s="4" t="inlineStr">
        <is>
          <t>overthink</t>
        </is>
      </c>
      <c r="D6" s="11" t="inlineStr">
        <is>
          <t>너무 오래, 깊게 생각하다</t>
        </is>
      </c>
      <c r="E6" s="11" t="inlineStr">
        <is>
          <t>Let's just pick one and not overthink this.</t>
        </is>
      </c>
      <c r="F6" s="11" t="inlineStr">
        <is>
          <t>어렵게 생각하지 말고 그냥 하나 고르자.</t>
        </is>
      </c>
      <c r="G6" s="5">
        <f>HYPERLINK("https://www.youtube.com/watch?v=20-dlZsgpFk", "영상 보기 ▶")</f>
        <v/>
      </c>
    </row>
    <row r="7" ht="26" customHeight="1">
      <c r="A7" s="6" t="n">
        <v>1356</v>
      </c>
      <c r="B7" s="7" t="inlineStr">
        <is>
          <t>실전회화/표현</t>
        </is>
      </c>
      <c r="C7" s="8" t="inlineStr">
        <is>
          <t>overdo ~</t>
        </is>
      </c>
      <c r="D7" s="12" t="inlineStr">
        <is>
          <t>를 지나치게 하다, 과장하다</t>
        </is>
      </c>
      <c r="E7" s="12" t="inlineStr">
        <is>
          <t>Did we overdo it?</t>
        </is>
      </c>
      <c r="F7" s="12" t="inlineStr">
        <is>
          <t>너무 오버했나?</t>
        </is>
      </c>
      <c r="G7" s="9">
        <f>HYPERLINK("https://www.youtube.com/watch?v=20-dlZsgpFk", "영상 보기 ▶")</f>
        <v/>
      </c>
    </row>
    <row r="8" ht="26" customHeight="1">
      <c r="A8" s="2" t="n">
        <v>1357</v>
      </c>
      <c r="B8" s="3" t="inlineStr">
        <is>
          <t>대화/인간관계</t>
        </is>
      </c>
      <c r="C8" s="4" t="inlineStr">
        <is>
          <t>have a rapport</t>
        </is>
      </c>
      <c r="D8" s="11" t="inlineStr">
        <is>
          <t>좋은 관계이다, 친분이 있다</t>
        </is>
      </c>
      <c r="E8" s="11" t="inlineStr">
        <is>
          <t>I'll call and set up a meeting. We have a rapport.</t>
        </is>
      </c>
      <c r="F8" s="11" t="inlineStr">
        <is>
          <t>내가 전화해서 미팅 잡을게. 그와 친분이 있으니깐.</t>
        </is>
      </c>
      <c r="G8" s="5">
        <f>HYPERLINK("https://www.youtube.com/watch?v=20-dlZsgpFk", "영상 보기 ▶")</f>
        <v/>
      </c>
    </row>
    <row r="9" ht="26" customHeight="1">
      <c r="A9" s="6" t="n">
        <v>1358</v>
      </c>
      <c r="B9" s="7" t="inlineStr">
        <is>
          <t>실전회화/표현</t>
        </is>
      </c>
      <c r="C9" s="8" t="inlineStr">
        <is>
          <t>overhear</t>
        </is>
      </c>
      <c r="D9" s="12" t="inlineStr">
        <is>
          <t>우연히 듣다, 무심코 듣다</t>
        </is>
      </c>
      <c r="E9" s="12" t="inlineStr">
        <is>
          <t>Sorry, I couldn't help but overhear. Is everything okay with Ted?</t>
        </is>
      </c>
      <c r="F9" s="12" t="inlineStr">
        <is>
          <t>미안, 어쩌다 보니 얘기를 들어버렸네. Ted는 괜찮은거야?</t>
        </is>
      </c>
      <c r="G9" s="9">
        <f>HYPERLINK("https://www.youtube.com/watch?v=20-dlZsgpFk", "영상 보기 ▶")</f>
        <v/>
      </c>
    </row>
    <row r="10" ht="26" customHeight="1">
      <c r="A10" s="2" t="n">
        <v>1359</v>
      </c>
      <c r="B10" s="3" t="inlineStr">
        <is>
          <t>실전회화/표현</t>
        </is>
      </c>
      <c r="C10" s="4" t="inlineStr">
        <is>
          <t>eavesdrop</t>
        </is>
      </c>
      <c r="D10" s="11" t="inlineStr">
        <is>
          <t>몰래 엿듣다</t>
        </is>
      </c>
      <c r="E10" s="11" t="inlineStr">
        <is>
          <t>Come on, let's not eavesdrop.</t>
        </is>
      </c>
      <c r="F10" s="11" t="inlineStr">
        <is>
          <t>에이, 엿듣지 말자.</t>
        </is>
      </c>
      <c r="G10" s="5">
        <f>HYPERLINK("https://www.youtube.com/watch?v=20-dlZsgpFk", "영상 보기 ▶")</f>
        <v/>
      </c>
    </row>
    <row r="11" ht="26" customHeight="1">
      <c r="A11" s="6" t="n">
        <v>1360</v>
      </c>
      <c r="B11" s="7" t="inlineStr">
        <is>
          <t>실전회화/표현</t>
        </is>
      </c>
      <c r="C11" s="8" t="inlineStr">
        <is>
          <t>on the line</t>
        </is>
      </c>
      <c r="D11" s="12" t="inlineStr">
        <is>
          <t>위태로운</t>
        </is>
      </c>
      <c r="E11" s="12" t="inlineStr">
        <is>
          <t>I really need to close this deal. My incentive is on the line.</t>
        </is>
      </c>
      <c r="F11" s="12" t="inlineStr">
        <is>
          <t>이 거래를 정말 꼭 성사시켜야 해. 내 인센티브가 달린 문제야.</t>
        </is>
      </c>
      <c r="G11" s="9">
        <f>HYPERLINK("https://www.youtube.com/watch?v=20-dlZsgpFk", "영상 보기 ▶")</f>
        <v/>
      </c>
    </row>
    <row r="12" ht="26" customHeight="1">
      <c r="A12" s="2" t="n">
        <v>1361</v>
      </c>
      <c r="B12" s="3" t="inlineStr">
        <is>
          <t>공감/감정</t>
        </is>
      </c>
      <c r="C12" s="4" t="inlineStr">
        <is>
          <t>be happy with ~</t>
        </is>
      </c>
      <c r="D12" s="11" t="inlineStr">
        <is>
          <t>가 만족스러워, 마음에 들어</t>
        </is>
      </c>
      <c r="E12" s="11" t="inlineStr">
        <is>
          <t>I couldn't be happier with the numbers. Keep up the good work.</t>
        </is>
      </c>
      <c r="F12" s="11" t="inlineStr">
        <is>
          <t>정말 만족스러운 실적이야. 앞으로도 열심히 해줘.</t>
        </is>
      </c>
      <c r="G12" s="5">
        <f>HYPERLINK("https://www.youtube.com/watch?v=20-dlZsgpFk", "영상 보기 ▶")</f>
        <v/>
      </c>
    </row>
    <row r="13" ht="26" customHeight="1">
      <c r="A13" s="6" t="n">
        <v>1362</v>
      </c>
      <c r="B13" s="7" t="inlineStr">
        <is>
          <t>실전회화/표현</t>
        </is>
      </c>
      <c r="C13" s="8" t="inlineStr">
        <is>
          <t>last resort</t>
        </is>
      </c>
      <c r="D13" s="12" t="inlineStr">
        <is>
          <t>마지막 방편, 최후의 수단</t>
        </is>
      </c>
      <c r="E13" s="12" t="inlineStr">
        <is>
          <t>The next option is to get a loan, but it should be our last resort.</t>
        </is>
      </c>
      <c r="F13" s="12" t="inlineStr">
        <is>
          <t>다음 방안은 대출을 받는 건데, 그건 최후의 수단이 되어야 해.</t>
        </is>
      </c>
      <c r="G13" s="9">
        <f>HYPERLINK("https://www.youtube.com/watch?v=20-dlZsgpFk", "영상 보기 ▶")</f>
        <v/>
      </c>
    </row>
    <row r="14" ht="26" customHeight="1">
      <c r="A14" s="2" t="n">
        <v>1363</v>
      </c>
      <c r="B14" s="3" t="inlineStr">
        <is>
          <t>공감/감정</t>
        </is>
      </c>
      <c r="C14" s="4" t="inlineStr">
        <is>
          <t>simplify</t>
        </is>
      </c>
      <c r="D14" s="11" t="inlineStr">
        <is>
          <t>간단하게, 단순화 하다</t>
        </is>
      </c>
      <c r="E14" s="11" t="inlineStr">
        <is>
          <t>People aren't gonna get it. We need to simplify.</t>
        </is>
      </c>
      <c r="F14" s="11" t="inlineStr">
        <is>
          <t>사람들은 이해하지 못할거야. 좀 더 단순하게 만들어야 해.</t>
        </is>
      </c>
      <c r="G14" s="5">
        <f>HYPERLINK("https://www.youtube.com/watch?v=20-dlZsgpFk", "영상 보기 ▶")</f>
        <v/>
      </c>
    </row>
    <row r="15" ht="26" customHeight="1">
      <c r="A15" s="6" t="n">
        <v>1364</v>
      </c>
      <c r="B15" s="7" t="inlineStr">
        <is>
          <t>공감/감정</t>
        </is>
      </c>
      <c r="C15" s="8" t="inlineStr">
        <is>
          <t>go south</t>
        </is>
      </c>
      <c r="D15" s="12" t="inlineStr">
        <is>
          <t>떨어지다, 상황이 악화되다</t>
        </is>
      </c>
      <c r="E15" s="12" t="inlineStr">
        <is>
          <t>If this goes south, my job will be on the line.</t>
        </is>
      </c>
      <c r="F15" s="12" t="inlineStr">
        <is>
          <t>이 일이 잘못되면 회사에서 내 자리가 위험해질 수 있어.</t>
        </is>
      </c>
      <c r="G15" s="9">
        <f>HYPERLINK("https://www.youtube.com/watch?v=20-dlZsgpFk", "영상 보기 ▶")</f>
        <v/>
      </c>
    </row>
    <row r="16" ht="26" customHeight="1">
      <c r="A16" s="2" t="n">
        <v>1365</v>
      </c>
      <c r="B16" s="3" t="inlineStr">
        <is>
          <t>실전회화/표현</t>
        </is>
      </c>
      <c r="C16" s="4" t="inlineStr">
        <is>
          <t>considerable</t>
        </is>
      </c>
      <c r="D16" s="11" t="inlineStr">
        <is>
          <t>상당한, 꽤 많은</t>
        </is>
      </c>
      <c r="E16" s="11" t="inlineStr">
        <is>
          <t>He's invested a considerable amount of time and money in this project.</t>
        </is>
      </c>
      <c r="F16" s="11" t="inlineStr">
        <is>
          <t>이 프로젝트에 상당히 꽤 많은 시간과 돈을 투자했어.</t>
        </is>
      </c>
      <c r="G16" s="5">
        <f>HYPERLINK("https://www.youtube.com/watch?v=20-dlZsgpFk", "영상 보기 ▶")</f>
        <v/>
      </c>
    </row>
    <row r="17" ht="26" customHeight="1">
      <c r="A17" s="6" t="n">
        <v>1366</v>
      </c>
      <c r="B17" s="7" t="inlineStr">
        <is>
          <t>실전회화/표현</t>
        </is>
      </c>
      <c r="C17" s="8" t="inlineStr">
        <is>
          <t>considerably</t>
        </is>
      </c>
      <c r="D17" s="12" t="inlineStr">
        <is>
          <t>상당히, 꽤 많이</t>
        </is>
      </c>
      <c r="E17" s="12" t="inlineStr">
        <is>
          <t>Wow, this is considerably better than the last one.</t>
        </is>
      </c>
      <c r="F17" s="12" t="inlineStr">
        <is>
          <t>와, 지난 것보다 이게 훨씬 더 나은데.</t>
        </is>
      </c>
      <c r="G17" s="9">
        <f>HYPERLINK("https://www.youtube.com/watch?v=20-dlZsgpFk", "영상 보기 ▶")</f>
        <v/>
      </c>
    </row>
    <row r="18" ht="26" customHeight="1">
      <c r="A18" s="2" t="n">
        <v>1367</v>
      </c>
      <c r="B18" s="3" t="inlineStr">
        <is>
          <t>실전회화/표현</t>
        </is>
      </c>
      <c r="C18" s="4" t="inlineStr">
        <is>
          <t>rectify</t>
        </is>
      </c>
      <c r="D18" s="11" t="inlineStr">
        <is>
          <t>바로잡다, 고치다</t>
        </is>
      </c>
      <c r="E18" s="11" t="inlineStr">
        <is>
          <t>We need to figure out how to rectify the situation.</t>
        </is>
      </c>
      <c r="F18" s="11" t="inlineStr">
        <is>
          <t>상황을 어떻게 바로잡을 수 있을지 생각해야 해.</t>
        </is>
      </c>
      <c r="G18" s="5">
        <f>HYPERLINK("https://www.youtube.com/watch?v=20-dlZsgpFk", "영상 보기 ▶")</f>
        <v/>
      </c>
    </row>
    <row r="19" ht="26" customHeight="1">
      <c r="A19" s="6" t="n">
        <v>1368</v>
      </c>
      <c r="B19" s="7" t="inlineStr">
        <is>
          <t>실전회화/표현</t>
        </is>
      </c>
      <c r="C19" s="8" t="inlineStr">
        <is>
          <t>estranged</t>
        </is>
      </c>
      <c r="D19" s="12" t="inlineStr">
        <is>
          <t>사이가 소원해진, 멀어진</t>
        </is>
      </c>
      <c r="E19" s="12" t="inlineStr">
        <is>
          <t>I know we've been estranged, and I want to rectiry that.</t>
        </is>
      </c>
      <c r="F19" s="12" t="inlineStr">
        <is>
          <t>우리 사이가 소원해진 거 알아, 상황을 바로 잡고 싶어.</t>
        </is>
      </c>
      <c r="G19" s="9">
        <f>HYPERLINK("https://www.youtube.com/watch?v=20-dlZsgpFk", "영상 보기 ▶")</f>
        <v/>
      </c>
    </row>
    <row r="20" ht="26" customHeight="1">
      <c r="A20" s="2" t="n">
        <v>1369</v>
      </c>
      <c r="B20" s="3" t="inlineStr">
        <is>
          <t>실전회화/표현</t>
        </is>
      </c>
      <c r="C20" s="4" t="inlineStr">
        <is>
          <t>mend fences</t>
        </is>
      </c>
      <c r="D20" s="11" t="inlineStr">
        <is>
          <t>해결하다, 회복하다</t>
        </is>
      </c>
      <c r="E20" s="11" t="inlineStr">
        <is>
          <t>I was hoping that we could mend our fences. Sorry for taking my frustration out on you.</t>
        </is>
      </c>
      <c r="F20" s="11" t="inlineStr">
        <is>
          <t>우리 관계를 개선할 수 있을까 싶어서. 답답한걸 너한테 화풀이해서 미안해.</t>
        </is>
      </c>
      <c r="G20" s="5">
        <f>HYPERLINK("https://www.youtube.com/watch?v=20-dlZsgpFk", "영상 보기 ▶")</f>
        <v/>
      </c>
    </row>
    <row r="21" ht="26" customHeight="1">
      <c r="A21" s="6" t="n">
        <v>1370</v>
      </c>
      <c r="B21" s="7" t="inlineStr">
        <is>
          <t>실전회화/표현</t>
        </is>
      </c>
      <c r="C21" s="8" t="inlineStr">
        <is>
          <t>be all about ~</t>
        </is>
      </c>
      <c r="D21" s="12" t="inlineStr">
        <is>
          <t>가 가장 중요해</t>
        </is>
      </c>
      <c r="E21" s="12" t="inlineStr">
        <is>
          <t>In business, it's all about connections.</t>
        </is>
      </c>
      <c r="F21" s="12" t="inlineStr">
        <is>
          <t>비즈니스에선 인맥이 가장 중요해.</t>
        </is>
      </c>
      <c r="G21" s="9">
        <f>HYPERLINK("https://www.youtube.com/watch?v=20-dlZsgpFk", "영상 보기 ▶")</f>
        <v/>
      </c>
    </row>
    <row r="22" ht="26" customHeight="1">
      <c r="A22" s="2" t="n">
        <v>1371</v>
      </c>
      <c r="B22" s="3" t="inlineStr">
        <is>
          <t>실전회화/표현</t>
        </is>
      </c>
      <c r="C22" s="4" t="inlineStr">
        <is>
          <t>put off</t>
        </is>
      </c>
      <c r="D22" s="11" t="inlineStr">
        <is>
          <t>미루다, 연기하다</t>
        </is>
      </c>
      <c r="E22" s="11" t="inlineStr">
        <is>
          <t>We should put it off for another day or two.</t>
        </is>
      </c>
      <c r="F22" s="11" t="inlineStr">
        <is>
          <t>하루 이틀 미루는게 좋겠다.</t>
        </is>
      </c>
      <c r="G22" s="5">
        <f>HYPERLINK("https://www.youtube.com/watch?v=20-dlZsgpFk", "영상 보기 ▶")</f>
        <v/>
      </c>
    </row>
    <row r="23" ht="26" customHeight="1">
      <c r="A23" s="6" t="n">
        <v>1372</v>
      </c>
      <c r="B23" s="7" t="inlineStr">
        <is>
          <t>실전회화/표현</t>
        </is>
      </c>
      <c r="C23" s="8" t="inlineStr">
        <is>
          <t>off-putting</t>
        </is>
      </c>
      <c r="D23" s="12" t="inlineStr">
        <is>
          <t>정이 안가는, 좋아하기 힘든</t>
        </is>
      </c>
      <c r="E23" s="12" t="inlineStr">
        <is>
          <t>I hate when people are late. It's off-putting.</t>
        </is>
      </c>
      <c r="F23" s="12" t="inlineStr">
        <is>
          <t>난 지각하는 사람이 제일 싫어. 진짜 정 떨어져.</t>
        </is>
      </c>
      <c r="G23" s="9">
        <f>HYPERLINK("https://www.youtube.com/watch?v=20-dlZsgpFk", "영상 보기 ▶")</f>
        <v/>
      </c>
    </row>
    <row r="24" ht="26" customHeight="1">
      <c r="A24" s="2" t="n">
        <v>1373</v>
      </c>
      <c r="B24" s="3" t="inlineStr">
        <is>
          <t>실전회화/표현</t>
        </is>
      </c>
      <c r="C24" s="4" t="inlineStr">
        <is>
          <t>down the road</t>
        </is>
      </c>
      <c r="D24" s="11" t="inlineStr">
        <is>
          <t>나중에, 미래에, 살면서</t>
        </is>
      </c>
      <c r="E24" s="11" t="inlineStr">
        <is>
          <t>It'll help you down the road.</t>
        </is>
      </c>
      <c r="F24" s="11" t="inlineStr">
        <is>
          <t>살면서 다 도움이 될거야.</t>
        </is>
      </c>
      <c r="G24" s="5">
        <f>HYPERLINK("https://www.youtube.com/watch?v=20-dlZsgpFk", "영상 보기 ▶")</f>
        <v/>
      </c>
    </row>
    <row r="25" ht="26" customHeight="1">
      <c r="A25" s="6" t="n">
        <v>1374</v>
      </c>
      <c r="B25" s="7" t="inlineStr">
        <is>
          <t>실전회화/표현</t>
        </is>
      </c>
      <c r="C25" s="8" t="inlineStr">
        <is>
          <t>revisit</t>
        </is>
      </c>
      <c r="D25" s="12" t="inlineStr">
        <is>
          <t>다시 논의하다</t>
        </is>
      </c>
      <c r="E25" s="12" t="inlineStr">
        <is>
          <t>Maybe we should revisit this conversation down the line.</t>
        </is>
      </c>
      <c r="F25" s="12" t="inlineStr">
        <is>
          <t>나중에 이 대화를 다시 나누는게 좋겠어.</t>
        </is>
      </c>
      <c r="G25" s="9">
        <f>HYPERLINK("https://www.youtube.com/watch?v=20-dlZsgpFk", "영상 보기 ▶")</f>
        <v/>
      </c>
    </row>
    <row r="26" ht="26" customHeight="1">
      <c r="A26" s="2" t="n">
        <v>1375</v>
      </c>
      <c r="B26" s="3" t="inlineStr">
        <is>
          <t>실전회화/표현</t>
        </is>
      </c>
      <c r="C26" s="4" t="inlineStr">
        <is>
          <t>iron out</t>
        </is>
      </c>
      <c r="D26" s="11" t="inlineStr">
        <is>
          <t>해소하다, 해결하다</t>
        </is>
      </c>
      <c r="E26" s="11" t="inlineStr">
        <is>
          <t>We're still ironing out soome details.</t>
        </is>
      </c>
      <c r="F26" s="11" t="inlineStr">
        <is>
          <t>아직 몇가지 세부사항들은 논의 중이야.</t>
        </is>
      </c>
      <c r="G26" s="5">
        <f>HYPERLINK("https://www.youtube.com/watch?v=20-dlZsgpFk", "영상 보기 ▶")</f>
        <v/>
      </c>
    </row>
    <row r="27" ht="26" customHeight="1">
      <c r="A27" s="6" t="n">
        <v>1376</v>
      </c>
      <c r="B27" s="7" t="inlineStr">
        <is>
          <t>실전회화/표현</t>
        </is>
      </c>
      <c r="C27" s="8" t="inlineStr">
        <is>
          <t>circle back</t>
        </is>
      </c>
      <c r="D27" s="12" t="inlineStr">
        <is>
          <t>나중에 다시 얘기하다</t>
        </is>
      </c>
      <c r="E27" s="12" t="inlineStr">
        <is>
          <t>Let's just circle back when you've ironed out the details.</t>
        </is>
      </c>
      <c r="F27" s="12" t="inlineStr">
        <is>
          <t>세부적인 것까지 확실히 정하고 나면 다시 얘기하자.</t>
        </is>
      </c>
      <c r="G27" s="9">
        <f>HYPERLINK("https://www.youtube.com/watch?v=20-dlZsgpFk", "영상 보기 ▶")</f>
        <v/>
      </c>
    </row>
    <row r="28" ht="26" customHeight="1">
      <c r="A28" s="2" t="n">
        <v>1377</v>
      </c>
      <c r="B28" s="3" t="inlineStr">
        <is>
          <t>실전회화/표현</t>
        </is>
      </c>
      <c r="C28" s="4" t="inlineStr">
        <is>
          <t>put pressure on</t>
        </is>
      </c>
      <c r="D28" s="11" t="inlineStr">
        <is>
          <t>부담을 주다, 압박을 주다</t>
        </is>
      </c>
      <c r="E28" s="11" t="inlineStr">
        <is>
          <t>Don't put too much pressure on yourself. That's how things got messed up last time.</t>
        </is>
      </c>
      <c r="F28" s="11" t="inlineStr">
        <is>
          <t>너무 부담 갖지 마. 지난번에 그래서 일을 다 망쳤잖아.</t>
        </is>
      </c>
      <c r="G28" s="5">
        <f>HYPERLINK("https://www.youtube.com/watch?v=20-dlZsgpFk", "영상 보기 ▶")</f>
        <v/>
      </c>
    </row>
    <row r="29" ht="26" customHeight="1">
      <c r="A29" s="6" t="n">
        <v>1378</v>
      </c>
      <c r="B29" s="7" t="inlineStr">
        <is>
          <t>실전회화/표현</t>
        </is>
      </c>
      <c r="C29" s="8" t="inlineStr">
        <is>
          <t>eventful</t>
        </is>
      </c>
      <c r="D29" s="12" t="inlineStr">
        <is>
          <t>다사다난한, 파란만장한</t>
        </is>
      </c>
      <c r="E29" s="12" t="inlineStr">
        <is>
          <t>A: How's your week going so far?</t>
        </is>
      </c>
      <c r="F29" s="12" t="inlineStr">
        <is>
          <t>이번 주 잘 보내고 있어?</t>
        </is>
      </c>
      <c r="G29" s="9">
        <f>HYPERLINK("https://www.youtube.com/watch?v=20-dlZsgpFk", "영상 보기 ▶")</f>
        <v/>
      </c>
    </row>
    <row r="30" ht="26" customHeight="1">
      <c r="A30" s="2" t="n">
        <v>1379</v>
      </c>
      <c r="B30" s="3" t="inlineStr">
        <is>
          <t>실전회화/표현</t>
        </is>
      </c>
      <c r="C30" s="4" t="inlineStr">
        <is>
          <t>uneventful</t>
        </is>
      </c>
      <c r="D30" s="11" t="inlineStr">
        <is>
          <t>특별한 일, 사건이 없는</t>
        </is>
      </c>
      <c r="E30" s="11" t="inlineStr">
        <is>
          <t>A: How was your birthday?</t>
        </is>
      </c>
      <c r="F30" s="11" t="inlineStr">
        <is>
          <t>생일은 어떻게 보냈어?</t>
        </is>
      </c>
      <c r="G30" s="5">
        <f>HYPERLINK("https://www.youtube.com/watch?v=20-dlZsgpFk", "영상 보기 ▶")</f>
        <v/>
      </c>
    </row>
    <row r="31" ht="26" customHeight="1">
      <c r="A31" s="6" t="n">
        <v>1380</v>
      </c>
      <c r="B31" s="7" t="inlineStr">
        <is>
          <t>실전회화/표현</t>
        </is>
      </c>
      <c r="C31" s="8" t="inlineStr">
        <is>
          <t>Hold that thought</t>
        </is>
      </c>
      <c r="D31" s="12" t="inlineStr">
        <is>
          <t>잠깐만요.</t>
        </is>
      </c>
      <c r="E31" s="12" t="inlineStr">
        <is>
          <t>Could you hold that thought? I need to take this call.</t>
        </is>
      </c>
      <c r="F31" s="12" t="inlineStr">
        <is>
          <t>잠깐만 기다려줄래? 전화 좀 받아야 해서.</t>
        </is>
      </c>
      <c r="G31" s="9">
        <f>HYPERLINK("https://www.youtube.com/watch?v=20-dlZsgpFk", "영상 보기 ▶")</f>
        <v/>
      </c>
    </row>
    <row r="32" ht="26" customHeight="1">
      <c r="A32" s="2" t="n">
        <v>1381</v>
      </c>
      <c r="B32" s="3" t="inlineStr">
        <is>
          <t>실전회화/표현</t>
        </is>
      </c>
      <c r="C32" s="4" t="inlineStr">
        <is>
          <t>more.. than the rest put together</t>
        </is>
      </c>
      <c r="D32" s="11" t="inlineStr">
        <is>
          <t>나머지를 합친 것보다 더</t>
        </is>
      </c>
      <c r="E32" s="11" t="inlineStr">
        <is>
          <t>John brought in more revenue than the rest of the team put together.</t>
        </is>
      </c>
      <c r="F32" s="11" t="inlineStr">
        <is>
          <t>John이 여기 있는 팀원을 다 합친 것 보다 더 많은 수익을 얻었어.</t>
        </is>
      </c>
      <c r="G32" s="5">
        <f>HYPERLINK("https://www.youtube.com/watch?v=20-dlZsgpFk", "영상 보기 ▶")</f>
        <v/>
      </c>
    </row>
    <row r="33" ht="26" customHeight="1">
      <c r="A33" s="6" t="n">
        <v>1382</v>
      </c>
      <c r="B33" s="7" t="inlineStr">
        <is>
          <t>실전회화/표현</t>
        </is>
      </c>
      <c r="C33" s="8" t="inlineStr">
        <is>
          <t>get to the point</t>
        </is>
      </c>
      <c r="D33" s="12" t="inlineStr">
        <is>
          <t>요점을 말하다</t>
        </is>
      </c>
      <c r="E33" s="12" t="inlineStr">
        <is>
          <t>Just get to the point.</t>
        </is>
      </c>
      <c r="F33" s="12" t="inlineStr">
        <is>
          <t>그냥 요점만 말해줘.</t>
        </is>
      </c>
      <c r="G33" s="9">
        <f>HYPERLINK("https://www.youtube.com/watch?v=20-dlZsgpFk", "영상 보기 ▶")</f>
        <v/>
      </c>
    </row>
    <row r="34" ht="26" customHeight="1">
      <c r="A34" s="2" t="n">
        <v>1383</v>
      </c>
      <c r="B34" s="3" t="inlineStr">
        <is>
          <t>실전회화/표현</t>
        </is>
      </c>
      <c r="C34" s="4" t="inlineStr">
        <is>
          <t>get to (do something) ~</t>
        </is>
      </c>
      <c r="D34" s="11" t="inlineStr">
        <is>
          <t>를 할 수 있게 되다</t>
        </is>
      </c>
      <c r="E34" s="11" t="inlineStr">
        <is>
          <t>I got to meet him.</t>
        </is>
      </c>
      <c r="F34" s="11" t="inlineStr">
        <is>
          <t>그를 만날 수 있었어.</t>
        </is>
      </c>
      <c r="G34" s="5">
        <f>HYPERLINK("https://www.youtube.com/watch?v=20-dlZsgpFk", "영상 보기 ▶")</f>
        <v/>
      </c>
    </row>
    <row r="35" ht="26" customHeight="1">
      <c r="A35" s="6" t="n">
        <v>1384</v>
      </c>
      <c r="B35" s="7" t="inlineStr">
        <is>
          <t>실전회화/표현</t>
        </is>
      </c>
      <c r="C35" s="8" t="inlineStr">
        <is>
          <t>get to</t>
        </is>
      </c>
      <c r="D35" s="12" t="inlineStr">
        <is>
          <t>시작하다, 착수하다</t>
        </is>
      </c>
      <c r="E35" s="12" t="inlineStr">
        <is>
          <t>Just leave it on my desk, and I'll get to it after this.</t>
        </is>
      </c>
      <c r="F35" s="12" t="inlineStr">
        <is>
          <t>그냥 책상 위에 두면 이거 끝나고 하도록 할게.</t>
        </is>
      </c>
      <c r="G35" s="9">
        <f>HYPERLINK("https://www.youtube.com/watch?v=20-dlZsgpFk", "영상 보기 ▶")</f>
        <v/>
      </c>
    </row>
    <row r="36" ht="26" customHeight="1">
      <c r="A36" s="2" t="n">
        <v>1385</v>
      </c>
      <c r="B36" s="3" t="inlineStr">
        <is>
          <t>실전회화/표현</t>
        </is>
      </c>
      <c r="C36" s="4" t="inlineStr">
        <is>
          <t>throw out ~</t>
        </is>
      </c>
      <c r="D36" s="11" t="inlineStr">
        <is>
          <t>를 말하다</t>
        </is>
      </c>
      <c r="E36" s="11" t="inlineStr">
        <is>
          <t>I'm just throwing this out there. How about offering them a discount?</t>
        </is>
      </c>
      <c r="F36" s="11" t="inlineStr">
        <is>
          <t>그냥 말해보는 건데, 할인을 해주는 건 어떨까?</t>
        </is>
      </c>
      <c r="G36" s="5">
        <f>HYPERLINK("https://www.youtube.com/watch?v=20-dlZsgpFk", "영상 보기 ▶")</f>
        <v/>
      </c>
    </row>
    <row r="37" ht="26" customHeight="1">
      <c r="A37" s="6" t="n">
        <v>1386</v>
      </c>
      <c r="B37" s="7" t="inlineStr">
        <is>
          <t>실전회화/표현</t>
        </is>
      </c>
      <c r="C37" s="8" t="inlineStr">
        <is>
          <t>get to</t>
        </is>
      </c>
      <c r="D37" s="12" t="inlineStr">
        <is>
          <t>사람 ~에게 형향을 주다</t>
        </is>
      </c>
      <c r="E37" s="12" t="inlineStr">
        <is>
          <t>Don't let it get to you.</t>
        </is>
      </c>
      <c r="F37" s="12" t="inlineStr">
        <is>
          <t>그것 때문에 너무 신경 쓰지 마.</t>
        </is>
      </c>
      <c r="G37" s="9">
        <f>HYPERLINK("https://www.youtube.com/watch?v=20-dlZsgpFk", "영상 보기 ▶")</f>
        <v/>
      </c>
    </row>
    <row r="38" ht="26" customHeight="1">
      <c r="A38" s="2" t="n">
        <v>1387</v>
      </c>
      <c r="B38" s="3" t="inlineStr">
        <is>
          <t>공감/감정</t>
        </is>
      </c>
      <c r="C38" s="4" t="inlineStr">
        <is>
          <t>self-explanatory</t>
        </is>
      </c>
      <c r="D38" s="11" t="inlineStr">
        <is>
          <t>이해하기 쉬운</t>
        </is>
      </c>
      <c r="E38" s="11" t="inlineStr">
        <is>
          <t>It's pretty self-explanatory.</t>
        </is>
      </c>
      <c r="F38" s="11" t="inlineStr">
        <is>
          <t>설명하지 않아도 될 정도로 꽤 쉬워요.</t>
        </is>
      </c>
      <c r="G38" s="5">
        <f>HYPERLINK("https://www.youtube.com/watch?v=20-dlZsgpFk", "영상 보기 ▶")</f>
        <v/>
      </c>
    </row>
    <row r="39" ht="26" customHeight="1">
      <c r="A39" s="6" t="n">
        <v>1388</v>
      </c>
      <c r="B39" s="7" t="inlineStr">
        <is>
          <t>공감/감정</t>
        </is>
      </c>
      <c r="C39" s="8" t="inlineStr">
        <is>
          <t>connect</t>
        </is>
      </c>
      <c r="D39" s="12" t="inlineStr">
        <is>
          <t>마음이 통하다</t>
        </is>
      </c>
      <c r="E39" s="12" t="inlineStr">
        <is>
          <t>A: How was your date?</t>
        </is>
      </c>
      <c r="F39" s="12" t="inlineStr">
        <is>
          <t>데이트 어땠어?</t>
        </is>
      </c>
      <c r="G39" s="9">
        <f>HYPERLINK("https://www.youtube.com/watch?v=20-dlZsgpFk", "영상 보기 ▶")</f>
        <v/>
      </c>
    </row>
    <row r="40" ht="26" customHeight="1">
      <c r="A40" s="2" t="n">
        <v>1389</v>
      </c>
      <c r="B40" s="3" t="inlineStr">
        <is>
          <t>실전회화/표현</t>
        </is>
      </c>
      <c r="C40" s="4" t="inlineStr">
        <is>
          <t>get to the bottom of ~</t>
        </is>
      </c>
      <c r="D40" s="11" t="inlineStr">
        <is>
          <t>의 진상을 밝히다</t>
        </is>
      </c>
      <c r="E40" s="11" t="inlineStr">
        <is>
          <t>We need to get to the bottom of this.</t>
        </is>
      </c>
      <c r="F40" s="11" t="inlineStr">
        <is>
          <t>어떻게 된건지 알아내야 해.</t>
        </is>
      </c>
      <c r="G40" s="5">
        <f>HYPERLINK("https://www.youtube.com/watch?v=20-dlZsgpFk", "영상 보기 ▶")</f>
        <v/>
      </c>
    </row>
    <row r="41" ht="26" customHeight="1">
      <c r="A41" s="6" t="n">
        <v>1390</v>
      </c>
      <c r="B41" s="7" t="inlineStr">
        <is>
          <t>실전회화/표현</t>
        </is>
      </c>
      <c r="C41" s="8" t="inlineStr">
        <is>
          <t>asterisk *</t>
        </is>
      </c>
      <c r="D41" s="12" t="inlineStr">
        <is>
          <t>별표 기호 (*, 애스터리스크)</t>
        </is>
      </c>
      <c r="E41" s="12" t="inlineStr">
        <is>
          <t>Put an asterisk next to it.</t>
        </is>
      </c>
      <c r="F41" s="12" t="inlineStr">
        <is>
          <t>옆에 별표쳐놔.</t>
        </is>
      </c>
      <c r="G41" s="9">
        <f>HYPERLINK("https://www.youtube.com/watch?v=20-dlZsgpFk", "영상 보기 ▶")</f>
        <v/>
      </c>
    </row>
    <row r="42" ht="26" customHeight="1">
      <c r="A42" s="2" t="n">
        <v>1391</v>
      </c>
      <c r="B42" s="3" t="inlineStr">
        <is>
          <t>실전회화/표현</t>
        </is>
      </c>
      <c r="C42" s="4" t="inlineStr">
        <is>
          <t>pound #</t>
        </is>
      </c>
      <c r="D42" s="11" t="inlineStr">
        <is>
          <t>우물 정자, 샵 기호 (#, 파운드 키)</t>
        </is>
      </c>
      <c r="E42" s="11" t="inlineStr">
        <is>
          <t>Did you press the pound key?</t>
        </is>
      </c>
      <c r="F42" s="11" t="inlineStr">
        <is>
          <t>샵 버튼 눌렀어?</t>
        </is>
      </c>
      <c r="G42" s="5">
        <f>HYPERLINK("https://www.youtube.com/watch?v=20-dlZsgpFk", "영상 보기 ▶")</f>
        <v/>
      </c>
    </row>
    <row r="43" ht="26" customHeight="1">
      <c r="A43" s="6" t="n">
        <v>1392</v>
      </c>
      <c r="B43" s="7" t="inlineStr">
        <is>
          <t>실전회화/표현</t>
        </is>
      </c>
      <c r="C43" s="8" t="inlineStr">
        <is>
          <t>I dont' mean to</t>
        </is>
      </c>
      <c r="D43" s="12" t="inlineStr">
        <is>
          <t>일부러 ~하려는 건 아니야</t>
        </is>
      </c>
      <c r="E43" s="12" t="inlineStr">
        <is>
          <t>I don't meant to cut you off, but I don't think that would work.</t>
        </is>
      </c>
      <c r="F43" s="12" t="inlineStr">
        <is>
          <t>네 말을 자르려는 건 아닌데, 그렇게는 안될 것 같아.</t>
        </is>
      </c>
      <c r="G43" s="9">
        <f>HYPERLINK("https://www.youtube.com/watch?v=20-dlZsgpFk", "영상 보기 ▶")</f>
        <v/>
      </c>
    </row>
    <row r="44" ht="26" customHeight="1">
      <c r="A44" s="2" t="n">
        <v>1393</v>
      </c>
      <c r="B44" s="3" t="inlineStr">
        <is>
          <t>실전회화/표현</t>
        </is>
      </c>
      <c r="C44" s="4" t="inlineStr">
        <is>
          <t>deliberately</t>
        </is>
      </c>
      <c r="D44" s="11" t="inlineStr">
        <is>
          <t>일부러, 계획적으로</t>
        </is>
      </c>
      <c r="E44" s="11" t="inlineStr">
        <is>
          <t>Do you think they deliberately left that out?</t>
        </is>
      </c>
      <c r="F44" s="11" t="inlineStr">
        <is>
          <t>네 생각엔 걔네가 일부러 그 부분을 빠뜨린 것 같아?</t>
        </is>
      </c>
      <c r="G44" s="5">
        <f>HYPERLINK("https://www.youtube.com/watch?v=20-dlZsgpFk", "영상 보기 ▶")</f>
        <v/>
      </c>
    </row>
    <row r="45" ht="26" customHeight="1">
      <c r="A45" s="6" t="n">
        <v>1394</v>
      </c>
      <c r="B45" s="7" t="inlineStr">
        <is>
          <t>공감/감정</t>
        </is>
      </c>
      <c r="C45" s="8" t="inlineStr">
        <is>
          <t>grow fond of ~</t>
        </is>
      </c>
      <c r="D45" s="12" t="inlineStr">
        <is>
          <t>가 좋아지다, 마음에 들게 되다</t>
        </is>
      </c>
      <c r="E45" s="12" t="inlineStr">
        <is>
          <t>I've grown fond of this place.</t>
        </is>
      </c>
      <c r="F45" s="12" t="inlineStr">
        <is>
          <t>여기에 정들게 됐어.</t>
        </is>
      </c>
      <c r="G45" s="9">
        <f>HYPERLINK("https://www.youtube.com/watch?v=20-dlZsgpFk", "영상 보기 ▶")</f>
        <v/>
      </c>
    </row>
    <row r="46" ht="26" customHeight="1">
      <c r="A46" s="2" t="n">
        <v>1395</v>
      </c>
      <c r="B46" s="3" t="inlineStr">
        <is>
          <t>실전회화/표현</t>
        </is>
      </c>
      <c r="C46" s="4" t="inlineStr">
        <is>
          <t>not cut it ~</t>
        </is>
      </c>
      <c r="D46" s="11" t="inlineStr">
        <is>
          <t>로는 부족한</t>
        </is>
      </c>
      <c r="E46" s="11" t="inlineStr">
        <is>
          <t>I don't think an apologetic email's gonna cut it.</t>
        </is>
      </c>
      <c r="F46" s="11" t="inlineStr">
        <is>
          <t>이메일로 사과한다고 되는 건 아니야.</t>
        </is>
      </c>
      <c r="G46" s="5">
        <f>HYPERLINK("https://www.youtube.com/watch?v=20-dlZsgpFk", "영상 보기 ▶")</f>
        <v/>
      </c>
    </row>
    <row r="47" ht="26" customHeight="1">
      <c r="A47" s="6" t="n">
        <v>1396</v>
      </c>
      <c r="B47" s="7" t="inlineStr">
        <is>
          <t>실전회화/표현</t>
        </is>
      </c>
      <c r="C47" s="8" t="inlineStr">
        <is>
          <t>put together</t>
        </is>
      </c>
      <c r="D47" s="12" t="inlineStr">
        <is>
          <t>모으다, 준비하다</t>
        </is>
      </c>
      <c r="E47" s="12" t="inlineStr">
        <is>
          <t>This presentation is very well put together.</t>
        </is>
      </c>
      <c r="F47" s="12" t="inlineStr">
        <is>
          <t>이번 발표 정말 잘 구성했네.</t>
        </is>
      </c>
      <c r="G47" s="9">
        <f>HYPERLINK("https://www.youtube.com/watch?v=20-dlZsgpFk", "영상 보기 ▶")</f>
        <v/>
      </c>
    </row>
    <row r="48" ht="26" customHeight="1">
      <c r="A48" s="2" t="n">
        <v>1397</v>
      </c>
      <c r="B48" s="3" t="inlineStr">
        <is>
          <t>실전회화/표현</t>
        </is>
      </c>
      <c r="C48" s="4" t="inlineStr">
        <is>
          <t>suffice</t>
        </is>
      </c>
      <c r="D48" s="11" t="inlineStr">
        <is>
          <t>충분하다 (격식)</t>
        </is>
      </c>
      <c r="E48" s="11" t="inlineStr">
        <is>
          <t>A: Should I give him some money for helping us out?</t>
        </is>
      </c>
      <c r="F48" s="11" t="inlineStr">
        <is>
          <t>도와줘서 고맙다고 돈이라도 줘야할까?</t>
        </is>
      </c>
      <c r="G48" s="5">
        <f>HYPERLINK("https://www.youtube.com/watch?v=20-dlZsgpFk", "영상 보기 ▶")</f>
        <v/>
      </c>
    </row>
    <row r="49" ht="26" customHeight="1">
      <c r="A49" s="6" t="n">
        <v>1398</v>
      </c>
      <c r="B49" s="7" t="inlineStr">
        <is>
          <t>실전회화/표현</t>
        </is>
      </c>
      <c r="C49" s="8" t="inlineStr">
        <is>
          <t>can't wait</t>
        </is>
      </c>
      <c r="D49" s="12" t="inlineStr">
        <is>
          <t>매우 기대되다</t>
        </is>
      </c>
      <c r="E49" s="12" t="inlineStr">
        <is>
          <t>I can't wait for this day to be over.</t>
        </is>
      </c>
      <c r="F49" s="12" t="inlineStr">
        <is>
          <t>오늘이 빨리 끝났으면 좋겠다.</t>
        </is>
      </c>
      <c r="G49" s="9">
        <f>HYPERLINK("https://www.youtube.com/watch?v=20-dlZsgpFk", "영상 보기 ▶")</f>
        <v/>
      </c>
    </row>
    <row r="50" ht="26" customHeight="1">
      <c r="A50" s="2" t="n">
        <v>1399</v>
      </c>
      <c r="B50" s="3" t="inlineStr">
        <is>
          <t>실전회화/표현</t>
        </is>
      </c>
      <c r="C50" s="4" t="inlineStr">
        <is>
          <t>reiterate</t>
        </is>
      </c>
      <c r="D50" s="11" t="inlineStr">
        <is>
          <t>반복하다, 되풀이하다</t>
        </is>
      </c>
      <c r="E50" s="11" t="inlineStr">
        <is>
          <t>A: I wanna reiterate how grateful I am.</t>
        </is>
      </c>
      <c r="F50" s="11" t="inlineStr">
        <is>
          <t>얼마나 감사한지 다시 한 번 말씀드리고 싶어요.</t>
        </is>
      </c>
      <c r="G50" s="5">
        <f>HYPERLINK("https://www.youtube.com/watch?v=20-dlZsgpFk", "영상 보기 ▶")</f>
        <v/>
      </c>
    </row>
    <row r="51" ht="26" customHeight="1">
      <c r="A51" s="6" t="n">
        <v>1400</v>
      </c>
      <c r="B51" s="7" t="inlineStr">
        <is>
          <t>의견/의사결정</t>
        </is>
      </c>
      <c r="C51" s="8" t="inlineStr">
        <is>
          <t>It hit me that ~</t>
        </is>
      </c>
      <c r="D51" s="12" t="inlineStr">
        <is>
          <t>란 생각이 들었어</t>
        </is>
      </c>
      <c r="E51" s="12" t="inlineStr">
        <is>
          <t>A: Why did you decide not to move forward?</t>
        </is>
      </c>
      <c r="F51" s="12" t="inlineStr">
        <is>
          <t>왜 진행하지 않기로 한거야?</t>
        </is>
      </c>
      <c r="G51" s="9">
        <f>HYPERLINK("https://www.youtube.com/watch?v=20-dlZsgpFk", "영상 보기 ▶")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8" customWidth="1" min="3" max="3"/>
    <col width="46" customWidth="1" min="4" max="4"/>
    <col width="75" customWidth="1" min="5" max="5"/>
    <col width="75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1401</v>
      </c>
      <c r="B2" s="3" t="inlineStr">
        <is>
          <t>공감/감정</t>
        </is>
      </c>
      <c r="C2" s="4" t="inlineStr">
        <is>
          <t>alleviate</t>
        </is>
      </c>
      <c r="D2" s="11" t="inlineStr">
        <is>
          <t>완화하다</t>
        </is>
      </c>
      <c r="E2" s="11" t="inlineStr">
        <is>
          <t>What do you think we should do to alleviate the problem?</t>
        </is>
      </c>
      <c r="F2" s="11" t="inlineStr">
        <is>
          <t>문제를 어느정도 해결하려면 어떻게 하는게 좋을까요?</t>
        </is>
      </c>
      <c r="G2" s="5">
        <f>HYPERLINK("https://www.youtube.com/watch?v=bgRoMP9BajE", "영상 보기 ▶")</f>
        <v/>
      </c>
    </row>
    <row r="3" ht="26" customHeight="1">
      <c r="A3" s="6" t="n">
        <v>1402</v>
      </c>
      <c r="B3" s="7" t="inlineStr">
        <is>
          <t>실전회화/표현</t>
        </is>
      </c>
      <c r="C3" s="8" t="inlineStr">
        <is>
          <t>turnout</t>
        </is>
      </c>
      <c r="D3" s="12" t="inlineStr">
        <is>
          <t>출석자 수, 생산량/생산액</t>
        </is>
      </c>
      <c r="E3" s="12" t="inlineStr">
        <is>
          <t>What a great turnout! You did a great job putting this event together.</t>
        </is>
      </c>
      <c r="F3" s="12" t="inlineStr">
        <is>
          <t>사람들 정말 많이 왔네! 이벤트 준비하느라 수고 많았어.</t>
        </is>
      </c>
      <c r="G3" s="9">
        <f>HYPERLINK("https://www.youtube.com/watch?v=bgRoMP9BajE", "영상 보기 ▶")</f>
        <v/>
      </c>
    </row>
    <row r="4" ht="26" customHeight="1">
      <c r="A4" s="2" t="n">
        <v>1403</v>
      </c>
      <c r="B4" s="3" t="inlineStr">
        <is>
          <t>실전회화/표현</t>
        </is>
      </c>
      <c r="C4" s="4" t="inlineStr">
        <is>
          <t>lose weight</t>
        </is>
      </c>
      <c r="D4" s="11" t="inlineStr">
        <is>
          <t>살을 빼다, 체중을 감량하다</t>
        </is>
      </c>
      <c r="E4" s="11" t="inlineStr">
        <is>
          <t>I need to lose weight.</t>
        </is>
      </c>
      <c r="F4" s="11" t="inlineStr">
        <is>
          <t>나 살 좀 빼야겠어.</t>
        </is>
      </c>
      <c r="G4" s="5">
        <f>HYPERLINK("https://www.youtube.com/watch?v=bgRoMP9BajE", "영상 보기 ▶")</f>
        <v/>
      </c>
    </row>
    <row r="5" ht="26" customHeight="1">
      <c r="A5" s="6" t="n">
        <v>1404</v>
      </c>
      <c r="B5" s="7" t="inlineStr">
        <is>
          <t>실전회화/표현</t>
        </is>
      </c>
      <c r="C5" s="8" t="inlineStr">
        <is>
          <t>top</t>
        </is>
      </c>
      <c r="D5" s="12" t="inlineStr">
        <is>
          <t>능가하다, 더 낫다</t>
        </is>
      </c>
      <c r="E5" s="12" t="inlineStr">
        <is>
          <t>I can't top that.</t>
        </is>
      </c>
      <c r="F5" s="12" t="inlineStr">
        <is>
          <t>제가 능가할 수 없겠는데요.</t>
        </is>
      </c>
      <c r="G5" s="9">
        <f>HYPERLINK("https://www.youtube.com/watch?v=bgRoMP9BajE", "영상 보기 ▶")</f>
        <v/>
      </c>
    </row>
    <row r="6" ht="26" customHeight="1">
      <c r="A6" s="2" t="n">
        <v>1405</v>
      </c>
      <c r="B6" s="3" t="inlineStr">
        <is>
          <t>실전회화/표현</t>
        </is>
      </c>
      <c r="C6" s="4" t="inlineStr">
        <is>
          <t>tops</t>
        </is>
      </c>
      <c r="D6" s="11" t="inlineStr">
        <is>
          <t>최고로, 최대로</t>
        </is>
      </c>
      <c r="E6" s="11" t="inlineStr">
        <is>
          <t>It'll be done in 3 days, tops.</t>
        </is>
      </c>
      <c r="F6" s="11" t="inlineStr">
        <is>
          <t>길어도 3일이면 돼.</t>
        </is>
      </c>
      <c r="G6" s="5">
        <f>HYPERLINK("https://www.youtube.com/watch?v=bgRoMP9BajE", "영상 보기 ▶")</f>
        <v/>
      </c>
    </row>
    <row r="7" ht="26" customHeight="1">
      <c r="A7" s="6" t="n">
        <v>1406</v>
      </c>
      <c r="B7" s="7" t="inlineStr">
        <is>
          <t>실전회화/표현</t>
        </is>
      </c>
      <c r="C7" s="8" t="inlineStr">
        <is>
          <t>iced Americano</t>
        </is>
      </c>
      <c r="D7" s="12" t="inlineStr">
        <is>
          <t>아아</t>
        </is>
      </c>
      <c r="E7" s="12" t="inlineStr">
        <is>
          <t>Can I have an iced latte?</t>
        </is>
      </c>
      <c r="F7" s="12" t="inlineStr">
        <is>
          <t>아이스 라떼 한잔이요.</t>
        </is>
      </c>
      <c r="G7" s="9">
        <f>HYPERLINK("https://www.youtube.com/watch?v=bgRoMP9BajE", "영상 보기 ▶")</f>
        <v/>
      </c>
    </row>
    <row r="8" ht="26" customHeight="1">
      <c r="A8" s="2" t="n">
        <v>1407</v>
      </c>
      <c r="B8" s="3" t="inlineStr">
        <is>
          <t>실전회화/표현</t>
        </is>
      </c>
      <c r="C8" s="4" t="inlineStr">
        <is>
          <t>lifelong</t>
        </is>
      </c>
      <c r="D8" s="11" t="inlineStr">
        <is>
          <t>평생 동안의, 일생의</t>
        </is>
      </c>
      <c r="E8" s="11" t="inlineStr">
        <is>
          <t>It's been my lifelong dream to come to Paris.</t>
        </is>
      </c>
      <c r="F8" s="11" t="inlineStr">
        <is>
          <t>파리에 오는게 내 평생 꿈이었어.</t>
        </is>
      </c>
      <c r="G8" s="5">
        <f>HYPERLINK("https://www.youtube.com/watch?v=bgRoMP9BajE", "영상 보기 ▶")</f>
        <v/>
      </c>
    </row>
    <row r="9" ht="26" customHeight="1">
      <c r="A9" s="6" t="n">
        <v>1408</v>
      </c>
      <c r="B9" s="7" t="inlineStr">
        <is>
          <t>실전회화/표현</t>
        </is>
      </c>
      <c r="C9" s="8" t="inlineStr">
        <is>
          <t>make it up to</t>
        </is>
      </c>
      <c r="D9" s="12" t="inlineStr">
        <is>
          <t>사람 ~에게 보상하다, 만회하다</t>
        </is>
      </c>
      <c r="E9" s="12" t="inlineStr">
        <is>
          <t>Thank you for being so understanding. I promise to make it up to you.</t>
        </is>
      </c>
      <c r="F9" s="12" t="inlineStr">
        <is>
          <t>이해해줘서 정말 고마워, 내가 꼭 보답할게.</t>
        </is>
      </c>
      <c r="G9" s="9">
        <f>HYPERLINK("https://www.youtube.com/watch?v=bgRoMP9BajE", "영상 보기 ▶")</f>
        <v/>
      </c>
    </row>
    <row r="10" ht="26" customHeight="1">
      <c r="A10" s="2" t="n">
        <v>1409</v>
      </c>
      <c r="B10" s="3" t="inlineStr">
        <is>
          <t>실전회화/표현</t>
        </is>
      </c>
      <c r="C10" s="4" t="inlineStr">
        <is>
          <t>ulterior motive</t>
        </is>
      </c>
      <c r="D10" s="11" t="inlineStr">
        <is>
          <t>속셈, 숨은 동기</t>
        </is>
      </c>
      <c r="E10" s="11" t="inlineStr">
        <is>
          <t>I actually have an ulterior motive.</t>
        </is>
      </c>
      <c r="F10" s="11" t="inlineStr">
        <is>
          <t>실은 부탁이 있어서 왔어.</t>
        </is>
      </c>
      <c r="G10" s="5">
        <f>HYPERLINK("https://www.youtube.com/watch?v=bgRoMP9BajE", "영상 보기 ▶")</f>
        <v/>
      </c>
    </row>
    <row r="11" ht="26" customHeight="1">
      <c r="A11" s="6" t="n">
        <v>1410</v>
      </c>
      <c r="B11" s="7" t="inlineStr">
        <is>
          <t>실전회화/표현</t>
        </is>
      </c>
      <c r="C11" s="8" t="inlineStr">
        <is>
          <t>turn out</t>
        </is>
      </c>
      <c r="D11" s="12" t="inlineStr">
        <is>
          <t>알고보니 ~더라, ~로 드러나다</t>
        </is>
      </c>
      <c r="E11" s="12" t="inlineStr">
        <is>
          <t>I looked into it, and it turns out he lied to us.</t>
        </is>
      </c>
      <c r="F11" s="12" t="inlineStr">
        <is>
          <t>내가 알아봤는데 걔가 우리한테 거짓말 한거더라.</t>
        </is>
      </c>
      <c r="G11" s="9">
        <f>HYPERLINK("https://www.youtube.com/watch?v=bgRoMP9BajE", "영상 보기 ▶")</f>
        <v/>
      </c>
    </row>
    <row r="12" ht="26" customHeight="1">
      <c r="A12" s="2" t="n">
        <v>1411</v>
      </c>
      <c r="B12" s="3" t="inlineStr">
        <is>
          <t>실전회화/표현</t>
        </is>
      </c>
      <c r="C12" s="4" t="inlineStr">
        <is>
          <t>turn out</t>
        </is>
      </c>
      <c r="D12" s="11" t="inlineStr">
        <is>
          <t>되다, 되어가다</t>
        </is>
      </c>
      <c r="E12" s="11" t="inlineStr">
        <is>
          <t>It has to turn out well.</t>
        </is>
      </c>
      <c r="F12" s="11" t="inlineStr">
        <is>
          <t>잘 되야 할텐데.</t>
        </is>
      </c>
      <c r="G12" s="5">
        <f>HYPERLINK("https://www.youtube.com/watch?v=bgRoMP9BajE", "영상 보기 ▶")</f>
        <v/>
      </c>
    </row>
    <row r="13" ht="26" customHeight="1">
      <c r="A13" s="6" t="n">
        <v>1412</v>
      </c>
      <c r="B13" s="7" t="inlineStr">
        <is>
          <t>실전회화/표현</t>
        </is>
      </c>
      <c r="C13" s="8" t="inlineStr">
        <is>
          <t>step on one's toes ~</t>
        </is>
      </c>
      <c r="D13" s="12" t="inlineStr">
        <is>
          <t>의 영역을 침범하다, 심기를 건드리다</t>
        </is>
      </c>
      <c r="E13" s="12" t="inlineStr">
        <is>
          <t>I'm not trying to step on your toes.</t>
        </is>
      </c>
      <c r="F13" s="12" t="inlineStr">
        <is>
          <t>너한테 이래라 저래라 하려는 건 아니야.</t>
        </is>
      </c>
      <c r="G13" s="9">
        <f>HYPERLINK("https://www.youtube.com/watch?v=bgRoMP9BajE", "영상 보기 ▶")</f>
        <v/>
      </c>
    </row>
    <row r="14" ht="26" customHeight="1">
      <c r="A14" s="2" t="n">
        <v>1413</v>
      </c>
      <c r="B14" s="3" t="inlineStr">
        <is>
          <t>실전회화/표현</t>
        </is>
      </c>
      <c r="C14" s="4" t="inlineStr">
        <is>
          <t>menu</t>
        </is>
      </c>
      <c r="D14" s="11" t="inlineStr">
        <is>
          <t>메뉴판</t>
        </is>
      </c>
      <c r="E14" s="11" t="inlineStr">
        <is>
          <t>What do you recommend from the menu?</t>
        </is>
      </c>
      <c r="F14" s="11" t="inlineStr">
        <is>
          <t>메뉴에서 뭘 추천하시나요?</t>
        </is>
      </c>
      <c r="G14" s="5">
        <f>HYPERLINK("https://www.youtube.com/watch?v=bgRoMP9BajE", "영상 보기 ▶")</f>
        <v/>
      </c>
    </row>
    <row r="15" ht="26" customHeight="1">
      <c r="A15" s="6" t="n">
        <v>1414</v>
      </c>
      <c r="B15" s="7" t="inlineStr">
        <is>
          <t>실전회화/표현</t>
        </is>
      </c>
      <c r="C15" s="8" t="inlineStr">
        <is>
          <t>I couldn't possibly.</t>
        </is>
      </c>
      <c r="D15" s="12" t="inlineStr">
        <is>
          <t>그럴 순 없죠.</t>
        </is>
      </c>
      <c r="E15" s="12" t="inlineStr">
        <is>
          <t>A: My treat.</t>
        </is>
      </c>
      <c r="F15" s="12" t="inlineStr">
        <is>
          <t>제가 살게요.</t>
        </is>
      </c>
      <c r="G15" s="9">
        <f>HYPERLINK("https://www.youtube.com/watch?v=bgRoMP9BajE", "영상 보기 ▶")</f>
        <v/>
      </c>
    </row>
    <row r="16" ht="26" customHeight="1">
      <c r="A16" s="2" t="n">
        <v>1415</v>
      </c>
      <c r="B16" s="3" t="inlineStr">
        <is>
          <t>실전회화/표현</t>
        </is>
      </c>
      <c r="C16" s="4" t="inlineStr">
        <is>
          <t>know the drill</t>
        </is>
      </c>
      <c r="D16" s="11" t="inlineStr">
        <is>
          <t>어떻게 하는지 알다, 방법을 알다</t>
        </is>
      </c>
      <c r="E16" s="11" t="inlineStr">
        <is>
          <t>I know the drill.</t>
        </is>
      </c>
      <c r="F16" s="11" t="inlineStr">
        <is>
          <t>어떻게 하는지 알아.</t>
        </is>
      </c>
      <c r="G16" s="5">
        <f>HYPERLINK("https://www.youtube.com/watch?v=bgRoMP9BajE", "영상 보기 ▶")</f>
        <v/>
      </c>
    </row>
    <row r="17" ht="26" customHeight="1">
      <c r="A17" s="6" t="n">
        <v>1416</v>
      </c>
      <c r="B17" s="7" t="inlineStr">
        <is>
          <t>공감/감정</t>
        </is>
      </c>
      <c r="C17" s="8" t="inlineStr">
        <is>
          <t>be game ~</t>
        </is>
      </c>
      <c r="D17" s="12" t="inlineStr">
        <is>
          <t>할 용의/마음이 있다</t>
        </is>
      </c>
      <c r="E17" s="12" t="inlineStr">
        <is>
          <t>A: Are you game for a drink after work?</t>
        </is>
      </c>
      <c r="F17" s="12" t="inlineStr">
        <is>
          <t>퇴근하고 술 한잔 어때?</t>
        </is>
      </c>
      <c r="G17" s="9">
        <f>HYPERLINK("https://www.youtube.com/watch?v=bgRoMP9BajE", "영상 보기 ▶")</f>
        <v/>
      </c>
    </row>
    <row r="18" ht="26" customHeight="1">
      <c r="A18" s="2" t="n">
        <v>1417</v>
      </c>
      <c r="B18" s="3" t="inlineStr">
        <is>
          <t>실전회화/표현</t>
        </is>
      </c>
      <c r="C18" s="4" t="inlineStr">
        <is>
          <t>grateful</t>
        </is>
      </c>
      <c r="D18" s="11" t="inlineStr">
        <is>
          <t>감사하는</t>
        </is>
      </c>
      <c r="E18" s="11" t="inlineStr">
        <is>
          <t>I'm grateful. I mean it.</t>
        </is>
      </c>
      <c r="F18" s="11" t="inlineStr">
        <is>
          <t>진심으로 고마워.</t>
        </is>
      </c>
      <c r="G18" s="5">
        <f>HYPERLINK("https://www.youtube.com/watch?v=bgRoMP9BajE", "영상 보기 ▶")</f>
        <v/>
      </c>
    </row>
    <row r="19" ht="26" customHeight="1">
      <c r="A19" s="6" t="n">
        <v>1418</v>
      </c>
      <c r="B19" s="7" t="inlineStr">
        <is>
          <t>식사/추천</t>
        </is>
      </c>
      <c r="C19" s="8" t="inlineStr">
        <is>
          <t>What's good here?</t>
        </is>
      </c>
      <c r="D19" s="12" t="inlineStr">
        <is>
          <t>여긴 뭐가 맛있어? (추천 메뉴가 뭐야?)</t>
        </is>
      </c>
      <c r="E19" s="12" t="inlineStr">
        <is>
          <t>I've never been here before. What's good here?</t>
        </is>
      </c>
      <c r="F19" s="12" t="inlineStr">
        <is>
          <t>여기 처음 와보는데, 여긴 뭐가 맛있어?</t>
        </is>
      </c>
      <c r="G19" s="9">
        <f>HYPERLINK("https://www.youtube.com/watch?v=bgRoMP9BajE", "영상 보기 ▶")</f>
        <v/>
      </c>
    </row>
    <row r="20" ht="26" customHeight="1">
      <c r="A20" s="2" t="n">
        <v>1419</v>
      </c>
      <c r="B20" s="3" t="inlineStr">
        <is>
          <t>실전회화/표현</t>
        </is>
      </c>
      <c r="C20" s="4" t="inlineStr">
        <is>
          <t>have every right to ~</t>
        </is>
      </c>
      <c r="D20" s="11" t="inlineStr">
        <is>
          <t>충분히 ~할 자격이 있어</t>
        </is>
      </c>
      <c r="E20" s="11" t="inlineStr">
        <is>
          <t>You have every right to be upset.</t>
        </is>
      </c>
      <c r="F20" s="11" t="inlineStr">
        <is>
          <t>너가 속상해 하는게 당연해.</t>
        </is>
      </c>
      <c r="G20" s="5">
        <f>HYPERLINK("https://www.youtube.com/watch?v=bgRoMP9BajE", "영상 보기 ▶")</f>
        <v/>
      </c>
    </row>
    <row r="21" ht="26" customHeight="1">
      <c r="A21" s="6" t="n">
        <v>1420</v>
      </c>
      <c r="B21" s="7" t="inlineStr">
        <is>
          <t>실전회화/표현</t>
        </is>
      </c>
      <c r="C21" s="8" t="inlineStr">
        <is>
          <t>reservations</t>
        </is>
      </c>
      <c r="D21" s="12" t="inlineStr">
        <is>
          <t>의구심, 거리낌</t>
        </is>
      </c>
      <c r="E21" s="12" t="inlineStr">
        <is>
          <t>I have reservations about this.</t>
        </is>
      </c>
      <c r="F21" s="12" t="inlineStr">
        <is>
          <t>이게 잘 하는 건지 망설여져.</t>
        </is>
      </c>
      <c r="G21" s="9">
        <f>HYPERLINK("https://www.youtube.com/watch?v=bgRoMP9BajE", "영상 보기 ▶")</f>
        <v/>
      </c>
    </row>
    <row r="22" ht="26" customHeight="1">
      <c r="A22" s="2" t="n">
        <v>1421</v>
      </c>
      <c r="B22" s="3" t="inlineStr">
        <is>
          <t>실전회화/표현</t>
        </is>
      </c>
      <c r="C22" s="4" t="inlineStr">
        <is>
          <t>a weight off one's shoulders ~</t>
        </is>
      </c>
      <c r="D22" s="11" t="inlineStr">
        <is>
          <t>의 어깨에서 덜어낸 짐</t>
        </is>
      </c>
      <c r="E22" s="11" t="inlineStr">
        <is>
          <t>Thank you for your help. That's a huge weight off my shoulders.</t>
        </is>
      </c>
      <c r="F22" s="11" t="inlineStr">
        <is>
          <t>도와줘서 고마워. 덕분에 걱정을 좀 덜었어.</t>
        </is>
      </c>
      <c r="G22" s="5">
        <f>HYPERLINK("https://www.youtube.com/watch?v=bgRoMP9BajE", "영상 보기 ▶")</f>
        <v/>
      </c>
    </row>
    <row r="23" ht="26" customHeight="1">
      <c r="A23" s="6" t="n">
        <v>1422</v>
      </c>
      <c r="B23" s="7" t="inlineStr">
        <is>
          <t>안도/해방</t>
        </is>
      </c>
      <c r="C23" s="8" t="inlineStr">
        <is>
          <t>(I feel like) a weight has been lifted.</t>
        </is>
      </c>
      <c r="D23" s="12" t="inlineStr">
        <is>
          <t>마음의 무거운 짐을 덜어내어 한결 후련해</t>
        </is>
      </c>
      <c r="E23" s="12" t="inlineStr">
        <is>
          <t>After submitting the thesis, I feel like a weight has been lifted.</t>
        </is>
      </c>
      <c r="F23" s="12" t="inlineStr">
        <is>
          <t>논문을 제출하고 나니 마음의 큰 짐을 내려놓은 듯 후련해.</t>
        </is>
      </c>
      <c r="G23" s="9">
        <f>HYPERLINK("https://www.youtube.com/watch?v=bgRoMP9BajE", "영상 보기 ▶")</f>
        <v/>
      </c>
    </row>
    <row r="24" ht="26" customHeight="1">
      <c r="A24" s="2" t="n">
        <v>1423</v>
      </c>
      <c r="B24" s="3" t="inlineStr">
        <is>
          <t>공감/감정</t>
        </is>
      </c>
      <c r="C24" s="4" t="inlineStr">
        <is>
          <t>I feel guilty.</t>
        </is>
      </c>
      <c r="D24" s="11" t="inlineStr">
        <is>
          <t>마음에 걸려.</t>
        </is>
      </c>
      <c r="E24" s="11" t="inlineStr">
        <is>
          <t>I feel guilty for skipping class.</t>
        </is>
      </c>
      <c r="F24" s="11" t="inlineStr">
        <is>
          <t>수업을 땡땡이 쳐서 마음이 좀 그렇네.</t>
        </is>
      </c>
      <c r="G24" s="5">
        <f>HYPERLINK("https://www.youtube.com/watch?v=bgRoMP9BajE", "영상 보기 ▶")</f>
        <v/>
      </c>
    </row>
    <row r="25" ht="26" customHeight="1">
      <c r="A25" s="6" t="n">
        <v>1424</v>
      </c>
      <c r="B25" s="7" t="inlineStr">
        <is>
          <t>실전회화/표현</t>
        </is>
      </c>
      <c r="C25" s="8" t="inlineStr">
        <is>
          <t>guilty pleasure</t>
        </is>
      </c>
      <c r="D25" s="12" t="inlineStr">
        <is>
          <t>죄책감이 드는 즐거움</t>
        </is>
      </c>
      <c r="E25" s="12" t="inlineStr">
        <is>
          <t>It's my guilty pleasure.</t>
        </is>
      </c>
      <c r="F25" s="12" t="inlineStr">
        <is>
          <t>안 좋은 걸 알지만 자꾸 하게 돼.</t>
        </is>
      </c>
      <c r="G25" s="9">
        <f>HYPERLINK("https://www.youtube.com/watch?v=bgRoMP9BajE", "영상 보기 ▶")</f>
        <v/>
      </c>
    </row>
    <row r="26" ht="26" customHeight="1">
      <c r="A26" s="2" t="n">
        <v>1425</v>
      </c>
      <c r="B26" s="3" t="inlineStr">
        <is>
          <t>실전회화/표현</t>
        </is>
      </c>
      <c r="C26" s="4" t="inlineStr">
        <is>
          <t>not letting ~</t>
        </is>
      </c>
      <c r="D26" s="11" t="inlineStr">
        <is>
          <t>가 안돼</t>
        </is>
      </c>
      <c r="E26" s="11" t="inlineStr">
        <is>
          <t>It's not letting me type.</t>
        </is>
      </c>
      <c r="F26" s="11" t="inlineStr">
        <is>
          <t>타이핑이 안되는데요.</t>
        </is>
      </c>
      <c r="G26" s="5">
        <f>HYPERLINK("https://www.youtube.com/watch?v=bgRoMP9BajE", "영상 보기 ▶")</f>
        <v/>
      </c>
    </row>
    <row r="27" ht="26" customHeight="1">
      <c r="A27" s="6" t="n">
        <v>1426</v>
      </c>
      <c r="B27" s="7" t="inlineStr">
        <is>
          <t>실전회화/표현</t>
        </is>
      </c>
      <c r="C27" s="8" t="inlineStr">
        <is>
          <t>for some reason</t>
        </is>
      </c>
      <c r="D27" s="12" t="inlineStr">
        <is>
          <t>어떤 이유에서인지</t>
        </is>
      </c>
      <c r="E27" s="12" t="inlineStr">
        <is>
          <t>Can I email it to you after the meeting? For some reason, it's not letting me share it here.</t>
        </is>
      </c>
      <c r="F27" s="12" t="inlineStr">
        <is>
          <t>미팅 끝나고 이메일로 보내드려도 될까요? 무슨 이유인지 공유가 안돼서요.</t>
        </is>
      </c>
      <c r="G27" s="9">
        <f>HYPERLINK("https://www.youtube.com/watch?v=bgRoMP9BajE", "영상 보기 ▶")</f>
        <v/>
      </c>
    </row>
    <row r="28" ht="26" customHeight="1">
      <c r="A28" s="2" t="n">
        <v>1427</v>
      </c>
      <c r="B28" s="3" t="inlineStr">
        <is>
          <t>실전회화/표현</t>
        </is>
      </c>
      <c r="C28" s="4" t="inlineStr">
        <is>
          <t>a shame</t>
        </is>
      </c>
      <c r="D28" s="11" t="inlineStr">
        <is>
          <t>애석한, 딱한, 유감스러운 일</t>
        </is>
      </c>
      <c r="E28" s="11" t="inlineStr">
        <is>
          <t>It's a shame you can't join us for a drink.</t>
        </is>
      </c>
      <c r="F28" s="11" t="inlineStr">
        <is>
          <t>네가 술 마시러 같이 못 간다니 아쉽다.</t>
        </is>
      </c>
      <c r="G28" s="5">
        <f>HYPERLINK("https://www.youtube.com/watch?v=bgRoMP9BajE", "영상 보기 ▶")</f>
        <v/>
      </c>
    </row>
    <row r="29" ht="26" customHeight="1">
      <c r="A29" s="6" t="n">
        <v>1428</v>
      </c>
      <c r="B29" s="7" t="inlineStr">
        <is>
          <t>실전회화/표현</t>
        </is>
      </c>
      <c r="C29" s="8" t="inlineStr">
        <is>
          <t>final</t>
        </is>
      </c>
      <c r="D29" s="12" t="inlineStr">
        <is>
          <t>최종적인, 마지막의</t>
        </is>
      </c>
      <c r="E29" s="12" t="inlineStr">
        <is>
          <t>I'm sorry. I don't have the final say.</t>
        </is>
      </c>
      <c r="F29" s="12" t="inlineStr">
        <is>
          <t>미안해. 나한테 최종결정권이 있는게 아니라서.</t>
        </is>
      </c>
      <c r="G29" s="9">
        <f>HYPERLINK("https://www.youtube.com/watch?v=bgRoMP9BajE", "영상 보기 ▶")</f>
        <v/>
      </c>
    </row>
    <row r="30" ht="26" customHeight="1">
      <c r="A30" s="2" t="n">
        <v>1429</v>
      </c>
      <c r="B30" s="3" t="inlineStr">
        <is>
          <t>실전회화/표현</t>
        </is>
      </c>
      <c r="C30" s="4" t="inlineStr">
        <is>
          <t>let</t>
        </is>
      </c>
      <c r="D30" s="11" t="inlineStr">
        <is>
          <t>사람 down 실망시키다, ~의 기대를 저버리다</t>
        </is>
      </c>
      <c r="E30" s="11" t="inlineStr">
        <is>
          <t>People are counting on us. We can't let them down.</t>
        </is>
      </c>
      <c r="F30" s="11" t="inlineStr">
        <is>
          <t>다들 우리가 잘 해낼거라 믿고 있는데 실망시킬 순 없어.</t>
        </is>
      </c>
      <c r="G30" s="5">
        <f>HYPERLINK("https://www.youtube.com/watch?v=bgRoMP9BajE", "영상 보기 ▶")</f>
        <v/>
      </c>
    </row>
    <row r="31" ht="26" customHeight="1">
      <c r="A31" s="6" t="n">
        <v>1430</v>
      </c>
      <c r="B31" s="7" t="inlineStr">
        <is>
          <t>실전회화/표현</t>
        </is>
      </c>
      <c r="C31" s="8" t="inlineStr">
        <is>
          <t>flat</t>
        </is>
      </c>
      <c r="D31" s="12" t="inlineStr">
        <is>
          <t>김빠진</t>
        </is>
      </c>
      <c r="E31" s="12" t="inlineStr">
        <is>
          <t>This beer's not fresh. It tastes a little flat.</t>
        </is>
      </c>
      <c r="F31" s="12" t="inlineStr">
        <is>
          <t>이 맥주는 신선하지가 않네. 김이 빠진 것 같아.</t>
        </is>
      </c>
      <c r="G31" s="9">
        <f>HYPERLINK("https://www.youtube.com/watch?v=bgRoMP9BajE", "영상 보기 ▶")</f>
        <v/>
      </c>
    </row>
    <row r="32" ht="26" customHeight="1">
      <c r="A32" s="2" t="n">
        <v>1431</v>
      </c>
      <c r="B32" s="3" t="inlineStr">
        <is>
          <t>실전회화/표현</t>
        </is>
      </c>
      <c r="C32" s="4" t="inlineStr">
        <is>
          <t>come in</t>
        </is>
      </c>
      <c r="D32" s="11" t="inlineStr">
        <is>
          <t>들어오다</t>
        </is>
      </c>
      <c r="E32" s="11" t="inlineStr">
        <is>
          <t>Does it come in only one size?</t>
        </is>
      </c>
      <c r="F32" s="11" t="inlineStr">
        <is>
          <t>한 사이즈로만 나오나요?</t>
        </is>
      </c>
      <c r="G32" s="5">
        <f>HYPERLINK("https://www.youtube.com/watch?v=bgRoMP9BajE", "영상 보기 ▶")</f>
        <v/>
      </c>
    </row>
    <row r="33" ht="26" customHeight="1">
      <c r="A33" s="6" t="n">
        <v>1432</v>
      </c>
      <c r="B33" s="7" t="inlineStr">
        <is>
          <t>실전회화/표현</t>
        </is>
      </c>
      <c r="C33" s="8" t="inlineStr">
        <is>
          <t>loyal</t>
        </is>
      </c>
      <c r="D33" s="12" t="inlineStr">
        <is>
          <t>충실한, 의리있는</t>
        </is>
      </c>
      <c r="E33" s="12" t="inlineStr">
        <is>
          <t>She's loyal.</t>
        </is>
      </c>
      <c r="F33" s="12" t="inlineStr">
        <is>
          <t>그녀는 의리있어.</t>
        </is>
      </c>
      <c r="G33" s="9">
        <f>HYPERLINK("https://www.youtube.com/watch?v=bgRoMP9BajE", "영상 보기 ▶")</f>
        <v/>
      </c>
    </row>
    <row r="34" ht="26" customHeight="1">
      <c r="A34" s="2" t="n">
        <v>1433</v>
      </c>
      <c r="B34" s="3" t="inlineStr">
        <is>
          <t>배려/인사</t>
        </is>
      </c>
      <c r="C34" s="4" t="inlineStr">
        <is>
          <t>Don't work too hard.</t>
        </is>
      </c>
      <c r="D34" s="11" t="inlineStr">
        <is>
          <t>너무 무리해서 일하진 마 (퇴근/격려 인사)</t>
        </is>
      </c>
      <c r="E34" s="11" t="inlineStr">
        <is>
          <t>Have a great evening and don't work too hard!</t>
        </is>
      </c>
      <c r="F34" s="11" t="inlineStr">
        <is>
          <t>좋은 저녁 보내고, 너무 무리해서 야근하진 마세요!</t>
        </is>
      </c>
      <c r="G34" s="5">
        <f>HYPERLINK("https://www.youtube.com/watch?v=bgRoMP9BajE", "영상 보기 ▶")</f>
        <v/>
      </c>
    </row>
    <row r="35" ht="26" customHeight="1">
      <c r="A35" s="6" t="n">
        <v>1434</v>
      </c>
      <c r="B35" s="7" t="inlineStr">
        <is>
          <t>실전회화/표현</t>
        </is>
      </c>
      <c r="C35" s="8" t="inlineStr">
        <is>
          <t>Do you play any sports?</t>
        </is>
      </c>
      <c r="D35" s="12" t="inlineStr">
        <is>
          <t>평소에 즐겨 하시는 운동 있으세요? (스몰토크 질문)</t>
        </is>
      </c>
      <c r="E35" s="12" t="inlineStr">
        <is>
          <t>A: Do you play any sports?</t>
        </is>
      </c>
      <c r="F35" s="12" t="inlineStr">
        <is>
          <t>운동하는 거 있어요?</t>
        </is>
      </c>
      <c r="G35" s="9">
        <f>HYPERLINK("https://www.youtube.com/watch?v=bgRoMP9BajE", "영상 보기 ▶")</f>
        <v/>
      </c>
    </row>
    <row r="36" ht="26" customHeight="1">
      <c r="A36" s="2" t="n">
        <v>1435</v>
      </c>
      <c r="B36" s="3" t="inlineStr">
        <is>
          <t>실전회화/표현</t>
        </is>
      </c>
      <c r="C36" s="4" t="inlineStr">
        <is>
          <t>offset</t>
        </is>
      </c>
      <c r="D36" s="11" t="inlineStr">
        <is>
          <t>상쇄하다</t>
        </is>
      </c>
      <c r="E36" s="11" t="inlineStr">
        <is>
          <t>It's a great product, and I think it could offset our loss from last year.</t>
        </is>
      </c>
      <c r="F36" s="11" t="inlineStr">
        <is>
          <t>정말 좋은 제품이고, 이 제품이 작년의 손실을 상쇄시켜 줄거라고 생각해.</t>
        </is>
      </c>
      <c r="G36" s="5">
        <f>HYPERLINK("https://www.youtube.com/watch?v=bgRoMP9BajE", "영상 보기 ▶")</f>
        <v/>
      </c>
    </row>
    <row r="37" ht="26" customHeight="1">
      <c r="A37" s="6" t="n">
        <v>1436</v>
      </c>
      <c r="B37" s="7" t="inlineStr">
        <is>
          <t>실전회화/표현</t>
        </is>
      </c>
      <c r="C37" s="8" t="inlineStr">
        <is>
          <t>a blessing in disguise</t>
        </is>
      </c>
      <c r="D37" s="12" t="inlineStr">
        <is>
          <t>뜻밖의 좋은 결과</t>
        </is>
      </c>
      <c r="E37" s="12" t="inlineStr">
        <is>
          <t>Maybe this is a blessing in disguise.</t>
        </is>
      </c>
      <c r="F37" s="12" t="inlineStr">
        <is>
          <t>오히려 이게 잘 된 일일지도 몰라.</t>
        </is>
      </c>
      <c r="G37" s="9">
        <f>HYPERLINK("https://www.youtube.com/watch?v=bgRoMP9BajE", "영상 보기 ▶")</f>
        <v/>
      </c>
    </row>
    <row r="38" ht="26" customHeight="1">
      <c r="A38" s="2" t="n">
        <v>1437</v>
      </c>
      <c r="B38" s="3" t="inlineStr">
        <is>
          <t>실전회화/표현</t>
        </is>
      </c>
      <c r="C38" s="4" t="inlineStr">
        <is>
          <t>downside</t>
        </is>
      </c>
      <c r="D38" s="11" t="inlineStr">
        <is>
          <t>불리한, 덜 긍정적인 면</t>
        </is>
      </c>
      <c r="E38" s="11" t="inlineStr">
        <is>
          <t>A: What's the downside?</t>
        </is>
      </c>
      <c r="F38" s="11" t="inlineStr">
        <is>
          <t>위험 요소가 뭐야?</t>
        </is>
      </c>
      <c r="G38" s="5">
        <f>HYPERLINK("https://www.youtube.com/watch?v=bgRoMP9BajE", "영상 보기 ▶")</f>
        <v/>
      </c>
    </row>
    <row r="39" ht="26" customHeight="1">
      <c r="A39" s="6" t="n">
        <v>1438</v>
      </c>
      <c r="B39" s="7" t="inlineStr">
        <is>
          <t>실전회화/표현</t>
        </is>
      </c>
      <c r="C39" s="8" t="inlineStr">
        <is>
          <t>upside</t>
        </is>
      </c>
      <c r="D39" s="12" t="inlineStr">
        <is>
          <t>괜찮은 면</t>
        </is>
      </c>
      <c r="E39" s="12" t="inlineStr">
        <is>
          <t>There's no upside to doing that.</t>
        </is>
      </c>
      <c r="F39" s="12" t="inlineStr">
        <is>
          <t>그렇게 해서 좋을게 없어.</t>
        </is>
      </c>
      <c r="G39" s="9">
        <f>HYPERLINK("https://www.youtube.com/watch?v=bgRoMP9BajE", "영상 보기 ▶")</f>
        <v/>
      </c>
    </row>
    <row r="40" ht="26" customHeight="1">
      <c r="A40" s="2" t="n">
        <v>1439</v>
      </c>
      <c r="B40" s="3" t="inlineStr">
        <is>
          <t>실전회화/표현</t>
        </is>
      </c>
      <c r="C40" s="4" t="inlineStr">
        <is>
          <t>vent</t>
        </is>
      </c>
      <c r="D40" s="11" t="inlineStr">
        <is>
          <t>터뜨리다</t>
        </is>
      </c>
      <c r="E40" s="11" t="inlineStr">
        <is>
          <t>Let me go get some air. I don't want to vent my anger on you.</t>
        </is>
      </c>
      <c r="F40" s="11" t="inlineStr">
        <is>
          <t>너한테 화풀이 하고싶지 않아. 바람 좀 쐬고 올게.</t>
        </is>
      </c>
      <c r="G40" s="5">
        <f>HYPERLINK("https://www.youtube.com/watch?v=bgRoMP9BajE", "영상 보기 ▶")</f>
        <v/>
      </c>
    </row>
    <row r="41" ht="26" customHeight="1">
      <c r="A41" s="6" t="n">
        <v>1440</v>
      </c>
      <c r="B41" s="7" t="inlineStr">
        <is>
          <t>공감/감정</t>
        </is>
      </c>
      <c r="C41" s="8" t="inlineStr">
        <is>
          <t>come around</t>
        </is>
      </c>
      <c r="D41" s="12" t="inlineStr">
        <is>
          <t>돌아오다, 마음/생각을 바꾸다</t>
        </is>
      </c>
      <c r="E41" s="12" t="inlineStr">
        <is>
          <t>I'll talk to him. He'll come around.</t>
        </is>
      </c>
      <c r="F41" s="12" t="inlineStr">
        <is>
          <t>내가 얘기해볼개. 생각을 바꾸고 받아들일거야.</t>
        </is>
      </c>
      <c r="G41" s="9">
        <f>HYPERLINK("https://www.youtube.com/watch?v=bgRoMP9BajE", "영상 보기 ▶")</f>
        <v/>
      </c>
    </row>
    <row r="42" ht="26" customHeight="1">
      <c r="A42" s="2" t="n">
        <v>1441</v>
      </c>
      <c r="B42" s="3" t="inlineStr">
        <is>
          <t>실전회화/표현</t>
        </is>
      </c>
      <c r="C42" s="4" t="inlineStr">
        <is>
          <t>come to one's senses</t>
        </is>
      </c>
      <c r="D42" s="11" t="inlineStr">
        <is>
          <t>정신차리다, 제대로 판단하기 시작하다</t>
        </is>
      </c>
      <c r="E42" s="11" t="inlineStr">
        <is>
          <t>A: It's crystal clear that this is a better deal.</t>
        </is>
      </c>
      <c r="F42" s="11" t="inlineStr">
        <is>
          <t>이게 더 나은 조건인게 분명한데.</t>
        </is>
      </c>
      <c r="G42" s="5">
        <f>HYPERLINK("https://www.youtube.com/watch?v=bgRoMP9BajE", "영상 보기 ▶")</f>
        <v/>
      </c>
    </row>
    <row r="43" ht="26" customHeight="1">
      <c r="A43" s="6" t="n">
        <v>1442</v>
      </c>
      <c r="B43" s="7" t="inlineStr">
        <is>
          <t>실전회화/표현</t>
        </is>
      </c>
      <c r="C43" s="8" t="inlineStr">
        <is>
          <t>put out</t>
        </is>
      </c>
      <c r="D43" s="12" t="inlineStr">
        <is>
          <t>끄다</t>
        </is>
      </c>
      <c r="E43" s="12" t="inlineStr">
        <is>
          <t>Can it wait? I need to put out some fires.</t>
        </is>
      </c>
      <c r="F43" s="12" t="inlineStr">
        <is>
          <t>그건 이따 해도 돼? 급한 불을 꺼야 해서.</t>
        </is>
      </c>
      <c r="G43" s="9">
        <f>HYPERLINK("https://www.youtube.com/watch?v=bgRoMP9BajE", "영상 보기 ▶")</f>
        <v/>
      </c>
    </row>
    <row r="44" ht="26" customHeight="1">
      <c r="A44" s="2" t="n">
        <v>1443</v>
      </c>
      <c r="B44" s="3" t="inlineStr">
        <is>
          <t>실전회화/표현</t>
        </is>
      </c>
      <c r="C44" s="4" t="inlineStr">
        <is>
          <t>put up with</t>
        </is>
      </c>
      <c r="D44" s="11" t="inlineStr">
        <is>
          <t>참고 견디다</t>
        </is>
      </c>
      <c r="E44" s="11" t="inlineStr">
        <is>
          <t>Thank you for putting up with me.</t>
        </is>
      </c>
      <c r="F44" s="11" t="inlineStr">
        <is>
          <t>참고 이해해줘서 고마워.</t>
        </is>
      </c>
      <c r="G44" s="5">
        <f>HYPERLINK("https://www.youtube.com/watch?v=bgRoMP9BajE", "영상 보기 ▶")</f>
        <v/>
      </c>
    </row>
    <row r="45" ht="26" customHeight="1">
      <c r="A45" s="6" t="n">
        <v>1444</v>
      </c>
      <c r="B45" s="7" t="inlineStr">
        <is>
          <t>실전회화/표현</t>
        </is>
      </c>
      <c r="C45" s="8" t="inlineStr">
        <is>
          <t>go through</t>
        </is>
      </c>
      <c r="D45" s="12" t="inlineStr">
        <is>
          <t>겪다</t>
        </is>
      </c>
      <c r="E45" s="12" t="inlineStr">
        <is>
          <t>I can't imagine what you're going through.</t>
        </is>
      </c>
      <c r="F45" s="12" t="inlineStr">
        <is>
          <t>얼마나 힘든 일을 겪고 계실지 상상이 안돼요.</t>
        </is>
      </c>
      <c r="G45" s="9">
        <f>HYPERLINK("https://www.youtube.com/watch?v=bgRoMP9BajE", "영상 보기 ▶")</f>
        <v/>
      </c>
    </row>
    <row r="46" ht="26" customHeight="1">
      <c r="A46" s="2" t="n">
        <v>1445</v>
      </c>
      <c r="B46" s="3" t="inlineStr">
        <is>
          <t>실전회화/표현</t>
        </is>
      </c>
      <c r="C46" s="4" t="inlineStr">
        <is>
          <t>put</t>
        </is>
      </c>
      <c r="D46" s="11" t="inlineStr">
        <is>
          <t>사람 through 곤경을 겪게 하다</t>
        </is>
      </c>
      <c r="E46" s="11" t="inlineStr">
        <is>
          <t>I can't put you through that.</t>
        </is>
      </c>
      <c r="F46" s="11" t="inlineStr">
        <is>
          <t>네가 그런 일을 겪게 할 순 없어.</t>
        </is>
      </c>
      <c r="G46" s="5">
        <f>HYPERLINK("https://www.youtube.com/watch?v=bgRoMP9BajE", "영상 보기 ▶")</f>
        <v/>
      </c>
    </row>
    <row r="47" ht="26" customHeight="1">
      <c r="A47" s="6" t="n">
        <v>1446</v>
      </c>
      <c r="B47" s="7" t="inlineStr">
        <is>
          <t>실전회화/표현</t>
        </is>
      </c>
      <c r="C47" s="8" t="inlineStr">
        <is>
          <t>rookie mistake</t>
        </is>
      </c>
      <c r="D47" s="12" t="inlineStr">
        <is>
          <t>초보들이 하는 실수</t>
        </is>
      </c>
      <c r="E47" s="12" t="inlineStr">
        <is>
          <t>Sorry about the rookie mistake. I have to admit, I'm embarrassed.</t>
        </is>
      </c>
      <c r="F47" s="12" t="inlineStr">
        <is>
          <t>어처구니 없는 실수를 해서 죄송해요. 저도 민망하네요.</t>
        </is>
      </c>
      <c r="G47" s="9">
        <f>HYPERLINK("https://www.youtube.com/watch?v=bgRoMP9BajE", "영상 보기 ▶")</f>
        <v/>
      </c>
    </row>
    <row r="48" ht="26" customHeight="1">
      <c r="A48" s="2" t="n">
        <v>1447</v>
      </c>
      <c r="B48" s="3" t="inlineStr">
        <is>
          <t>실전회화/표현</t>
        </is>
      </c>
      <c r="C48" s="4" t="inlineStr">
        <is>
          <t>intimidating</t>
        </is>
      </c>
      <c r="D48" s="11" t="inlineStr">
        <is>
          <t>의기소침하게 하는, 쫄게하는</t>
        </is>
      </c>
      <c r="E48" s="11" t="inlineStr">
        <is>
          <t>Talking to a negative speaker is intimidating for me.</t>
        </is>
      </c>
      <c r="F48" s="11" t="inlineStr">
        <is>
          <t>난 네이티브랑 얘기하는게 겁나.</t>
        </is>
      </c>
      <c r="G48" s="5">
        <f>HYPERLINK("https://www.youtube.com/watch?v=bgRoMP9BajE", "영상 보기 ▶")</f>
        <v/>
      </c>
    </row>
    <row r="49" ht="26" customHeight="1">
      <c r="A49" s="6" t="n">
        <v>1448</v>
      </c>
      <c r="B49" s="7" t="inlineStr">
        <is>
          <t>실전회화/표현</t>
        </is>
      </c>
      <c r="C49" s="8" t="inlineStr">
        <is>
          <t>hear</t>
        </is>
      </c>
      <c r="D49" s="12" t="inlineStr">
        <is>
          <t>사람 out ~의 말을 끝까지 들어주다</t>
        </is>
      </c>
      <c r="E49" s="12" t="inlineStr">
        <is>
          <t>I know this might sound ridiculous, but hear me out.</t>
        </is>
      </c>
      <c r="F49" s="12" t="inlineStr">
        <is>
          <t>황당한 아이디어 처럼 들릴 수 있는데 그래도 끝까지 들어봐.</t>
        </is>
      </c>
      <c r="G49" s="9">
        <f>HYPERLINK("https://www.youtube.com/watch?v=bgRoMP9BajE", "영상 보기 ▶")</f>
        <v/>
      </c>
    </row>
    <row r="50" ht="26" customHeight="1">
      <c r="A50" s="2" t="n">
        <v>1449</v>
      </c>
      <c r="B50" s="3" t="inlineStr">
        <is>
          <t>실전회화/표현</t>
        </is>
      </c>
      <c r="C50" s="4" t="inlineStr">
        <is>
          <t>refresh one's memory ~</t>
        </is>
      </c>
      <c r="D50" s="11" t="inlineStr">
        <is>
          <t>의 기억을 상기시켜주다</t>
        </is>
      </c>
      <c r="E50" s="11" t="inlineStr">
        <is>
          <t>I know it's been a while since our last meeting, so let's recap to refresh our memories.</t>
        </is>
      </c>
      <c r="F50" s="11" t="inlineStr">
        <is>
          <t>지난 미팅 이후로 꽤 시간이 흘렀으니 내용이 기억나도록 중요한 부분만 간단히 짚고 넘어가죠.</t>
        </is>
      </c>
      <c r="G50" s="5">
        <f>HYPERLINK("https://www.youtube.com/watch?v=bgRoMP9BajE", "영상 보기 ▶")</f>
        <v/>
      </c>
    </row>
    <row r="51" ht="26" customHeight="1">
      <c r="A51" s="6" t="n">
        <v>1450</v>
      </c>
      <c r="B51" s="7" t="inlineStr">
        <is>
          <t>실전회화/표현</t>
        </is>
      </c>
      <c r="C51" s="8" t="inlineStr">
        <is>
          <t>level with</t>
        </is>
      </c>
      <c r="D51" s="12" t="inlineStr">
        <is>
          <t>사람 솔직히 털어놓고 말하다</t>
        </is>
      </c>
      <c r="E51" s="12" t="inlineStr">
        <is>
          <t>Just level with me. How bad is it?</t>
        </is>
      </c>
      <c r="F51" s="12" t="inlineStr">
        <is>
          <t>그냥 솔직히 말해줘. 얼마나 상황이 안 좋은 거야?</t>
        </is>
      </c>
      <c r="G51" s="9">
        <f>HYPERLINK("https://www.youtube.com/watch?v=bgRoMP9BajE", "영상 보기 ▶")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1" customWidth="1" min="3" max="3"/>
    <col width="48" customWidth="1" min="4" max="4"/>
    <col width="69" customWidth="1" min="5" max="5"/>
    <col width="52.8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1451</v>
      </c>
      <c r="B2" s="3" t="inlineStr">
        <is>
          <t>실전회화/표현</t>
        </is>
      </c>
      <c r="C2" s="4" t="inlineStr">
        <is>
          <t>altogether</t>
        </is>
      </c>
      <c r="D2" s="11" t="inlineStr">
        <is>
          <t>완전히, 전적으로</t>
        </is>
      </c>
      <c r="E2" s="11" t="inlineStr">
        <is>
          <t>That’s a different matter altogether.</t>
        </is>
      </c>
      <c r="F2" s="11" t="inlineStr">
        <is>
          <t>그건 완전히 다른 문제야.</t>
        </is>
      </c>
      <c r="G2" s="5">
        <f>HYPERLINK("https://www.youtube.com/watch?v=twE9gYRcQbU", "영상 보기 ▶")</f>
        <v/>
      </c>
    </row>
    <row r="3" ht="26" customHeight="1">
      <c r="A3" s="6" t="n">
        <v>1452</v>
      </c>
      <c r="B3" s="7" t="inlineStr">
        <is>
          <t>실전회화/표현</t>
        </is>
      </c>
      <c r="C3" s="8" t="inlineStr">
        <is>
          <t>advise (</t>
        </is>
      </c>
      <c r="D3" s="12" t="inlineStr">
        <is>
          <t>정식으로) 알리다</t>
        </is>
      </c>
      <c r="E3" s="12" t="inlineStr">
        <is>
          <t>Please be advised that your attendance is mandatory.</t>
        </is>
      </c>
      <c r="F3" s="12" t="inlineStr">
        <is>
          <t>의무적으로 참석해야 한다는 점 알려드립니다.</t>
        </is>
      </c>
      <c r="G3" s="9">
        <f>HYPERLINK("https://www.youtube.com/watch?v=twE9gYRcQbU", "영상 보기 ▶")</f>
        <v/>
      </c>
    </row>
    <row r="4" ht="26" customHeight="1">
      <c r="A4" s="2" t="n">
        <v>1453</v>
      </c>
      <c r="B4" s="3" t="inlineStr">
        <is>
          <t>실전회화/표현</t>
        </is>
      </c>
      <c r="C4" s="4" t="inlineStr">
        <is>
          <t>take</t>
        </is>
      </c>
      <c r="D4" s="11" t="inlineStr">
        <is>
          <t>대상 under advisement ~를 심사숙고하다, 고려하다</t>
        </is>
      </c>
      <c r="E4" s="11" t="inlineStr">
        <is>
          <t>I’ll take that under advisement.</t>
        </is>
      </c>
      <c r="F4" s="11" t="inlineStr">
        <is>
          <t>그 점 신중히 고려해서 결정할게요.</t>
        </is>
      </c>
      <c r="G4" s="5">
        <f>HYPERLINK("https://www.youtube.com/watch?v=twE9gYRcQbU", "영상 보기 ▶")</f>
        <v/>
      </c>
    </row>
    <row r="5" ht="26" customHeight="1">
      <c r="A5" s="6" t="n">
        <v>1454</v>
      </c>
      <c r="B5" s="7" t="inlineStr">
        <is>
          <t>실전회화/표현</t>
        </is>
      </c>
      <c r="C5" s="8" t="inlineStr">
        <is>
          <t>keep</t>
        </is>
      </c>
      <c r="D5" s="12" t="inlineStr">
        <is>
          <t>사람 advised 계속해서 현황을 알려주다</t>
        </is>
      </c>
      <c r="E5" s="12" t="inlineStr">
        <is>
          <t>Please keep me advised.</t>
        </is>
      </c>
      <c r="F5" s="12" t="inlineStr">
        <is>
          <t>어떻게 되는지 나한테 계속 알려줘.</t>
        </is>
      </c>
      <c r="G5" s="9">
        <f>HYPERLINK("https://www.youtube.com/watch?v=twE9gYRcQbU", "영상 보기 ▶")</f>
        <v/>
      </c>
    </row>
    <row r="6" ht="26" customHeight="1">
      <c r="A6" s="2" t="n">
        <v>1455</v>
      </c>
      <c r="B6" s="3" t="inlineStr">
        <is>
          <t>실전회화/표현</t>
        </is>
      </c>
      <c r="C6" s="4" t="inlineStr">
        <is>
          <t>over the top</t>
        </is>
      </c>
      <c r="D6" s="11" t="inlineStr">
        <is>
          <t>과한, 지나친</t>
        </is>
      </c>
      <c r="E6" s="11" t="inlineStr">
        <is>
          <t>Do you think it’s a little over the top?</t>
        </is>
      </c>
      <c r="F6" s="11" t="inlineStr">
        <is>
          <t>좀 과한 것 같아?</t>
        </is>
      </c>
      <c r="G6" s="5">
        <f>HYPERLINK("https://www.youtube.com/watch?v=twE9gYRcQbU", "영상 보기 ▶")</f>
        <v/>
      </c>
    </row>
    <row r="7" ht="26" customHeight="1">
      <c r="A7" s="6" t="n">
        <v>1456</v>
      </c>
      <c r="B7" s="7" t="inlineStr">
        <is>
          <t>실전회화/표현</t>
        </is>
      </c>
      <c r="C7" s="8" t="inlineStr">
        <is>
          <t>infamous</t>
        </is>
      </c>
      <c r="D7" s="12" t="inlineStr">
        <is>
          <t>악명 높은</t>
        </is>
      </c>
      <c r="E7" s="12" t="inlineStr">
        <is>
          <t>John is infamous for being harsh toward his employees.</t>
        </is>
      </c>
      <c r="F7" s="12" t="inlineStr">
        <is>
          <t>John은 직원들에게 거칠게 구는 걸로 유명해.</t>
        </is>
      </c>
      <c r="G7" s="9">
        <f>HYPERLINK("https://www.youtube.com/watch?v=twE9gYRcQbU", "영상 보기 ▶")</f>
        <v/>
      </c>
    </row>
    <row r="8" ht="26" customHeight="1">
      <c r="A8" s="2" t="n">
        <v>1457</v>
      </c>
      <c r="B8" s="3" t="inlineStr">
        <is>
          <t>실전회화/표현</t>
        </is>
      </c>
      <c r="C8" s="4" t="inlineStr">
        <is>
          <t>draft beer</t>
        </is>
      </c>
      <c r="D8" s="11" t="inlineStr">
        <is>
          <t>생맥주(&amp;#x3D; draught beer)</t>
        </is>
      </c>
      <c r="E8" s="11" t="inlineStr">
        <is>
          <t>Would you like a bottle or a draft?</t>
        </is>
      </c>
      <c r="F8" s="11" t="inlineStr">
        <is>
          <t>병맥으로 드릴까요, 생맥으로 드릴까요?</t>
        </is>
      </c>
      <c r="G8" s="5">
        <f>HYPERLINK("https://www.youtube.com/watch?v=twE9gYRcQbU", "영상 보기 ▶")</f>
        <v/>
      </c>
    </row>
    <row r="9" ht="26" customHeight="1">
      <c r="A9" s="6" t="n">
        <v>1458</v>
      </c>
      <c r="B9" s="7" t="inlineStr">
        <is>
          <t>의견/의사결정</t>
        </is>
      </c>
      <c r="C9" s="8" t="inlineStr">
        <is>
          <t>clear one’s head</t>
        </is>
      </c>
      <c r="D9" s="12" t="inlineStr">
        <is>
          <t>머리를 식히다, 생각을 정리하다</t>
        </is>
      </c>
      <c r="E9" s="12" t="inlineStr">
        <is>
          <t>Let me go get some air. I need to clear my head.</t>
        </is>
      </c>
      <c r="F9" s="12" t="inlineStr">
        <is>
          <t>가서 바람 좀 쐬며 머리 좀 식히고 올게.</t>
        </is>
      </c>
      <c r="G9" s="9">
        <f>HYPERLINK("https://www.youtube.com/watch?v=twE9gYRcQbU", "영상 보기 ▶")</f>
        <v/>
      </c>
    </row>
    <row r="10" ht="26" customHeight="1">
      <c r="A10" s="2" t="n">
        <v>1459</v>
      </c>
      <c r="B10" s="3" t="inlineStr">
        <is>
          <t>실전회화/표현</t>
        </is>
      </c>
      <c r="C10" s="4" t="inlineStr">
        <is>
          <t>consequence</t>
        </is>
      </c>
      <c r="D10" s="11" t="inlineStr">
        <is>
          <t>결과, 영향</t>
        </is>
      </c>
      <c r="E10" s="11" t="inlineStr">
        <is>
          <t>There will be consequences.</t>
        </is>
      </c>
      <c r="F10" s="11" t="inlineStr">
        <is>
          <t>댓가를 치르게 될거야.</t>
        </is>
      </c>
      <c r="G10" s="5">
        <f>HYPERLINK("https://www.youtube.com/watch?v=twE9gYRcQbU", "영상 보기 ▶")</f>
        <v/>
      </c>
    </row>
    <row r="11" ht="26" customHeight="1">
      <c r="A11" s="6" t="n">
        <v>1460</v>
      </c>
      <c r="B11" s="7" t="inlineStr">
        <is>
          <t>실전회화/표현</t>
        </is>
      </c>
      <c r="C11" s="8" t="inlineStr">
        <is>
          <t>have consequences</t>
        </is>
      </c>
      <c r="D11" s="12" t="inlineStr">
        <is>
          <t>결과를 초래하다, 영향을 미치다</t>
        </is>
      </c>
      <c r="E11" s="12" t="inlineStr">
        <is>
          <t>Actions have consequences.</t>
        </is>
      </c>
      <c r="F11" s="12" t="inlineStr">
        <is>
          <t>모든 행동에는 책임이 따르는 거야.</t>
        </is>
      </c>
      <c r="G11" s="9">
        <f>HYPERLINK("https://www.youtube.com/watch?v=twE9gYRcQbU", "영상 보기 ▶")</f>
        <v/>
      </c>
    </row>
    <row r="12" ht="26" customHeight="1">
      <c r="A12" s="2" t="n">
        <v>1461</v>
      </c>
      <c r="B12" s="3" t="inlineStr">
        <is>
          <t>실전회화/표현</t>
        </is>
      </c>
      <c r="C12" s="4" t="inlineStr">
        <is>
          <t>consequence</t>
        </is>
      </c>
      <c r="D12" s="11" t="inlineStr">
        <is>
          <t>중요함, 중대성</t>
        </is>
      </c>
      <c r="E12" s="11" t="inlineStr">
        <is>
          <t>It is of no consequence to me.</t>
        </is>
      </c>
      <c r="F12" s="11" t="inlineStr">
        <is>
          <t>그건 내게 중요치 않아.</t>
        </is>
      </c>
      <c r="G12" s="5">
        <f>HYPERLINK("https://www.youtube.com/watch?v=twE9gYRcQbU", "영상 보기 ▶")</f>
        <v/>
      </c>
    </row>
    <row r="13" ht="26" customHeight="1">
      <c r="A13" s="6" t="n">
        <v>1462</v>
      </c>
      <c r="B13" s="7" t="inlineStr">
        <is>
          <t>실전회화/표현</t>
        </is>
      </c>
      <c r="C13" s="8" t="inlineStr">
        <is>
          <t>once</t>
        </is>
      </c>
      <c r="D13" s="12" t="inlineStr">
        <is>
          <t>일단 ~하면, ~하자마자</t>
        </is>
      </c>
      <c r="E13" s="12" t="inlineStr">
        <is>
          <t>Once it’s done, it cannot be undone.</t>
        </is>
      </c>
      <c r="F13" s="12" t="inlineStr">
        <is>
          <t>일단 하고 나면 원래대로 되돌릴 수 없어.</t>
        </is>
      </c>
      <c r="G13" s="9">
        <f>HYPERLINK("https://www.youtube.com/watch?v=twE9gYRcQbU", "영상 보기 ▶")</f>
        <v/>
      </c>
    </row>
    <row r="14" ht="26" customHeight="1">
      <c r="A14" s="2" t="n">
        <v>1463</v>
      </c>
      <c r="B14" s="3" t="inlineStr">
        <is>
          <t>실전회화/표현</t>
        </is>
      </c>
      <c r="C14" s="4" t="inlineStr">
        <is>
          <t>at once</t>
        </is>
      </c>
      <c r="D14" s="11" t="inlineStr">
        <is>
          <t>바로, 지체없이</t>
        </is>
      </c>
      <c r="E14" s="11" t="inlineStr">
        <is>
          <t>I’ll handle it at once.</t>
        </is>
      </c>
      <c r="F14" s="11" t="inlineStr">
        <is>
          <t>지금 당장 처리할게요.</t>
        </is>
      </c>
      <c r="G14" s="5">
        <f>HYPERLINK("https://www.youtube.com/watch?v=twE9gYRcQbU", "영상 보기 ▶")</f>
        <v/>
      </c>
    </row>
    <row r="15" ht="26" customHeight="1">
      <c r="A15" s="6" t="n">
        <v>1464</v>
      </c>
      <c r="B15" s="7" t="inlineStr">
        <is>
          <t>실전회화/표현</t>
        </is>
      </c>
      <c r="C15" s="8" t="inlineStr">
        <is>
          <t>at once</t>
        </is>
      </c>
      <c r="D15" s="12" t="inlineStr">
        <is>
          <t>동시에</t>
        </is>
      </c>
      <c r="E15" s="12" t="inlineStr">
        <is>
          <t>I can’t do two things at once.</t>
        </is>
      </c>
      <c r="F15" s="12" t="inlineStr">
        <is>
          <t>동시에 두 일을 할 수는 없잖아.</t>
        </is>
      </c>
      <c r="G15" s="9">
        <f>HYPERLINK("https://www.youtube.com/watch?v=twE9gYRcQbU", "영상 보기 ▶")</f>
        <v/>
      </c>
    </row>
    <row r="16" ht="26" customHeight="1">
      <c r="A16" s="2" t="n">
        <v>1465</v>
      </c>
      <c r="B16" s="3" t="inlineStr">
        <is>
          <t>실전회화/표현</t>
        </is>
      </c>
      <c r="C16" s="4" t="inlineStr">
        <is>
          <t>get cold feet</t>
        </is>
      </c>
      <c r="D16" s="11" t="inlineStr">
        <is>
          <t>겁이 나다, 초조해지다</t>
        </is>
      </c>
      <c r="E16" s="11" t="inlineStr">
        <is>
          <t>I ended up not doing it. I got cold feet.</t>
        </is>
      </c>
      <c r="F16" s="11" t="inlineStr">
        <is>
          <t>결국 안 했어요. 겁먹어서요.</t>
        </is>
      </c>
      <c r="G16" s="5">
        <f>HYPERLINK("https://www.youtube.com/watch?v=twE9gYRcQbU", "영상 보기 ▶")</f>
        <v/>
      </c>
    </row>
    <row r="17" ht="26" customHeight="1">
      <c r="A17" s="6" t="n">
        <v>1466</v>
      </c>
      <c r="B17" s="7" t="inlineStr">
        <is>
          <t>실전회화/표현</t>
        </is>
      </c>
      <c r="C17" s="8" t="inlineStr">
        <is>
          <t>bring</t>
        </is>
      </c>
      <c r="D17" s="12" t="inlineStr">
        <is>
          <t>대상 to one’s attnetion ~에게 ~를 관심 갖게 하다, 알려주다</t>
        </is>
      </c>
      <c r="E17" s="12" t="inlineStr">
        <is>
          <t>Thank you for bringing that to my attention.</t>
        </is>
      </c>
      <c r="F17" s="12" t="inlineStr">
        <is>
          <t>내가 신경쓸 수 있도록 알려줘서 고마워.</t>
        </is>
      </c>
      <c r="G17" s="9">
        <f>HYPERLINK("https://www.youtube.com/watch?v=twE9gYRcQbU", "영상 보기 ▶")</f>
        <v/>
      </c>
    </row>
    <row r="18" ht="26" customHeight="1">
      <c r="A18" s="2" t="n">
        <v>1467</v>
      </c>
      <c r="B18" s="3" t="inlineStr">
        <is>
          <t>실전회화/표현</t>
        </is>
      </c>
      <c r="C18" s="4" t="inlineStr">
        <is>
          <t>as..as ~</t>
        </is>
      </c>
      <c r="D18" s="11" t="inlineStr">
        <is>
          <t>만큼 ~한</t>
        </is>
      </c>
      <c r="E18" s="11" t="inlineStr">
        <is>
          <t>It’s not as easy as it looks.</t>
        </is>
      </c>
      <c r="F18" s="11" t="inlineStr">
        <is>
          <t>그게 보기만큼 쉽지 않아.</t>
        </is>
      </c>
      <c r="G18" s="5">
        <f>HYPERLINK("https://www.youtube.com/watch?v=twE9gYRcQbU", "영상 보기 ▶")</f>
        <v/>
      </c>
    </row>
    <row r="19" ht="26" customHeight="1">
      <c r="A19" s="6" t="n">
        <v>1468</v>
      </c>
      <c r="B19" s="7" t="inlineStr">
        <is>
          <t>실전회화/표현</t>
        </is>
      </c>
      <c r="C19" s="8" t="inlineStr">
        <is>
          <t>You don’t look a day over ~.</t>
        </is>
      </c>
      <c r="D19" s="12" t="inlineStr">
        <is>
          <t>~세보다 하루도 더 안 들어 보여요 (그 나이보다 훨씬 동안이세요)</t>
        </is>
      </c>
      <c r="E19" s="12" t="inlineStr">
        <is>
          <t>A: I just turned 40.</t>
        </is>
      </c>
      <c r="F19" s="12" t="inlineStr">
        <is>
          <t>얼마 전에 마흔 됐어요.</t>
        </is>
      </c>
      <c r="G19" s="9">
        <f>HYPERLINK("https://www.youtube.com/watch?v=twE9gYRcQbU", "영상 보기 ▶")</f>
        <v/>
      </c>
    </row>
    <row r="20" ht="26" customHeight="1">
      <c r="A20" s="2" t="n">
        <v>1469</v>
      </c>
      <c r="B20" s="3" t="inlineStr">
        <is>
          <t>공감/감정</t>
        </is>
      </c>
      <c r="C20" s="4" t="inlineStr">
        <is>
          <t>indulge ~</t>
        </is>
      </c>
      <c r="D20" s="11" t="inlineStr">
        <is>
          <t>가 마음대로 하게 하다, 만족시키다</t>
        </is>
      </c>
      <c r="E20" s="11" t="inlineStr">
        <is>
          <t>Thank you for indulging me.</t>
        </is>
      </c>
      <c r="F20" s="11" t="inlineStr">
        <is>
          <t>제 얘기를 들어줘서 고맙습니다.</t>
        </is>
      </c>
      <c r="G20" s="5">
        <f>HYPERLINK("https://www.youtube.com/watch?v=twE9gYRcQbU", "영상 보기 ▶")</f>
        <v/>
      </c>
    </row>
    <row r="21" ht="26" customHeight="1">
      <c r="A21" s="6" t="n">
        <v>1470</v>
      </c>
      <c r="B21" s="7" t="inlineStr">
        <is>
          <t>실전회화/표현</t>
        </is>
      </c>
      <c r="C21" s="8" t="inlineStr">
        <is>
          <t>Humor me.</t>
        </is>
      </c>
      <c r="D21" s="12" t="inlineStr">
        <is>
          <t>바보 같은 부탁인 거 알지만 한 번만 비위 맞춰줘/들어줘</t>
        </is>
      </c>
      <c r="E21" s="12" t="inlineStr">
        <is>
          <t>Humor me for a second.</t>
        </is>
      </c>
      <c r="F21" s="12" t="inlineStr">
        <is>
          <t>잠깐만 내가 하자는대로 따라줘.</t>
        </is>
      </c>
      <c r="G21" s="9">
        <f>HYPERLINK("https://www.youtube.com/watch?v=twE9gYRcQbU", "영상 보기 ▶")</f>
        <v/>
      </c>
    </row>
    <row r="22" ht="26" customHeight="1">
      <c r="A22" s="2" t="n">
        <v>1471</v>
      </c>
      <c r="B22" s="3" t="inlineStr">
        <is>
          <t>실전회화/표현</t>
        </is>
      </c>
      <c r="C22" s="4" t="inlineStr">
        <is>
          <t>I could get used to this.</t>
        </is>
      </c>
      <c r="D22" s="11" t="inlineStr">
        <is>
          <t>계속 ~하고 싶을 정도로 좋은</t>
        </is>
      </c>
      <c r="E22" s="11" t="inlineStr">
        <is>
          <t>Wow, I could get used to this view.</t>
        </is>
      </c>
      <c r="F22" s="11" t="inlineStr">
        <is>
          <t>경치가 끝내준다, 매일 보고 싶을 정도야.</t>
        </is>
      </c>
      <c r="G22" s="5">
        <f>HYPERLINK("https://www.youtube.com/watch?v=twE9gYRcQbU", "영상 보기 ▶")</f>
        <v/>
      </c>
    </row>
    <row r="23" ht="26" customHeight="1">
      <c r="A23" s="6" t="n">
        <v>1472</v>
      </c>
      <c r="B23" s="7" t="inlineStr">
        <is>
          <t>실전회화/표현</t>
        </is>
      </c>
      <c r="C23" s="8" t="inlineStr">
        <is>
          <t>go wrong</t>
        </is>
      </c>
      <c r="D23" s="12" t="inlineStr">
        <is>
          <t>일이 잘못되다, 문제를 겪다</t>
        </is>
      </c>
      <c r="E23" s="12" t="inlineStr">
        <is>
          <t>I don’t think that would work. Too many things can go wrong.</t>
        </is>
      </c>
      <c r="F23" s="12" t="inlineStr">
        <is>
          <t>그건 안 될 것 같아. 변수가 너무 많아.</t>
        </is>
      </c>
      <c r="G23" s="9">
        <f>HYPERLINK("https://www.youtube.com/watch?v=twE9gYRcQbU", "영상 보기 ▶")</f>
        <v/>
      </c>
    </row>
    <row r="24" ht="26" customHeight="1">
      <c r="A24" s="2" t="n">
        <v>1473</v>
      </c>
      <c r="B24" s="3" t="inlineStr">
        <is>
          <t>실전회화/표현</t>
        </is>
      </c>
      <c r="C24" s="4" t="inlineStr">
        <is>
          <t>You can’t go wrong with ~. ~</t>
        </is>
      </c>
      <c r="D24" s="11" t="inlineStr">
        <is>
          <t>는 언제나 옳아.</t>
        </is>
      </c>
      <c r="E24" s="11" t="inlineStr">
        <is>
          <t>You can’t go wrong with a burger.</t>
        </is>
      </c>
      <c r="F24" s="11" t="inlineStr">
        <is>
          <t>햄버거가 맛없을리 없어, 햄버거는 항상 옳으니까.</t>
        </is>
      </c>
      <c r="G24" s="5">
        <f>HYPERLINK("https://www.youtube.com/watch?v=twE9gYRcQbU", "영상 보기 ▶")</f>
        <v/>
      </c>
    </row>
    <row r="25" ht="26" customHeight="1">
      <c r="A25" s="6" t="n">
        <v>1474</v>
      </c>
      <c r="B25" s="7" t="inlineStr">
        <is>
          <t>실전회화/표현</t>
        </is>
      </c>
      <c r="C25" s="8" t="inlineStr">
        <is>
          <t>look up</t>
        </is>
      </c>
      <c r="D25" s="12" t="inlineStr">
        <is>
          <t>상황이 좋아지다</t>
        </is>
      </c>
      <c r="E25" s="12" t="inlineStr">
        <is>
          <t>Things are looking up.</t>
        </is>
      </c>
      <c r="F25" s="12" t="inlineStr">
        <is>
          <t>상황이 나아지고 있어.</t>
        </is>
      </c>
      <c r="G25" s="9">
        <f>HYPERLINK("https://www.youtube.com/watch?v=twE9gYRcQbU", "영상 보기 ▶")</f>
        <v/>
      </c>
    </row>
    <row r="26" ht="26" customHeight="1">
      <c r="A26" s="2" t="n">
        <v>1475</v>
      </c>
      <c r="B26" s="3" t="inlineStr">
        <is>
          <t>실전회화/표현</t>
        </is>
      </c>
      <c r="C26" s="4" t="inlineStr">
        <is>
          <t>look into ~</t>
        </is>
      </c>
      <c r="D26" s="11" t="inlineStr">
        <is>
          <t>를 자세히 조사하다</t>
        </is>
      </c>
      <c r="E26" s="11" t="inlineStr">
        <is>
          <t>I’ll look into it.</t>
        </is>
      </c>
      <c r="F26" s="11" t="inlineStr">
        <is>
          <t>어떻게 된건지 제가 알아볼게요.</t>
        </is>
      </c>
      <c r="G26" s="5">
        <f>HYPERLINK("https://www.youtube.com/watch?v=twE9gYRcQbU", "영상 보기 ▶")</f>
        <v/>
      </c>
    </row>
    <row r="27" ht="26" customHeight="1">
      <c r="A27" s="6" t="n">
        <v>1476</v>
      </c>
      <c r="B27" s="7" t="inlineStr">
        <is>
          <t>실전회화/표현</t>
        </is>
      </c>
      <c r="C27" s="8" t="inlineStr">
        <is>
          <t>look like ~</t>
        </is>
      </c>
      <c r="D27" s="12" t="inlineStr">
        <is>
          <t>처럼 보이다</t>
        </is>
      </c>
      <c r="E27" s="12" t="inlineStr">
        <is>
          <t>It looks like I can do tomorrow.</t>
        </is>
      </c>
      <c r="F27" s="12" t="inlineStr">
        <is>
          <t>내일 시간이 괜찮을 것 같네요.</t>
        </is>
      </c>
      <c r="G27" s="9">
        <f>HYPERLINK("https://www.youtube.com/watch?v=twE9gYRcQbU", "영상 보기 ▶")</f>
        <v/>
      </c>
    </row>
    <row r="28" ht="26" customHeight="1">
      <c r="A28" s="2" t="n">
        <v>1477</v>
      </c>
      <c r="B28" s="3" t="inlineStr">
        <is>
          <t>실전회화/표현</t>
        </is>
      </c>
      <c r="C28" s="4" t="inlineStr">
        <is>
          <t>get ahead of oneself</t>
        </is>
      </c>
      <c r="D28" s="11" t="inlineStr">
        <is>
          <t>앞서 가다, 속단하다</t>
        </is>
      </c>
      <c r="E28" s="11" t="inlineStr">
        <is>
          <t>Let’s not get ahead of ourselves.</t>
        </is>
      </c>
      <c r="F28" s="11" t="inlineStr">
        <is>
          <t>앞서가지 말자.</t>
        </is>
      </c>
      <c r="G28" s="5">
        <f>HYPERLINK("https://www.youtube.com/watch?v=twE9gYRcQbU", "영상 보기 ▶")</f>
        <v/>
      </c>
    </row>
    <row r="29" ht="26" customHeight="1">
      <c r="A29" s="6" t="n">
        <v>1478</v>
      </c>
      <c r="B29" s="7" t="inlineStr">
        <is>
          <t>의견/의사결정</t>
        </is>
      </c>
      <c r="C29" s="8" t="inlineStr">
        <is>
          <t>I thought you might ask.</t>
        </is>
      </c>
      <c r="D29" s="12" t="inlineStr">
        <is>
          <t>네가 물어볼지도 모른다고 생각했어.</t>
        </is>
      </c>
      <c r="E29" s="12" t="inlineStr">
        <is>
          <t>I thought you might ask, so I’ve already looked it up.</t>
        </is>
      </c>
      <c r="F29" s="12" t="inlineStr">
        <is>
          <t>네가 물어볼지도 모른다고 생각해서 이미 알아봤어.</t>
        </is>
      </c>
      <c r="G29" s="9">
        <f>HYPERLINK("https://www.youtube.com/watch?v=twE9gYRcQbU", "영상 보기 ▶")</f>
        <v/>
      </c>
    </row>
    <row r="30" ht="26" customHeight="1">
      <c r="A30" s="2" t="n">
        <v>1479</v>
      </c>
      <c r="B30" s="3" t="inlineStr">
        <is>
          <t>실전회화/표현</t>
        </is>
      </c>
      <c r="C30" s="4" t="inlineStr">
        <is>
          <t>unprecedented</t>
        </is>
      </c>
      <c r="D30" s="11" t="inlineStr">
        <is>
          <t>전례 없는, 역대급</t>
        </is>
      </c>
      <c r="E30" s="11" t="inlineStr">
        <is>
          <t>I’ve never seen it this high. This is an unprecedented price.</t>
        </is>
      </c>
      <c r="F30" s="11" t="inlineStr">
        <is>
          <t>이렇게 비싼건 처음봐, 역대급 가격이다.</t>
        </is>
      </c>
      <c r="G30" s="5">
        <f>HYPERLINK("https://www.youtube.com/watch?v=twE9gYRcQbU", "영상 보기 ▶")</f>
        <v/>
      </c>
    </row>
    <row r="31" ht="26" customHeight="1">
      <c r="A31" s="6" t="n">
        <v>1480</v>
      </c>
      <c r="B31" s="7" t="inlineStr">
        <is>
          <t>실전회화/표현</t>
        </is>
      </c>
      <c r="C31" s="8" t="inlineStr">
        <is>
          <t>look over ~</t>
        </is>
      </c>
      <c r="D31" s="12" t="inlineStr">
        <is>
          <t>를 훑어보다, 검토하다</t>
        </is>
      </c>
      <c r="E31" s="12" t="inlineStr">
        <is>
          <t>Did you get a chance to look over my presentation?</t>
        </is>
      </c>
      <c r="F31" s="12" t="inlineStr">
        <is>
          <t>혹시 내가 보낸 발표자료를 훑어볼 시간 있었어?</t>
        </is>
      </c>
      <c r="G31" s="9">
        <f>HYPERLINK("https://www.youtube.com/watch?v=twE9gYRcQbU", "영상 보기 ▶")</f>
        <v/>
      </c>
    </row>
    <row r="32" ht="26" customHeight="1">
      <c r="A32" s="2" t="n">
        <v>1481</v>
      </c>
      <c r="B32" s="3" t="inlineStr">
        <is>
          <t>실전회화/표현</t>
        </is>
      </c>
      <c r="C32" s="4" t="inlineStr">
        <is>
          <t>handful</t>
        </is>
      </c>
      <c r="D32" s="11" t="inlineStr">
        <is>
          <t>소수, 몇 안되는</t>
        </is>
      </c>
      <c r="E32" s="11" t="inlineStr">
        <is>
          <t>Only a handful of people showed up.</t>
        </is>
      </c>
      <c r="F32" s="11" t="inlineStr">
        <is>
          <t>몇 사람 밖에 안왔어.</t>
        </is>
      </c>
      <c r="G32" s="5">
        <f>HYPERLINK("https://www.youtube.com/watch?v=twE9gYRcQbU", "영상 보기 ▶")</f>
        <v/>
      </c>
    </row>
    <row r="33" ht="26" customHeight="1">
      <c r="A33" s="6" t="n">
        <v>1482</v>
      </c>
      <c r="B33" s="7" t="inlineStr">
        <is>
          <t>실전회화/표현</t>
        </is>
      </c>
      <c r="C33" s="8" t="inlineStr">
        <is>
          <t>handful</t>
        </is>
      </c>
      <c r="D33" s="12" t="inlineStr">
        <is>
          <t>다루기 힘든 사람, 대상</t>
        </is>
      </c>
      <c r="E33" s="12" t="inlineStr">
        <is>
          <t>A: He’s such a high-maintenance client.</t>
        </is>
      </c>
      <c r="F33" s="12" t="inlineStr">
        <is>
          <t>그는 정말 까다로운 고객이야.</t>
        </is>
      </c>
      <c r="G33" s="9">
        <f>HYPERLINK("https://www.youtube.com/watch?v=twE9gYRcQbU", "영상 보기 ▶")</f>
        <v/>
      </c>
    </row>
    <row r="34" ht="26" customHeight="1">
      <c r="A34" s="2" t="n">
        <v>1483</v>
      </c>
      <c r="B34" s="3" t="inlineStr">
        <is>
          <t>실전회화/표현</t>
        </is>
      </c>
      <c r="C34" s="4" t="inlineStr">
        <is>
          <t>I’ve got my hands full.</t>
        </is>
      </c>
      <c r="D34" s="11" t="inlineStr">
        <is>
          <t>나 바빠.</t>
        </is>
      </c>
      <c r="E34" s="11" t="inlineStr">
        <is>
          <t>I’d love to help, but I’ve got my hands full with the new project.</t>
        </is>
      </c>
      <c r="F34" s="11" t="inlineStr">
        <is>
          <t>도와드리고 싶은데 새 프로젝트로 너무 바빠서요.</t>
        </is>
      </c>
      <c r="G34" s="5">
        <f>HYPERLINK("https://www.youtube.com/watch?v=twE9gYRcQbU", "영상 보기 ▶")</f>
        <v/>
      </c>
    </row>
    <row r="35" ht="26" customHeight="1">
      <c r="A35" s="6" t="n">
        <v>1484</v>
      </c>
      <c r="B35" s="7" t="inlineStr">
        <is>
          <t>실전회화/표현</t>
        </is>
      </c>
      <c r="C35" s="8" t="inlineStr">
        <is>
          <t>on the clock</t>
        </is>
      </c>
      <c r="D35" s="12" t="inlineStr">
        <is>
          <t>근무 중인</t>
        </is>
      </c>
      <c r="E35" s="12" t="inlineStr">
        <is>
          <t>A: Do you wanna order a drink?</t>
        </is>
      </c>
      <c r="F35" s="12" t="inlineStr">
        <is>
          <t>술 한잔 주문할까?</t>
        </is>
      </c>
      <c r="G35" s="9">
        <f>HYPERLINK("https://www.youtube.com/watch?v=twE9gYRcQbU", "영상 보기 ▶")</f>
        <v/>
      </c>
    </row>
    <row r="36" ht="26" customHeight="1">
      <c r="A36" s="2" t="n">
        <v>1485</v>
      </c>
      <c r="B36" s="3" t="inlineStr">
        <is>
          <t>실전회화/표현</t>
        </is>
      </c>
      <c r="C36" s="4" t="inlineStr">
        <is>
          <t>off the clock</t>
        </is>
      </c>
      <c r="D36" s="11" t="inlineStr">
        <is>
          <t>근무 시간 외의</t>
        </is>
      </c>
      <c r="E36" s="11" t="inlineStr">
        <is>
          <t>We’re off the clock. Let’s not talk about work anymore.</t>
        </is>
      </c>
      <c r="F36" s="11" t="inlineStr">
        <is>
          <t>이미 퇴근했는데 일 얘기는 이제 그만하자.</t>
        </is>
      </c>
      <c r="G36" s="5">
        <f>HYPERLINK("https://www.youtube.com/watch?v=twE9gYRcQbU", "영상 보기 ▶")</f>
        <v/>
      </c>
    </row>
    <row r="37" ht="26" customHeight="1">
      <c r="A37" s="6" t="n">
        <v>1486</v>
      </c>
      <c r="B37" s="7" t="inlineStr">
        <is>
          <t>실전회화/표현</t>
        </is>
      </c>
      <c r="C37" s="8" t="inlineStr">
        <is>
          <t>single</t>
        </is>
      </c>
      <c r="D37" s="12" t="inlineStr">
        <is>
          <t>솔로인</t>
        </is>
      </c>
      <c r="E37" s="12" t="inlineStr">
        <is>
          <t>A: Are you seeing anyone?</t>
        </is>
      </c>
      <c r="F37" s="12" t="inlineStr">
        <is>
          <t>만나는 사람 있어?</t>
        </is>
      </c>
      <c r="G37" s="9">
        <f>HYPERLINK("https://www.youtube.com/watch?v=twE9gYRcQbU", "영상 보기 ▶")</f>
        <v/>
      </c>
    </row>
    <row r="38" ht="26" customHeight="1">
      <c r="A38" s="2" t="n">
        <v>1487</v>
      </c>
      <c r="B38" s="3" t="inlineStr">
        <is>
          <t>실전회화/표현</t>
        </is>
      </c>
      <c r="C38" s="4" t="inlineStr">
        <is>
          <t>plus-one</t>
        </is>
      </c>
      <c r="D38" s="11" t="inlineStr">
        <is>
          <t>동행인</t>
        </is>
      </c>
      <c r="E38" s="11" t="inlineStr">
        <is>
          <t>A: Are you bringing a plus-one to the party?</t>
        </is>
      </c>
      <c r="F38" s="11" t="inlineStr">
        <is>
          <t>파티에 누구 데리고 올 거야?</t>
        </is>
      </c>
      <c r="G38" s="5">
        <f>HYPERLINK("https://www.youtube.com/watch?v=twE9gYRcQbU", "영상 보기 ▶")</f>
        <v/>
      </c>
    </row>
    <row r="39" ht="26" customHeight="1">
      <c r="A39" s="6" t="n">
        <v>1488</v>
      </c>
      <c r="B39" s="7" t="inlineStr">
        <is>
          <t>실전회화/표현</t>
        </is>
      </c>
      <c r="C39" s="8" t="inlineStr">
        <is>
          <t>forty 40 (fourty</t>
        </is>
      </c>
      <c r="D39" s="12" t="inlineStr">
        <is>
          <t>아님 주의)</t>
        </is>
      </c>
      <c r="E39" s="12" t="inlineStr">
        <is>
          <t>A: If you don’t mind me asking, how old are you?</t>
        </is>
      </c>
      <c r="F39" s="12" t="inlineStr">
        <is>
          <t>이런 질문 드려도 될지 모르겠지만, 나이가 어떻게 되시나요?</t>
        </is>
      </c>
      <c r="G39" s="9">
        <f>HYPERLINK("https://www.youtube.com/watch?v=twE9gYRcQbU", "영상 보기 ▶")</f>
        <v/>
      </c>
    </row>
    <row r="40" ht="26" customHeight="1">
      <c r="A40" s="2" t="n">
        <v>1489</v>
      </c>
      <c r="B40" s="3" t="inlineStr">
        <is>
          <t>실전회화/표현</t>
        </is>
      </c>
      <c r="C40" s="4" t="inlineStr">
        <is>
          <t>just this once</t>
        </is>
      </c>
      <c r="D40" s="11" t="inlineStr">
        <is>
          <t>이번 딱 한번만</t>
        </is>
      </c>
      <c r="E40" s="11" t="inlineStr">
        <is>
          <t>I’ll make an exception just this once.</t>
        </is>
      </c>
      <c r="F40" s="11" t="inlineStr">
        <is>
          <t>이번 한 번만 예외로 해줄게.</t>
        </is>
      </c>
      <c r="G40" s="5">
        <f>HYPERLINK("https://www.youtube.com/watch?v=twE9gYRcQbU", "영상 보기 ▶")</f>
        <v/>
      </c>
    </row>
    <row r="41" ht="26" customHeight="1">
      <c r="A41" s="6" t="n">
        <v>1490</v>
      </c>
      <c r="B41" s="7" t="inlineStr">
        <is>
          <t>공감/감정</t>
        </is>
      </c>
      <c r="C41" s="8" t="inlineStr">
        <is>
          <t>offend</t>
        </is>
      </c>
      <c r="D41" s="12" t="inlineStr">
        <is>
          <t>기분 나쁘게 하다, 언짢게 하다</t>
        </is>
      </c>
      <c r="E41" s="12" t="inlineStr">
        <is>
          <t>Don’t be shy. I won’t be offended by any questions you ask.</t>
        </is>
      </c>
      <c r="F41" s="12" t="inlineStr">
        <is>
          <t>부끄러워하지 말고 편히 질문하세요. 기분 나빻지 않을게요.</t>
        </is>
      </c>
      <c r="G41" s="9">
        <f>HYPERLINK("https://www.youtube.com/watch?v=twE9gYRcQbU", "영상 보기 ▶")</f>
        <v/>
      </c>
    </row>
    <row r="42" ht="26" customHeight="1">
      <c r="A42" s="2" t="n">
        <v>1491</v>
      </c>
      <c r="B42" s="3" t="inlineStr">
        <is>
          <t>공감/감정</t>
        </is>
      </c>
      <c r="C42" s="4" t="inlineStr">
        <is>
          <t>Christmassy</t>
        </is>
      </c>
      <c r="D42" s="11" t="inlineStr">
        <is>
          <t>크리스마스 분위기인</t>
        </is>
      </c>
      <c r="E42" s="11" t="inlineStr">
        <is>
          <t>I love the vibe in here. This place is so Christmassy.</t>
        </is>
      </c>
      <c r="F42" s="11" t="inlineStr">
        <is>
          <t>여기 분위기 정말 좋다. 완전 크리스마스 느낌.</t>
        </is>
      </c>
      <c r="G42" s="5">
        <f>HYPERLINK("https://www.youtube.com/watch?v=twE9gYRcQbU", "영상 보기 ▶")</f>
        <v/>
      </c>
    </row>
    <row r="43" ht="26" customHeight="1">
      <c r="A43" s="6" t="n">
        <v>1492</v>
      </c>
      <c r="B43" s="7" t="inlineStr">
        <is>
          <t>의견/의사결정</t>
        </is>
      </c>
      <c r="C43" s="8" t="inlineStr">
        <is>
          <t>final offer</t>
        </is>
      </c>
      <c r="D43" s="12" t="inlineStr">
        <is>
          <t>마지막 제안, 최종가</t>
        </is>
      </c>
      <c r="E43" s="12" t="inlineStr">
        <is>
          <t>I assure you, this is our final offer.</t>
        </is>
      </c>
      <c r="F43" s="12" t="inlineStr">
        <is>
          <t>분명히 말씀드리지만, 이보다 더 좋은 제안은 없을 겁니다.</t>
        </is>
      </c>
      <c r="G43" s="9">
        <f>HYPERLINK("https://www.youtube.com/watch?v=twE9gYRcQbU", "영상 보기 ▶")</f>
        <v/>
      </c>
    </row>
    <row r="44" ht="26" customHeight="1">
      <c r="A44" s="2" t="n">
        <v>1493</v>
      </c>
      <c r="B44" s="3" t="inlineStr">
        <is>
          <t>실전회화/표현</t>
        </is>
      </c>
      <c r="C44" s="4" t="inlineStr">
        <is>
          <t>up for</t>
        </is>
      </c>
      <c r="D44" s="11" t="inlineStr">
        <is>
          <t>고려되고 있는, 내놓은</t>
        </is>
      </c>
      <c r="E44" s="11" t="inlineStr">
        <is>
          <t>I’m up for a promotion.</t>
        </is>
      </c>
      <c r="F44" s="11" t="inlineStr">
        <is>
          <t>나 승진 후보야.</t>
        </is>
      </c>
      <c r="G44" s="5">
        <f>HYPERLINK("https://www.youtube.com/watch?v=twE9gYRcQbU", "영상 보기 ▶")</f>
        <v/>
      </c>
    </row>
    <row r="45" ht="26" customHeight="1">
      <c r="A45" s="6" t="n">
        <v>1494</v>
      </c>
      <c r="B45" s="7" t="inlineStr">
        <is>
          <t>실전회화/표현</t>
        </is>
      </c>
      <c r="C45" s="8" t="inlineStr">
        <is>
          <t>skim</t>
        </is>
      </c>
      <c r="D45" s="12" t="inlineStr">
        <is>
          <t>훑어보다</t>
        </is>
      </c>
      <c r="E45" s="12" t="inlineStr">
        <is>
          <t>I just skimmed it.</t>
        </is>
      </c>
      <c r="F45" s="12" t="inlineStr">
        <is>
          <t>그냥 훑어봤어.</t>
        </is>
      </c>
      <c r="G45" s="9">
        <f>HYPERLINK("https://www.youtube.com/watch?v=twE9gYRcQbU", "영상 보기 ▶")</f>
        <v/>
      </c>
    </row>
    <row r="46" ht="26" customHeight="1">
      <c r="A46" s="2" t="n">
        <v>1495</v>
      </c>
      <c r="B46" s="3" t="inlineStr">
        <is>
          <t>실전회화/표현</t>
        </is>
      </c>
      <c r="C46" s="4" t="inlineStr">
        <is>
          <t>person</t>
        </is>
      </c>
      <c r="D46" s="11" t="inlineStr">
        <is>
          <t>~를 좋아하는 사람</t>
        </is>
      </c>
      <c r="E46" s="11" t="inlineStr">
        <is>
          <t>A: Are you a winter person?</t>
        </is>
      </c>
      <c r="F46" s="11" t="inlineStr">
        <is>
          <t>겨울 좋아하세요?</t>
        </is>
      </c>
      <c r="G46" s="5">
        <f>HYPERLINK("https://www.youtube.com/watch?v=twE9gYRcQbU", "영상 보기 ▶")</f>
        <v/>
      </c>
    </row>
    <row r="47" ht="26" customHeight="1">
      <c r="A47" s="6" t="n">
        <v>1496</v>
      </c>
      <c r="B47" s="7" t="inlineStr">
        <is>
          <t>실전회화/표현</t>
        </is>
      </c>
      <c r="C47" s="8" t="inlineStr">
        <is>
          <t>all-time favorite</t>
        </is>
      </c>
      <c r="D47" s="12" t="inlineStr">
        <is>
          <t>최애</t>
        </is>
      </c>
      <c r="E47" s="12" t="inlineStr">
        <is>
          <t>What’s your all-time favorite movie?</t>
        </is>
      </c>
      <c r="F47" s="12" t="inlineStr">
        <is>
          <t>최애 영화가 뭐야?</t>
        </is>
      </c>
      <c r="G47" s="9">
        <f>HYPERLINK("https://www.youtube.com/watch?v=twE9gYRcQbU", "영상 보기 ▶")</f>
        <v/>
      </c>
    </row>
    <row r="48" ht="26" customHeight="1">
      <c r="A48" s="2" t="n">
        <v>1497</v>
      </c>
      <c r="B48" s="3" t="inlineStr">
        <is>
          <t>실전회화/표현</t>
        </is>
      </c>
      <c r="C48" s="4" t="inlineStr">
        <is>
          <t>laser-focused</t>
        </is>
      </c>
      <c r="D48" s="11" t="inlineStr">
        <is>
          <t>고도로 집중한</t>
        </is>
      </c>
      <c r="E48" s="11" t="inlineStr">
        <is>
          <t>He’s laser-focused.</t>
        </is>
      </c>
      <c r="F48" s="11" t="inlineStr">
        <is>
          <t>완전 집중하고 있어.</t>
        </is>
      </c>
      <c r="G48" s="5">
        <f>HYPERLINK("https://www.youtube.com/watch?v=twE9gYRcQbU", "영상 보기 ▶")</f>
        <v/>
      </c>
    </row>
    <row r="49" ht="26" customHeight="1">
      <c r="A49" s="6" t="n">
        <v>1498</v>
      </c>
      <c r="B49" s="7" t="inlineStr">
        <is>
          <t>실전회화/표현</t>
        </is>
      </c>
      <c r="C49" s="8" t="inlineStr">
        <is>
          <t>highlight</t>
        </is>
      </c>
      <c r="D49" s="12" t="inlineStr">
        <is>
          <t>가장 좋은/흥미로운 부분</t>
        </is>
      </c>
      <c r="E49" s="12" t="inlineStr">
        <is>
          <t>What was the highlight of your year?</t>
        </is>
      </c>
      <c r="F49" s="12" t="inlineStr">
        <is>
          <t>올해 가장 기억에 남는 순간이 있어?</t>
        </is>
      </c>
      <c r="G49" s="9">
        <f>HYPERLINK("https://www.youtube.com/watch?v=twE9gYRcQbU", "영상 보기 ▶")</f>
        <v/>
      </c>
    </row>
    <row r="50" ht="26" customHeight="1">
      <c r="A50" s="2" t="n">
        <v>1499</v>
      </c>
      <c r="B50" s="3" t="inlineStr">
        <is>
          <t>의견/의사결정</t>
        </is>
      </c>
      <c r="C50" s="4" t="inlineStr">
        <is>
          <t>weigh in</t>
        </is>
      </c>
      <c r="D50" s="11" t="inlineStr">
        <is>
          <t>끼어들다, 의견을 내다</t>
        </is>
      </c>
      <c r="E50" s="11" t="inlineStr">
        <is>
          <t>I’d like to weigh in here.</t>
        </is>
      </c>
      <c r="F50" s="11" t="inlineStr">
        <is>
          <t>이 부분에 있어 한 말씀 드리고 싶은데요.</t>
        </is>
      </c>
      <c r="G50" s="5">
        <f>HYPERLINK("https://www.youtube.com/watch?v=twE9gYRcQbU", "영상 보기 ▶")</f>
        <v/>
      </c>
    </row>
    <row r="51" ht="26" customHeight="1">
      <c r="A51" s="6" t="n">
        <v>1500</v>
      </c>
      <c r="B51" s="7" t="inlineStr">
        <is>
          <t>실전회화/표현</t>
        </is>
      </c>
      <c r="C51" s="8" t="inlineStr">
        <is>
          <t>assure</t>
        </is>
      </c>
      <c r="D51" s="12" t="inlineStr">
        <is>
          <t>장담하다</t>
        </is>
      </c>
      <c r="E51" s="12" t="inlineStr">
        <is>
          <t>I can assure you that we’re giving it 100%.</t>
        </is>
      </c>
      <c r="F51" s="12" t="inlineStr">
        <is>
          <t>정말 최선을 다하고 있다고 장담해요.</t>
        </is>
      </c>
      <c r="G51" s="9">
        <f>HYPERLINK("https://www.youtube.com/watch?v=twE9gYRcQbU", "영상 보기 ▶")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8" customWidth="1" min="3" max="3"/>
    <col width="48" customWidth="1" min="4" max="4"/>
    <col width="75" customWidth="1" min="5" max="5"/>
    <col width="61.6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1501</v>
      </c>
      <c r="B2" s="3" t="inlineStr">
        <is>
          <t>실전회화/표현</t>
        </is>
      </c>
      <c r="C2" s="4" t="inlineStr">
        <is>
          <t>spur-of-the-moment</t>
        </is>
      </c>
      <c r="D2" s="11" t="inlineStr">
        <is>
          <t>즉흥적인, 즉석의</t>
        </is>
      </c>
      <c r="E2" s="11" t="inlineStr">
        <is>
          <t>It's not a spur-of-the-moment decision.</t>
        </is>
      </c>
      <c r="F2" s="11" t="inlineStr">
        <is>
          <t>즉흥적으로 결정한게 아니라 잘 생각해서 내린 결정이야.</t>
        </is>
      </c>
      <c r="G2" s="5">
        <f>HYPERLINK("https://www.youtube.com/watch?v=4zErlgs6oqI", "영상 보기 ▶")</f>
        <v/>
      </c>
    </row>
    <row r="3" ht="26" customHeight="1">
      <c r="A3" s="6" t="n">
        <v>1502</v>
      </c>
      <c r="B3" s="7" t="inlineStr">
        <is>
          <t>실전회화/표현</t>
        </is>
      </c>
      <c r="C3" s="8" t="inlineStr">
        <is>
          <t>put our heads together</t>
        </is>
      </c>
      <c r="D3" s="12" t="inlineStr">
        <is>
          <t>머리를 맞대고 의논하다</t>
        </is>
      </c>
      <c r="E3" s="12" t="inlineStr">
        <is>
          <t>Don't worry. We'll put our heads together and come up with a solution.</t>
        </is>
      </c>
      <c r="F3" s="12" t="inlineStr">
        <is>
          <t>저희가 같이 고민해서 해결책을 마련할테니 걱정 마세요.</t>
        </is>
      </c>
      <c r="G3" s="9">
        <f>HYPERLINK("https://www.youtube.com/watch?v=4zErlgs6oqI", "영상 보기 ▶")</f>
        <v/>
      </c>
    </row>
    <row r="4" ht="26" customHeight="1">
      <c r="A4" s="2" t="n">
        <v>1503</v>
      </c>
      <c r="B4" s="3" t="inlineStr">
        <is>
          <t>실전회화/표현</t>
        </is>
      </c>
      <c r="C4" s="4" t="inlineStr">
        <is>
          <t>long overdue</t>
        </is>
      </c>
      <c r="D4" s="11" t="inlineStr">
        <is>
          <t>한참 전에 행해 졌어야 할</t>
        </is>
      </c>
      <c r="E4" s="11" t="inlineStr">
        <is>
          <t>I know it's long overdue, but I'd like to apologize.</t>
        </is>
      </c>
      <c r="F4" s="11" t="inlineStr">
        <is>
          <t>많이 늦었지만, 사과하고 싶어.</t>
        </is>
      </c>
      <c r="G4" s="5">
        <f>HYPERLINK("https://www.youtube.com/watch?v=4zErlgs6oqI", "영상 보기 ▶")</f>
        <v/>
      </c>
    </row>
    <row r="5" ht="26" customHeight="1">
      <c r="A5" s="6" t="n">
        <v>1504</v>
      </c>
      <c r="B5" s="7" t="inlineStr">
        <is>
          <t>실전회화/표현</t>
        </is>
      </c>
      <c r="C5" s="8" t="inlineStr">
        <is>
          <t>legitamate</t>
        </is>
      </c>
      <c r="D5" s="12" t="inlineStr">
        <is>
          <t>합법적인, 제대로 된, 정당한</t>
        </is>
      </c>
      <c r="E5" s="12" t="inlineStr">
        <is>
          <t>That's a legitamte concern.</t>
        </is>
      </c>
      <c r="F5" s="12" t="inlineStr">
        <is>
          <t>그건 진짜 걱정할만한 문제야.</t>
        </is>
      </c>
      <c r="G5" s="9">
        <f>HYPERLINK("https://www.youtube.com/watch?v=4zErlgs6oqI", "영상 보기 ▶")</f>
        <v/>
      </c>
    </row>
    <row r="6" ht="26" customHeight="1">
      <c r="A6" s="2" t="n">
        <v>1505</v>
      </c>
      <c r="B6" s="3" t="inlineStr">
        <is>
          <t>실전회화/표현</t>
        </is>
      </c>
      <c r="C6" s="4" t="inlineStr">
        <is>
          <t>legitimately</t>
        </is>
      </c>
      <c r="D6" s="11" t="inlineStr">
        <is>
          <t>합법적으로, 정당하게, 진짜로</t>
        </is>
      </c>
      <c r="E6" s="11" t="inlineStr">
        <is>
          <t>I'm legitimately interested.</t>
        </is>
      </c>
      <c r="F6" s="11" t="inlineStr">
        <is>
          <t>진짜로 관심있어.</t>
        </is>
      </c>
      <c r="G6" s="5">
        <f>HYPERLINK("https://www.youtube.com/watch?v=4zErlgs6oqI", "영상 보기 ▶")</f>
        <v/>
      </c>
    </row>
    <row r="7" ht="26" customHeight="1">
      <c r="A7" s="6" t="n">
        <v>1506</v>
      </c>
      <c r="B7" s="7" t="inlineStr">
        <is>
          <t>실전회화/표현</t>
        </is>
      </c>
      <c r="C7" s="8" t="inlineStr">
        <is>
          <t>mouthful</t>
        </is>
      </c>
      <c r="D7" s="12" t="inlineStr">
        <is>
          <t>길고 복잡한 말, 발음하기 어려운 말</t>
        </is>
      </c>
      <c r="E7" s="12" t="inlineStr">
        <is>
          <t>It's a mouthful.</t>
        </is>
      </c>
      <c r="F7" s="12" t="inlineStr">
        <is>
          <t>발음하기 어렵다.</t>
        </is>
      </c>
      <c r="G7" s="9">
        <f>HYPERLINK("https://www.youtube.com/watch?v=4zErlgs6oqI", "영상 보기 ▶")</f>
        <v/>
      </c>
    </row>
    <row r="8" ht="26" customHeight="1">
      <c r="A8" s="2" t="n">
        <v>1507</v>
      </c>
      <c r="B8" s="3" t="inlineStr">
        <is>
          <t>실전회화/표현</t>
        </is>
      </c>
      <c r="C8" s="4" t="inlineStr">
        <is>
          <t>phase out</t>
        </is>
      </c>
      <c r="D8" s="11" t="inlineStr">
        <is>
          <t>단계적으로 중단/폐지/삭감하다</t>
        </is>
      </c>
      <c r="E8" s="11" t="inlineStr">
        <is>
          <t>Now that we have enough customers, we should start phasing out the coupons.</t>
        </is>
      </c>
      <c r="F8" s="11" t="inlineStr">
        <is>
          <t>이제 고객도 충분히 생겼으니 점차 쿠폰을 줄여가는게 좋겠어.</t>
        </is>
      </c>
      <c r="G8" s="5">
        <f>HYPERLINK("https://www.youtube.com/watch?v=4zErlgs6oqI", "영상 보기 ▶")</f>
        <v/>
      </c>
    </row>
    <row r="9" ht="26" customHeight="1">
      <c r="A9" s="6" t="n">
        <v>1508</v>
      </c>
      <c r="B9" s="7" t="inlineStr">
        <is>
          <t>실전회화/표현</t>
        </is>
      </c>
      <c r="C9" s="8" t="inlineStr">
        <is>
          <t>I thought you'd never ask!</t>
        </is>
      </c>
      <c r="D9" s="12" t="inlineStr">
        <is>
          <t>언제쯤 물어보시나 했어요.</t>
        </is>
      </c>
      <c r="E9" s="12" t="inlineStr">
        <is>
          <t>A: Do you wanna watch it together?</t>
        </is>
      </c>
      <c r="F9" s="12" t="inlineStr">
        <is>
          <t>너도 같이 볼래?</t>
        </is>
      </c>
      <c r="G9" s="9">
        <f>HYPERLINK("https://www.youtube.com/watch?v=4zErlgs6oqI", "영상 보기 ▶")</f>
        <v/>
      </c>
    </row>
    <row r="10" ht="26" customHeight="1">
      <c r="A10" s="2" t="n">
        <v>1509</v>
      </c>
      <c r="B10" s="3" t="inlineStr">
        <is>
          <t>의견/의사결정</t>
        </is>
      </c>
      <c r="C10" s="4" t="inlineStr">
        <is>
          <t>I thought you might ask.</t>
        </is>
      </c>
      <c r="D10" s="11" t="inlineStr">
        <is>
          <t>물어보실지도 모른다고 생각했어요.</t>
        </is>
      </c>
      <c r="E10" s="11" t="inlineStr">
        <is>
          <t>A: Do you have a sample product?</t>
        </is>
      </c>
      <c r="F10" s="11" t="inlineStr">
        <is>
          <t>샘플 상품 갖고 계신가요?</t>
        </is>
      </c>
      <c r="G10" s="5">
        <f>HYPERLINK("https://www.youtube.com/watch?v=4zErlgs6oqI", "영상 보기 ▶")</f>
        <v/>
      </c>
    </row>
    <row r="11" ht="26" customHeight="1">
      <c r="A11" s="6" t="n">
        <v>1510</v>
      </c>
      <c r="B11" s="7" t="inlineStr">
        <is>
          <t>실전회화/표현</t>
        </is>
      </c>
      <c r="C11" s="8" t="inlineStr">
        <is>
          <t>look up to ~</t>
        </is>
      </c>
      <c r="D11" s="12" t="inlineStr">
        <is>
          <t>를 우러러보다, 존경하다</t>
        </is>
      </c>
      <c r="E11" s="12" t="inlineStr">
        <is>
          <t>He's resilient. That's something to look up to.</t>
        </is>
      </c>
      <c r="F11" s="12" t="inlineStr">
        <is>
          <t>그는 쉽게 무너지지 않아, 그건 존경할 점이야.</t>
        </is>
      </c>
      <c r="G11" s="9">
        <f>HYPERLINK("https://www.youtube.com/watch?v=4zErlgs6oqI", "영상 보기 ▶")</f>
        <v/>
      </c>
    </row>
    <row r="12" ht="26" customHeight="1">
      <c r="A12" s="2" t="n">
        <v>1511</v>
      </c>
      <c r="B12" s="3" t="inlineStr">
        <is>
          <t>실전회화/표현</t>
        </is>
      </c>
      <c r="C12" s="4" t="inlineStr">
        <is>
          <t>look down on ~</t>
        </is>
      </c>
      <c r="D12" s="11" t="inlineStr">
        <is>
          <t>를 무시하다, 얕보다</t>
        </is>
      </c>
      <c r="E12" s="11" t="inlineStr">
        <is>
          <t>I feel like he's looking down on my job.</t>
        </is>
      </c>
      <c r="F12" s="11" t="inlineStr">
        <is>
          <t>그가 내 직업을 무시하는 것 같아.</t>
        </is>
      </c>
      <c r="G12" s="5">
        <f>HYPERLINK("https://www.youtube.com/watch?v=4zErlgs6oqI", "영상 보기 ▶")</f>
        <v/>
      </c>
    </row>
    <row r="13" ht="26" customHeight="1">
      <c r="A13" s="6" t="n">
        <v>1512</v>
      </c>
      <c r="B13" s="7" t="inlineStr">
        <is>
          <t>실전회화/표현</t>
        </is>
      </c>
      <c r="C13" s="8" t="inlineStr">
        <is>
          <t>Spill the beans</t>
        </is>
      </c>
      <c r="D13" s="12" t="inlineStr">
        <is>
          <t>무심코 말해 버리다, 누설하다</t>
        </is>
      </c>
      <c r="E13" s="12" t="inlineStr">
        <is>
          <t>Nothing's set in stone, so don't spill the beans.</t>
        </is>
      </c>
      <c r="F13" s="12" t="inlineStr">
        <is>
          <t>아직 확정된건 하나도 없으니 아무에게 말하지 마.</t>
        </is>
      </c>
      <c r="G13" s="9">
        <f>HYPERLINK("https://www.youtube.com/watch?v=4zErlgs6oqI", "영상 보기 ▶")</f>
        <v/>
      </c>
    </row>
    <row r="14" ht="26" customHeight="1">
      <c r="A14" s="2" t="n">
        <v>1513</v>
      </c>
      <c r="B14" s="3" t="inlineStr">
        <is>
          <t>실전회화/표현</t>
        </is>
      </c>
      <c r="C14" s="4" t="inlineStr">
        <is>
          <t>no strings attached</t>
        </is>
      </c>
      <c r="D14" s="11" t="inlineStr">
        <is>
          <t>아무 조건 없이</t>
        </is>
      </c>
      <c r="E14" s="11" t="inlineStr">
        <is>
          <t>It's completely free, no strings attached.</t>
        </is>
      </c>
      <c r="F14" s="11" t="inlineStr">
        <is>
          <t>아무 조건 없이 완전 공짜랍니다.</t>
        </is>
      </c>
      <c r="G14" s="5">
        <f>HYPERLINK("https://www.youtube.com/watch?v=4zErlgs6oqI", "영상 보기 ▶")</f>
        <v/>
      </c>
    </row>
    <row r="15" ht="26" customHeight="1">
      <c r="A15" s="6" t="n">
        <v>1514</v>
      </c>
      <c r="B15" s="7" t="inlineStr">
        <is>
          <t>실전회화/표현</t>
        </is>
      </c>
      <c r="C15" s="8" t="inlineStr">
        <is>
          <t>There's no such thing as a free lunch.</t>
        </is>
      </c>
      <c r="D15" s="12" t="inlineStr">
        <is>
          <t>세상에 공짜 점심은 없다 (공짜는 없는 법이야)</t>
        </is>
      </c>
      <c r="E15" s="12" t="inlineStr">
        <is>
          <t>Remember, there's no such thing as a free lunch.</t>
        </is>
      </c>
      <c r="F15" s="12" t="inlineStr">
        <is>
          <t>기억해, 세상에 대가 없는 공짜는 없는 법이야.</t>
        </is>
      </c>
      <c r="G15" s="9">
        <f>HYPERLINK("https://www.youtube.com/watch?v=4zErlgs6oqI", "영상 보기 ▶")</f>
        <v/>
      </c>
    </row>
    <row r="16" ht="26" customHeight="1">
      <c r="A16" s="2" t="n">
        <v>1515</v>
      </c>
      <c r="B16" s="3" t="inlineStr">
        <is>
          <t>공감/감정</t>
        </is>
      </c>
      <c r="C16" s="4" t="inlineStr">
        <is>
          <t>reciprocate</t>
        </is>
      </c>
      <c r="D16" s="11" t="inlineStr">
        <is>
          <t>화답/응답하다, 보답/주고받다</t>
        </is>
      </c>
      <c r="E16" s="11" t="inlineStr">
        <is>
          <t>He's always been helpful. It's only right to reciprocate.</t>
        </is>
      </c>
      <c r="F16" s="11" t="inlineStr">
        <is>
          <t>항상 우리를 도와줬는데 보답하는게 당연하지.</t>
        </is>
      </c>
      <c r="G16" s="5">
        <f>HYPERLINK("https://www.youtube.com/watch?v=4zErlgs6oqI", "영상 보기 ▶")</f>
        <v/>
      </c>
    </row>
    <row r="17" ht="26" customHeight="1">
      <c r="A17" s="6" t="n">
        <v>1516</v>
      </c>
      <c r="B17" s="7" t="inlineStr">
        <is>
          <t>실전회화/표현</t>
        </is>
      </c>
      <c r="C17" s="8" t="inlineStr">
        <is>
          <t>over the moon</t>
        </is>
      </c>
      <c r="D17" s="12" t="inlineStr">
        <is>
          <t>정말 행복한, 날아갈 것 같은</t>
        </is>
      </c>
      <c r="E17" s="12" t="inlineStr">
        <is>
          <t>I'm over the moon.</t>
        </is>
      </c>
      <c r="F17" s="12" t="inlineStr">
        <is>
          <t>정말 너무 기뻐.</t>
        </is>
      </c>
      <c r="G17" s="9">
        <f>HYPERLINK("https://www.youtube.com/watch?v=4zErlgs6oqI", "영상 보기 ▶")</f>
        <v/>
      </c>
    </row>
    <row r="18" ht="26" customHeight="1">
      <c r="A18" s="2" t="n">
        <v>1517</v>
      </c>
      <c r="B18" s="3" t="inlineStr">
        <is>
          <t>의견/의사결정</t>
        </is>
      </c>
      <c r="C18" s="4" t="inlineStr">
        <is>
          <t>on the tip of one's tongue</t>
        </is>
      </c>
      <c r="D18" s="11" t="inlineStr">
        <is>
          <t>생각이 날듯말듯하다</t>
        </is>
      </c>
      <c r="E18" s="11" t="inlineStr">
        <is>
          <t>It's on the tip of my tongue.</t>
        </is>
      </c>
      <c r="F18" s="11" t="inlineStr">
        <is>
          <t>아, 그 뭐였더라?</t>
        </is>
      </c>
      <c r="G18" s="5">
        <f>HYPERLINK("https://www.youtube.com/watch?v=4zErlgs6oqI", "영상 보기 ▶")</f>
        <v/>
      </c>
    </row>
    <row r="19" ht="26" customHeight="1">
      <c r="A19" s="6" t="n">
        <v>1518</v>
      </c>
      <c r="B19" s="7" t="inlineStr">
        <is>
          <t>실전회화/표현</t>
        </is>
      </c>
      <c r="C19" s="8" t="inlineStr">
        <is>
          <t>aim for ~</t>
        </is>
      </c>
      <c r="D19" s="12" t="inlineStr">
        <is>
          <t>를 목표로 삼고 나아가다</t>
        </is>
      </c>
      <c r="E19" s="12" t="inlineStr">
        <is>
          <t>A: What's the time frame for that to happen?</t>
        </is>
      </c>
      <c r="F19" s="12" t="inlineStr">
        <is>
          <t>그렇게 되려면 얼마나 걸릴까요?</t>
        </is>
      </c>
      <c r="G19" s="9">
        <f>HYPERLINK("https://www.youtube.com/watch?v=4zErlgs6oqI", "영상 보기 ▶")</f>
        <v/>
      </c>
    </row>
    <row r="20" ht="26" customHeight="1">
      <c r="A20" s="2" t="n">
        <v>1519</v>
      </c>
      <c r="B20" s="3" t="inlineStr">
        <is>
          <t>실전회화/표현</t>
        </is>
      </c>
      <c r="C20" s="4" t="inlineStr">
        <is>
          <t>adamant</t>
        </is>
      </c>
      <c r="D20" s="11" t="inlineStr">
        <is>
          <t>단호한, 요지부동의</t>
        </is>
      </c>
      <c r="E20" s="11" t="inlineStr">
        <is>
          <t>She's adamant about not getting involved.</t>
        </is>
      </c>
      <c r="F20" s="11" t="inlineStr">
        <is>
          <t>관여하지 않기로 확고하게 마음을 먹은 것 같아.</t>
        </is>
      </c>
      <c r="G20" s="5">
        <f>HYPERLINK("https://www.youtube.com/watch?v=4zErlgs6oqI", "영상 보기 ▶")</f>
        <v/>
      </c>
    </row>
    <row r="21" ht="26" customHeight="1">
      <c r="A21" s="6" t="n">
        <v>1520</v>
      </c>
      <c r="B21" s="7" t="inlineStr">
        <is>
          <t>실전회화/표현</t>
        </is>
      </c>
      <c r="C21" s="8" t="inlineStr">
        <is>
          <t>look at ~</t>
        </is>
      </c>
      <c r="D21" s="12" t="inlineStr">
        <is>
          <t>를 보다, 살펴보다</t>
        </is>
      </c>
      <c r="E21" s="12" t="inlineStr">
        <is>
          <t>Now, let's look at the upsides.</t>
        </is>
      </c>
      <c r="F21" s="12" t="inlineStr">
        <is>
          <t>이제 좋은면들을 살펴보죠.</t>
        </is>
      </c>
      <c r="G21" s="9">
        <f>HYPERLINK("https://www.youtube.com/watch?v=4zErlgs6oqI", "영상 보기 ▶")</f>
        <v/>
      </c>
    </row>
    <row r="22" ht="26" customHeight="1">
      <c r="A22" s="2" t="n">
        <v>1521</v>
      </c>
      <c r="B22" s="3" t="inlineStr">
        <is>
          <t>실전회화/표현</t>
        </is>
      </c>
      <c r="C22" s="4" t="inlineStr">
        <is>
          <t>live paycheck to paycheck</t>
        </is>
      </c>
      <c r="D22" s="11" t="inlineStr">
        <is>
          <t>한 달 벌어 한 달 먹고 살다</t>
        </is>
      </c>
      <c r="E22" s="11" t="inlineStr">
        <is>
          <t>I'm tired of living paycheck to paycheck.</t>
        </is>
      </c>
      <c r="F22" s="11" t="inlineStr">
        <is>
          <t>이렇게 궁상맞게 사는 거 지긋지긋해.</t>
        </is>
      </c>
      <c r="G22" s="5">
        <f>HYPERLINK("https://www.youtube.com/watch?v=4zErlgs6oqI", "영상 보기 ▶")</f>
        <v/>
      </c>
    </row>
    <row r="23" ht="26" customHeight="1">
      <c r="A23" s="6" t="n">
        <v>1522</v>
      </c>
      <c r="B23" s="7" t="inlineStr">
        <is>
          <t>실전회화/표현</t>
        </is>
      </c>
      <c r="C23" s="8" t="inlineStr">
        <is>
          <t>in a nutshell</t>
        </is>
      </c>
      <c r="D23" s="12" t="inlineStr">
        <is>
          <t>아주 간결하게, 한마디로 요약해</t>
        </is>
      </c>
      <c r="E23" s="12" t="inlineStr">
        <is>
          <t>Can you explain it in a nutshell?</t>
        </is>
      </c>
      <c r="F23" s="12" t="inlineStr">
        <is>
          <t>핵심만 간단하게 설명해줄래?</t>
        </is>
      </c>
      <c r="G23" s="9">
        <f>HYPERLINK("https://www.youtube.com/watch?v=4zErlgs6oqI", "영상 보기 ▶")</f>
        <v/>
      </c>
    </row>
    <row r="24" ht="26" customHeight="1">
      <c r="A24" s="2" t="n">
        <v>1523</v>
      </c>
      <c r="B24" s="3" t="inlineStr">
        <is>
          <t>의견/의사결정</t>
        </is>
      </c>
      <c r="C24" s="4" t="inlineStr">
        <is>
          <t>budge</t>
        </is>
      </c>
      <c r="D24" s="11" t="inlineStr">
        <is>
          <t>약간 움직이다, 의견을 바꾸다</t>
        </is>
      </c>
      <c r="E24" s="11" t="inlineStr">
        <is>
          <t>A: Do you think he'll budge?</t>
        </is>
      </c>
      <c r="F24" s="11" t="inlineStr">
        <is>
          <t>그가 생각을 바꿀 것 같아?</t>
        </is>
      </c>
      <c r="G24" s="5">
        <f>HYPERLINK("https://www.youtube.com/watch?v=4zErlgs6oqI", "영상 보기 ▶")</f>
        <v/>
      </c>
    </row>
    <row r="25" ht="26" customHeight="1">
      <c r="A25" s="6" t="n">
        <v>1524</v>
      </c>
      <c r="B25" s="7" t="inlineStr">
        <is>
          <t>실전회화/표현</t>
        </is>
      </c>
      <c r="C25" s="8" t="inlineStr">
        <is>
          <t>I meant to ~</t>
        </is>
      </c>
      <c r="D25" s="12" t="inlineStr">
        <is>
          <t>하려고 했는데</t>
        </is>
      </c>
      <c r="E25" s="12" t="inlineStr">
        <is>
          <t>I meant to email you, but I forgot.</t>
        </is>
      </c>
      <c r="F25" s="12" t="inlineStr">
        <is>
          <t>이메일 보내려 했는데 깜빡해버렸네.</t>
        </is>
      </c>
      <c r="G25" s="9">
        <f>HYPERLINK("https://www.youtube.com/watch?v=4zErlgs6oqI", "영상 보기 ▶")</f>
        <v/>
      </c>
    </row>
    <row r="26" ht="26" customHeight="1">
      <c r="A26" s="2" t="n">
        <v>1525</v>
      </c>
      <c r="B26" s="3" t="inlineStr">
        <is>
          <t>공감/감정</t>
        </is>
      </c>
      <c r="C26" s="4" t="inlineStr">
        <is>
          <t>share (</t>
        </is>
      </c>
      <c r="D26" s="11" t="inlineStr">
        <is>
          <t>감정, 생각을 공유하며) 말하다</t>
        </is>
      </c>
      <c r="E26" s="11" t="inlineStr">
        <is>
          <t>Thank you for sharing.</t>
        </is>
      </c>
      <c r="F26" s="11" t="inlineStr">
        <is>
          <t>말해줘서 고마워.</t>
        </is>
      </c>
      <c r="G26" s="5">
        <f>HYPERLINK("https://www.youtube.com/watch?v=4zErlgs6oqI", "영상 보기 ▶")</f>
        <v/>
      </c>
    </row>
    <row r="27" ht="26" customHeight="1">
      <c r="A27" s="6" t="n">
        <v>1526</v>
      </c>
      <c r="B27" s="7" t="inlineStr">
        <is>
          <t>실전회화/표현</t>
        </is>
      </c>
      <c r="C27" s="8" t="inlineStr">
        <is>
          <t>short list</t>
        </is>
      </c>
      <c r="D27" s="12" t="inlineStr">
        <is>
          <t>최종후보자 명단</t>
        </is>
      </c>
      <c r="E27" s="12" t="inlineStr">
        <is>
          <t>A: I don't know which vendor we should go with.</t>
        </is>
      </c>
      <c r="F27" s="12" t="inlineStr">
        <is>
          <t>어떤 업체를 선택해야할지 모르겠네.</t>
        </is>
      </c>
      <c r="G27" s="9">
        <f>HYPERLINK("https://www.youtube.com/watch?v=4zErlgs6oqI", "영상 보기 ▶")</f>
        <v/>
      </c>
    </row>
    <row r="28" ht="26" customHeight="1">
      <c r="A28" s="2" t="n">
        <v>1527</v>
      </c>
      <c r="B28" s="3" t="inlineStr">
        <is>
          <t>실전회화/표현</t>
        </is>
      </c>
      <c r="C28" s="4" t="inlineStr">
        <is>
          <t>look out for</t>
        </is>
      </c>
      <c r="D28" s="11" t="inlineStr">
        <is>
          <t>조심하다, 지키다</t>
        </is>
      </c>
      <c r="E28" s="11" t="inlineStr">
        <is>
          <t>I'm just looking out for you.</t>
        </is>
      </c>
      <c r="F28" s="11" t="inlineStr">
        <is>
          <t>네게 안 좋은 일이 생길까 걱정돼서 그러는거야.</t>
        </is>
      </c>
      <c r="G28" s="5">
        <f>HYPERLINK("https://www.youtube.com/watch?v=4zErlgs6oqI", "영상 보기 ▶")</f>
        <v/>
      </c>
    </row>
    <row r="29" ht="26" customHeight="1">
      <c r="A29" s="6" t="n">
        <v>1528</v>
      </c>
      <c r="B29" s="7" t="inlineStr">
        <is>
          <t>실전회화/표현</t>
        </is>
      </c>
      <c r="C29" s="8" t="inlineStr">
        <is>
          <t>while</t>
        </is>
      </c>
      <c r="D29" s="12" t="inlineStr">
        <is>
          <t>시간, 노력, 수고</t>
        </is>
      </c>
      <c r="E29" s="12" t="inlineStr">
        <is>
          <t>It'll be worth your while.</t>
        </is>
      </c>
      <c r="F29" s="12" t="inlineStr">
        <is>
          <t>네게 충분히 도움이 될거야.</t>
        </is>
      </c>
      <c r="G29" s="9">
        <f>HYPERLINK("https://www.youtube.com/watch?v=4zErlgs6oqI", "영상 보기 ▶")</f>
        <v/>
      </c>
    </row>
    <row r="30" ht="26" customHeight="1">
      <c r="A30" s="2" t="n">
        <v>1529</v>
      </c>
      <c r="B30" s="3" t="inlineStr">
        <is>
          <t>실전회화/표현</t>
        </is>
      </c>
      <c r="C30" s="4" t="inlineStr">
        <is>
          <t>I can always find/make time for you.</t>
        </is>
      </c>
      <c r="D30" s="11" t="inlineStr">
        <is>
          <t>너를 위해서라면 얼마든지 시간 낼 수 있어</t>
        </is>
      </c>
      <c r="E30" s="11" t="inlineStr">
        <is>
          <t>Thank you for meeting me. - I can always make time for you.</t>
        </is>
      </c>
      <c r="F30" s="11" t="inlineStr">
        <is>
          <t>만나줘서 고마워. - 너한테라면 얼마든지 시간 낼 수 있지.</t>
        </is>
      </c>
      <c r="G30" s="5">
        <f>HYPERLINK("https://www.youtube.com/watch?v=4zErlgs6oqI", "영상 보기 ▶")</f>
        <v/>
      </c>
    </row>
    <row r="31" ht="26" customHeight="1">
      <c r="A31" s="6" t="n">
        <v>1530</v>
      </c>
      <c r="B31" s="7" t="inlineStr">
        <is>
          <t>실전회화/표현</t>
        </is>
      </c>
      <c r="C31" s="8" t="inlineStr">
        <is>
          <t>pep talk</t>
        </is>
      </c>
      <c r="D31" s="12" t="inlineStr">
        <is>
          <t>격려, 응원의 말</t>
        </is>
      </c>
      <c r="E31" s="12" t="inlineStr">
        <is>
          <t>Thank you for the pep talk.</t>
        </is>
      </c>
      <c r="F31" s="12" t="inlineStr">
        <is>
          <t>응원해주셔서 감사해요.</t>
        </is>
      </c>
      <c r="G31" s="9">
        <f>HYPERLINK("https://www.youtube.com/watch?v=4zErlgs6oqI", "영상 보기 ▶")</f>
        <v/>
      </c>
    </row>
    <row r="32" ht="26" customHeight="1">
      <c r="A32" s="2" t="n">
        <v>1531</v>
      </c>
      <c r="B32" s="3" t="inlineStr">
        <is>
          <t>실전회화/표현</t>
        </is>
      </c>
      <c r="C32" s="4" t="inlineStr">
        <is>
          <t>​cut to the chase</t>
        </is>
      </c>
      <c r="D32" s="11" t="inlineStr">
        <is>
          <t>핵심/본론으로 들어가다</t>
        </is>
      </c>
      <c r="E32" s="11" t="inlineStr">
        <is>
          <t>I know you're busy so I'll just cut to the chase.</t>
        </is>
      </c>
      <c r="F32" s="11" t="inlineStr">
        <is>
          <t>바쁘신거 아니 바로 본론으로 들어갈게요.</t>
        </is>
      </c>
      <c r="G32" s="5">
        <f>HYPERLINK("https://www.youtube.com/watch?v=4zErlgs6oqI", "영상 보기 ▶")</f>
        <v/>
      </c>
    </row>
    <row r="33" ht="26" customHeight="1">
      <c r="A33" s="6" t="n">
        <v>1532</v>
      </c>
      <c r="B33" s="7" t="inlineStr">
        <is>
          <t>실전회화/표현</t>
        </is>
      </c>
      <c r="C33" s="8" t="inlineStr">
        <is>
          <t>How was the traffic getting there?</t>
        </is>
      </c>
      <c r="D33" s="12" t="inlineStr">
        <is>
          <t>거기 가는 길에 차는 많이 안 막혔어?</t>
        </is>
      </c>
      <c r="E33" s="12" t="inlineStr">
        <is>
          <t>Welcome! How was the traffic getting there?</t>
        </is>
      </c>
      <c r="F33" s="12" t="inlineStr">
        <is>
          <t>어서 오세요! 오시는 길에 차는 많이 안 막히셨나요?</t>
        </is>
      </c>
      <c r="G33" s="9">
        <f>HYPERLINK("https://www.youtube.com/watch?v=4zErlgs6oqI", "영상 보기 ▶")</f>
        <v/>
      </c>
    </row>
    <row r="34" ht="26" customHeight="1">
      <c r="A34" s="2" t="n">
        <v>1533</v>
      </c>
      <c r="B34" s="3" t="inlineStr">
        <is>
          <t>실전회화/표현</t>
        </is>
      </c>
      <c r="C34" s="4" t="inlineStr">
        <is>
          <t>I'm just a phone call away.</t>
        </is>
      </c>
      <c r="D34" s="11" t="inlineStr">
        <is>
          <t>언제든 연락해.</t>
        </is>
      </c>
      <c r="E34" s="11" t="inlineStr">
        <is>
          <t>If you need anything at all, I'm just a phone call away.</t>
        </is>
      </c>
      <c r="F34" s="11" t="inlineStr">
        <is>
          <t>조금이라도 필요한 일이 있으면 언제든 전화해.</t>
        </is>
      </c>
      <c r="G34" s="5">
        <f>HYPERLINK("https://www.youtube.com/watch?v=4zErlgs6oqI", "영상 보기 ▶")</f>
        <v/>
      </c>
    </row>
    <row r="35" ht="26" customHeight="1">
      <c r="A35" s="6" t="n">
        <v>1534</v>
      </c>
      <c r="B35" s="7" t="inlineStr">
        <is>
          <t>실전회화/표현</t>
        </is>
      </c>
      <c r="C35" s="8" t="inlineStr">
        <is>
          <t>jet-lagged</t>
        </is>
      </c>
      <c r="D35" s="12" t="inlineStr">
        <is>
          <t>시차로 피곤한</t>
        </is>
      </c>
      <c r="E35" s="12" t="inlineStr">
        <is>
          <t>You must be jet-lagged.</t>
        </is>
      </c>
      <c r="F35" s="12" t="inlineStr">
        <is>
          <t>시차 때문에 피곤하시겠어요.</t>
        </is>
      </c>
      <c r="G35" s="9">
        <f>HYPERLINK("https://www.youtube.com/watch?v=4zErlgs6oqI", "영상 보기 ▶")</f>
        <v/>
      </c>
    </row>
    <row r="36" ht="26" customHeight="1">
      <c r="A36" s="2" t="n">
        <v>1535</v>
      </c>
      <c r="B36" s="3" t="inlineStr">
        <is>
          <t>실전회화/표현</t>
        </is>
      </c>
      <c r="C36" s="4" t="inlineStr">
        <is>
          <t>I can imagine.</t>
        </is>
      </c>
      <c r="D36" s="11" t="inlineStr">
        <is>
          <t>무슨 말인지 알 것 같아.</t>
        </is>
      </c>
      <c r="E36" s="11" t="inlineStr">
        <is>
          <t>A: Ted was disapponted that the deal fell through.</t>
        </is>
      </c>
      <c r="F36" s="11" t="inlineStr">
        <is>
          <t>거래가 무산되어 Ted가 실망했어요.</t>
        </is>
      </c>
      <c r="G36" s="5">
        <f>HYPERLINK("https://www.youtube.com/watch?v=4zErlgs6oqI", "영상 보기 ▶")</f>
        <v/>
      </c>
    </row>
    <row r="37" ht="26" customHeight="1">
      <c r="A37" s="6" t="n">
        <v>1536</v>
      </c>
      <c r="B37" s="7" t="inlineStr">
        <is>
          <t>실전회화/표현</t>
        </is>
      </c>
      <c r="C37" s="8" t="inlineStr">
        <is>
          <t>credit</t>
        </is>
      </c>
      <c r="D37" s="12" t="inlineStr">
        <is>
          <t>칭찬, 공</t>
        </is>
      </c>
      <c r="E37" s="12" t="inlineStr">
        <is>
          <t>I can't take all the credit. It was a team effort.</t>
        </is>
      </c>
      <c r="F37" s="12" t="inlineStr">
        <is>
          <t>저 혼자만의 성과가 아니에요. 팀 전체가 노력했기 때문이에요.</t>
        </is>
      </c>
      <c r="G37" s="9">
        <f>HYPERLINK("https://www.youtube.com/watch?v=4zErlgs6oqI", "영상 보기 ▶")</f>
        <v/>
      </c>
    </row>
    <row r="38" ht="26" customHeight="1">
      <c r="A38" s="2" t="n">
        <v>1537</v>
      </c>
      <c r="B38" s="3" t="inlineStr">
        <is>
          <t>실전회화/표현</t>
        </is>
      </c>
      <c r="C38" s="4" t="inlineStr">
        <is>
          <t>I see the resemblance.</t>
        </is>
      </c>
      <c r="D38" s="11" t="inlineStr">
        <is>
          <t>정말 (가족/부모를) 쏙 빼닮았네요, 닮은 구석이 보이네요</t>
        </is>
      </c>
      <c r="E38" s="11" t="inlineStr">
        <is>
          <t>Looking at your son, I see the resemblance.</t>
        </is>
      </c>
      <c r="F38" s="11" t="inlineStr">
        <is>
          <t>아드님을 보니 정말 부모님을 쏙 빼닮았네요.</t>
        </is>
      </c>
      <c r="G38" s="5">
        <f>HYPERLINK("https://www.youtube.com/watch?v=4zErlgs6oqI", "영상 보기 ▶")</f>
        <v/>
      </c>
    </row>
    <row r="39" ht="26" customHeight="1">
      <c r="A39" s="6" t="n">
        <v>1538</v>
      </c>
      <c r="B39" s="7" t="inlineStr">
        <is>
          <t>실전회화/표현</t>
        </is>
      </c>
      <c r="C39" s="8" t="inlineStr">
        <is>
          <t>They grow up so fast.</t>
        </is>
      </c>
      <c r="D39" s="12" t="inlineStr">
        <is>
          <t>아이들이 정말 눈 깜짝할 사이에 쑥쑥 자라네요</t>
        </is>
      </c>
      <c r="E39" s="12" t="inlineStr">
        <is>
          <t>I can't believe she's in college; they grow up so fast.</t>
        </is>
      </c>
      <c r="F39" s="12" t="inlineStr">
        <is>
          <t>벌써 대학생이라니 믿기지 않아, 아이들은 정말 눈 깜짝할 사이에 자라.</t>
        </is>
      </c>
      <c r="G39" s="9">
        <f>HYPERLINK("https://www.youtube.com/watch?v=4zErlgs6oqI", "영상 보기 ▶")</f>
        <v/>
      </c>
    </row>
    <row r="40" ht="26" customHeight="1">
      <c r="A40" s="2" t="n">
        <v>1539</v>
      </c>
      <c r="B40" s="3" t="inlineStr">
        <is>
          <t>실전회화/표현</t>
        </is>
      </c>
      <c r="C40" s="4" t="inlineStr">
        <is>
          <t>I wish I could ~</t>
        </is>
      </c>
      <c r="D40" s="11" t="inlineStr">
        <is>
          <t>그럴 수 있으면 좋겠는데</t>
        </is>
      </c>
      <c r="E40" s="11" t="inlineStr">
        <is>
          <t>I wish I could help you, but my hands are tied.</t>
        </is>
      </c>
      <c r="F40" s="11" t="inlineStr">
        <is>
          <t>나도 돕고 싶지만, 지금은 너무 바빠서 어쩔 수가 없어.</t>
        </is>
      </c>
      <c r="G40" s="5">
        <f>HYPERLINK("https://www.youtube.com/watch?v=4zErlgs6oqI", "영상 보기 ▶")</f>
        <v/>
      </c>
    </row>
    <row r="41" ht="26" customHeight="1">
      <c r="A41" s="6" t="n">
        <v>1540</v>
      </c>
      <c r="B41" s="7" t="inlineStr">
        <is>
          <t>실전회화/표현</t>
        </is>
      </c>
      <c r="C41" s="8" t="inlineStr">
        <is>
          <t>regards</t>
        </is>
      </c>
      <c r="D41" s="12" t="inlineStr">
        <is>
          <t>안부</t>
        </is>
      </c>
      <c r="E41" s="12" t="inlineStr">
        <is>
          <t>A: Where'd Ted?</t>
        </is>
      </c>
      <c r="F41" s="12" t="inlineStr">
        <is>
          <t>Ted는 어딨어?</t>
        </is>
      </c>
      <c r="G41" s="9">
        <f>HYPERLINK("https://www.youtube.com/watch?v=4zErlgs6oqI", "영상 보기 ▶")</f>
        <v/>
      </c>
    </row>
    <row r="42" ht="26" customHeight="1">
      <c r="A42" s="2" t="n">
        <v>1541</v>
      </c>
      <c r="B42" s="3" t="inlineStr">
        <is>
          <t>실전회화/표현</t>
        </is>
      </c>
      <c r="C42" s="4" t="inlineStr">
        <is>
          <t>hard deadline</t>
        </is>
      </c>
      <c r="D42" s="11" t="inlineStr">
        <is>
          <t>꼭 지켜야 하는 마감기한</t>
        </is>
      </c>
      <c r="E42" s="11" t="inlineStr">
        <is>
          <t>A: Is that a hard deadline?</t>
        </is>
      </c>
      <c r="F42" s="11" t="inlineStr">
        <is>
          <t>그거 조정 불가능한 마감기한이야?</t>
        </is>
      </c>
      <c r="G42" s="5">
        <f>HYPERLINK("https://www.youtube.com/watch?v=4zErlgs6oqI", "영상 보기 ▶")</f>
        <v/>
      </c>
    </row>
    <row r="43" ht="26" customHeight="1">
      <c r="A43" s="6" t="n">
        <v>1542</v>
      </c>
      <c r="B43" s="7" t="inlineStr">
        <is>
          <t>실전회화/표현</t>
        </is>
      </c>
      <c r="C43" s="8" t="inlineStr">
        <is>
          <t>(at) any second (now)</t>
        </is>
      </c>
      <c r="D43" s="12" t="inlineStr">
        <is>
          <t>곧, 언제든</t>
        </is>
      </c>
      <c r="E43" s="12" t="inlineStr">
        <is>
          <t>She should be here any minute.</t>
        </is>
      </c>
      <c r="F43" s="12" t="inlineStr">
        <is>
          <t>곧 오실거에요.</t>
        </is>
      </c>
      <c r="G43" s="9">
        <f>HYPERLINK("https://www.youtube.com/watch?v=4zErlgs6oqI", "영상 보기 ▶")</f>
        <v/>
      </c>
    </row>
    <row r="44" ht="26" customHeight="1">
      <c r="A44" s="2" t="n">
        <v>1543</v>
      </c>
      <c r="B44" s="3" t="inlineStr">
        <is>
          <t>실전회화/표현</t>
        </is>
      </c>
      <c r="C44" s="4" t="inlineStr">
        <is>
          <t>All yours.</t>
        </is>
      </c>
      <c r="D44" s="11" t="inlineStr">
        <is>
          <t>편히 써, 편히 해.</t>
        </is>
      </c>
      <c r="E44" s="11" t="inlineStr">
        <is>
          <t>Yeah, all yours.</t>
        </is>
      </c>
      <c r="F44" s="11" t="inlineStr">
        <is>
          <t>편히 봐.</t>
        </is>
      </c>
      <c r="G44" s="5">
        <f>HYPERLINK("https://www.youtube.com/watch?v=4zErlgs6oqI", "영상 보기 ▶")</f>
        <v/>
      </c>
    </row>
    <row r="45" ht="26" customHeight="1">
      <c r="A45" s="6" t="n">
        <v>1544</v>
      </c>
      <c r="B45" s="7" t="inlineStr">
        <is>
          <t>실전회화/표현</t>
        </is>
      </c>
      <c r="C45" s="8" t="inlineStr">
        <is>
          <t>shortcut</t>
        </is>
      </c>
      <c r="D45" s="12" t="inlineStr">
        <is>
          <t>지름길, 쉬운 방법, 꼼수</t>
        </is>
      </c>
      <c r="E45" s="12" t="inlineStr">
        <is>
          <t>It's a shortcut, but it'll save us a lot of legwork.</t>
        </is>
      </c>
      <c r="F45" s="12" t="inlineStr">
        <is>
          <t>꼼수이긴 하지만, 수고를 많이 덜어줄거야.</t>
        </is>
      </c>
      <c r="G45" s="9">
        <f>HYPERLINK("https://www.youtube.com/watch?v=4zErlgs6oqI", "영상 보기 ▶")</f>
        <v/>
      </c>
    </row>
    <row r="46" ht="26" customHeight="1">
      <c r="A46" s="2" t="n">
        <v>1545</v>
      </c>
      <c r="B46" s="3" t="inlineStr">
        <is>
          <t>실전회화/표현</t>
        </is>
      </c>
      <c r="C46" s="4" t="inlineStr">
        <is>
          <t>get off work</t>
        </is>
      </c>
      <c r="D46" s="11" t="inlineStr">
        <is>
          <t>퇴근하다</t>
        </is>
      </c>
      <c r="E46" s="11" t="inlineStr">
        <is>
          <t>What time do you get off?</t>
        </is>
      </c>
      <c r="F46" s="11" t="inlineStr">
        <is>
          <t>몇시에 퇴근해?</t>
        </is>
      </c>
      <c r="G46" s="5">
        <f>HYPERLINK("https://www.youtube.com/watch?v=4zErlgs6oqI", "영상 보기 ▶")</f>
        <v/>
      </c>
    </row>
    <row r="47" ht="26" customHeight="1">
      <c r="A47" s="6" t="n">
        <v>1546</v>
      </c>
      <c r="B47" s="7" t="inlineStr">
        <is>
          <t>실전회화/표현</t>
        </is>
      </c>
      <c r="C47" s="8" t="inlineStr">
        <is>
          <t>get off to a good start</t>
        </is>
      </c>
      <c r="D47" s="12" t="inlineStr">
        <is>
          <t>순조롭게 출발/시작하다</t>
        </is>
      </c>
      <c r="E47" s="12" t="inlineStr">
        <is>
          <t>I hope your day got off to a good start.</t>
        </is>
      </c>
      <c r="F47" s="12" t="inlineStr">
        <is>
          <t>오늘 하루 잘 시작했길 바라.</t>
        </is>
      </c>
      <c r="G47" s="9">
        <f>HYPERLINK("https://www.youtube.com/watch?v=4zErlgs6oqI", "영상 보기 ▶")</f>
        <v/>
      </c>
    </row>
    <row r="48" ht="26" customHeight="1">
      <c r="A48" s="2" t="n">
        <v>1547</v>
      </c>
      <c r="B48" s="3" t="inlineStr">
        <is>
          <t>실전회화/표현</t>
        </is>
      </c>
      <c r="C48" s="4" t="inlineStr">
        <is>
          <t>momentum</t>
        </is>
      </c>
      <c r="D48" s="11" t="inlineStr">
        <is>
          <t>탄력, 가속도</t>
        </is>
      </c>
      <c r="E48" s="11" t="inlineStr">
        <is>
          <t>A: How's your week going so far?</t>
        </is>
      </c>
      <c r="F48" s="11" t="inlineStr">
        <is>
          <t>이번 한 주 어떻게 잘 보내고 있어?</t>
        </is>
      </c>
      <c r="G48" s="5">
        <f>HYPERLINK("https://www.youtube.com/watch?v=4zErlgs6oqI", "영상 보기 ▶")</f>
        <v/>
      </c>
    </row>
    <row r="49" ht="26" customHeight="1">
      <c r="A49" s="6" t="n">
        <v>1548</v>
      </c>
      <c r="B49" s="7" t="inlineStr">
        <is>
          <t>실전회화/표현</t>
        </is>
      </c>
      <c r="C49" s="8" t="inlineStr">
        <is>
          <t>get off to a bad/rough/rocky start</t>
        </is>
      </c>
      <c r="D49" s="12" t="inlineStr">
        <is>
          <t>힘들게 출발하다</t>
        </is>
      </c>
      <c r="E49" s="12" t="inlineStr">
        <is>
          <t>We got off to a rocky start.</t>
        </is>
      </c>
      <c r="F49" s="12" t="inlineStr">
        <is>
          <t>시작부터 삐그덕거렸어.</t>
        </is>
      </c>
      <c r="G49" s="9">
        <f>HYPERLINK("https://www.youtube.com/watch?v=4zErlgs6oqI", "영상 보기 ▶")</f>
        <v/>
      </c>
    </row>
    <row r="50" ht="26" customHeight="1">
      <c r="A50" s="2" t="n">
        <v>1549</v>
      </c>
      <c r="B50" s="3" t="inlineStr">
        <is>
          <t>실전회화/표현</t>
        </is>
      </c>
      <c r="C50" s="4" t="inlineStr">
        <is>
          <t>I saved the best for last.</t>
        </is>
      </c>
      <c r="D50" s="11" t="inlineStr">
        <is>
          <t>가장 좋은 걸 마지막을 위해 아껴뒀지</t>
        </is>
      </c>
      <c r="E50" s="11" t="inlineStr">
        <is>
          <t>Here is our surprise finale; I saved the best for last.</t>
        </is>
      </c>
      <c r="F50" s="11" t="inlineStr">
        <is>
          <t>자, 깜짝 피날레입니다. 가장 좋은 걸 마지막을 위해 아껴뒀죠.</t>
        </is>
      </c>
      <c r="G50" s="5">
        <f>HYPERLINK("https://www.youtube.com/watch?v=4zErlgs6oqI", "영상 보기 ▶")</f>
        <v/>
      </c>
    </row>
    <row r="51" ht="26" customHeight="1">
      <c r="A51" s="6" t="n">
        <v>1550</v>
      </c>
      <c r="B51" s="7" t="inlineStr">
        <is>
          <t>실전회화/표현</t>
        </is>
      </c>
      <c r="C51" s="8" t="inlineStr">
        <is>
          <t>last but not least</t>
        </is>
      </c>
      <c r="D51" s="12" t="inlineStr">
        <is>
          <t>마지막으로, (하지만 앞서 언급한 것들만큼이나 중요한)</t>
        </is>
      </c>
      <c r="E51" s="12" t="inlineStr">
        <is>
          <t>Last but not least, I want to thank everyone for coming.</t>
        </is>
      </c>
      <c r="F51" s="12" t="inlineStr">
        <is>
          <t>마지막으로, 오늘 자리를 빛내주신 모든 분들께 진심으로 감사드립니다.</t>
        </is>
      </c>
      <c r="G51" s="9">
        <f>HYPERLINK("https://www.youtube.com/watch?v=4zErlgs6oqI", "영상 보기 ▶")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8" customWidth="1" min="3" max="3"/>
    <col width="44" customWidth="1" min="4" max="4"/>
    <col width="75" customWidth="1" min="5" max="5"/>
    <col width="60.5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1551</v>
      </c>
      <c r="B2" s="3" t="inlineStr">
        <is>
          <t>실전회화/표현</t>
        </is>
      </c>
      <c r="C2" s="4" t="inlineStr">
        <is>
          <t>if you haven’t already</t>
        </is>
      </c>
      <c r="D2" s="11" t="inlineStr">
        <is>
          <t>아직 안 하셨다면</t>
        </is>
      </c>
      <c r="E2" s="11" t="inlineStr">
        <is>
          <t>If you haven’t already, make sure to add it to your calender.</t>
        </is>
      </c>
      <c r="F2" s="11" t="inlineStr">
        <is>
          <t>아직 안 하셨다면, 꼭 캘린더에 일정을 추가해두세요.</t>
        </is>
      </c>
      <c r="G2" s="5">
        <f>HYPERLINK("https://www.youtube.com/watch?v=U7lavOJxf_I", "영상 보기 ▶")</f>
        <v/>
      </c>
    </row>
    <row r="3" ht="26" customHeight="1">
      <c r="A3" s="6" t="n">
        <v>1552</v>
      </c>
      <c r="B3" s="7" t="inlineStr">
        <is>
          <t>실전회화/표현</t>
        </is>
      </c>
      <c r="C3" s="8" t="inlineStr">
        <is>
          <t>speak for itself</t>
        </is>
      </c>
      <c r="D3" s="12" t="inlineStr">
        <is>
          <t>자명하다, 분명하다</t>
        </is>
      </c>
      <c r="E3" s="12" t="inlineStr">
        <is>
          <t>Your work speaks for itself.</t>
        </is>
      </c>
      <c r="F3" s="12" t="inlineStr">
        <is>
          <t>네 실력이 이미 말해주잖아.</t>
        </is>
      </c>
      <c r="G3" s="9">
        <f>HYPERLINK("https://www.youtube.com/watch?v=U7lavOJxf_I", "영상 보기 ▶")</f>
        <v/>
      </c>
    </row>
    <row r="4" ht="26" customHeight="1">
      <c r="A4" s="2" t="n">
        <v>1553</v>
      </c>
      <c r="B4" s="3" t="inlineStr">
        <is>
          <t>실전회화/표현</t>
        </is>
      </c>
      <c r="C4" s="4" t="inlineStr">
        <is>
          <t>embrace</t>
        </is>
      </c>
      <c r="D4" s="11" t="inlineStr">
        <is>
          <t>받아들이다, 포용하다</t>
        </is>
      </c>
      <c r="E4" s="11" t="inlineStr">
        <is>
          <t>Aging is inevitable. We should just embrace it.</t>
        </is>
      </c>
      <c r="F4" s="11" t="inlineStr">
        <is>
          <t>노화는 피할 수 없어. 그냥 받아들여야지.</t>
        </is>
      </c>
      <c r="G4" s="5">
        <f>HYPERLINK("https://www.youtube.com/watch?v=U7lavOJxf_I", "영상 보기 ▶")</f>
        <v/>
      </c>
    </row>
    <row r="5" ht="26" customHeight="1">
      <c r="A5" s="6" t="n">
        <v>1554</v>
      </c>
      <c r="B5" s="7" t="inlineStr">
        <is>
          <t>실전회화/표현</t>
        </is>
      </c>
      <c r="C5" s="8" t="inlineStr">
        <is>
          <t>in no time</t>
        </is>
      </c>
      <c r="D5" s="12" t="inlineStr">
        <is>
          <t>곧, 순식간에</t>
        </is>
      </c>
      <c r="E5" s="12" t="inlineStr">
        <is>
          <t>There’s no traffic. I’ll be there in no time.</t>
        </is>
      </c>
      <c r="F5" s="12" t="inlineStr">
        <is>
          <t>차가 안 막혀서 곧 도착할거야.</t>
        </is>
      </c>
      <c r="G5" s="9">
        <f>HYPERLINK("https://www.youtube.com/watch?v=U7lavOJxf_I", "영상 보기 ▶")</f>
        <v/>
      </c>
    </row>
    <row r="6" ht="26" customHeight="1">
      <c r="A6" s="2" t="n">
        <v>1555</v>
      </c>
      <c r="B6" s="3" t="inlineStr">
        <is>
          <t>실전회화/표현</t>
        </is>
      </c>
      <c r="C6" s="4" t="inlineStr">
        <is>
          <t>expedite</t>
        </is>
      </c>
      <c r="D6" s="11" t="inlineStr">
        <is>
          <t>더 신속히 처리하다</t>
        </is>
      </c>
      <c r="E6" s="11" t="inlineStr">
        <is>
          <t>We’re running out of time. We have to expedite the process.</t>
        </is>
      </c>
      <c r="F6" s="11" t="inlineStr">
        <is>
          <t>시간이 얼마남지 않아서 신속하게 처리해야 해.</t>
        </is>
      </c>
      <c r="G6" s="5">
        <f>HYPERLINK("https://www.youtube.com/watch?v=U7lavOJxf_I", "영상 보기 ▶")</f>
        <v/>
      </c>
    </row>
    <row r="7" ht="26" customHeight="1">
      <c r="A7" s="6" t="n">
        <v>1556</v>
      </c>
      <c r="B7" s="7" t="inlineStr">
        <is>
          <t>실전회화/표현</t>
        </is>
      </c>
      <c r="C7" s="8" t="inlineStr">
        <is>
          <t>brush up</t>
        </is>
      </c>
      <c r="D7" s="12" t="inlineStr">
        <is>
          <t>다시 공부하다, 다듬다</t>
        </is>
      </c>
      <c r="E7" s="12" t="inlineStr">
        <is>
          <t>We have a big client visiting from New York. I really need to brush up on my English.</t>
        </is>
      </c>
      <c r="F7" s="12" t="inlineStr">
        <is>
          <t>뉴욕에서 정말 중요한 고객이 오셔서, 영어 실력을 다듬어야해.</t>
        </is>
      </c>
      <c r="G7" s="9">
        <f>HYPERLINK("https://www.youtube.com/watch?v=U7lavOJxf_I", "영상 보기 ▶")</f>
        <v/>
      </c>
    </row>
    <row r="8" ht="26" customHeight="1">
      <c r="A8" s="2" t="n">
        <v>1557</v>
      </c>
      <c r="B8" s="3" t="inlineStr">
        <is>
          <t>비즈니스/업무</t>
        </is>
      </c>
      <c r="C8" s="4" t="inlineStr">
        <is>
          <t>work around one’s schedule ~</t>
        </is>
      </c>
      <c r="D8" s="11" t="inlineStr">
        <is>
          <t>의 일정에 맞추다</t>
        </is>
      </c>
      <c r="E8" s="11" t="inlineStr">
        <is>
          <t>Let us know when it’s convenient for you. We’ll work around your schedule.</t>
        </is>
      </c>
      <c r="F8" s="11" t="inlineStr">
        <is>
          <t>편하신 시간을 말씀주세요, 일정에 맞추도록 할게요.</t>
        </is>
      </c>
      <c r="G8" s="5">
        <f>HYPERLINK("https://www.youtube.com/watch?v=U7lavOJxf_I", "영상 보기 ▶")</f>
        <v/>
      </c>
    </row>
    <row r="9" ht="26" customHeight="1">
      <c r="A9" s="6" t="n">
        <v>1558</v>
      </c>
      <c r="B9" s="7" t="inlineStr">
        <is>
          <t>실전회화/표현</t>
        </is>
      </c>
      <c r="C9" s="8" t="inlineStr">
        <is>
          <t>purview</t>
        </is>
      </c>
      <c r="D9" s="12" t="inlineStr">
        <is>
          <t>범위, 영역, 권한</t>
        </is>
      </c>
      <c r="E9" s="12" t="inlineStr">
        <is>
          <t>I’m sorry, but that’s not in my purview.</t>
        </is>
      </c>
      <c r="F9" s="12" t="inlineStr">
        <is>
          <t>죄송하지만 그건 제 권한이 아니라서요.</t>
        </is>
      </c>
      <c r="G9" s="9">
        <f>HYPERLINK("https://www.youtube.com/watch?v=U7lavOJxf_I", "영상 보기 ▶")</f>
        <v/>
      </c>
    </row>
    <row r="10" ht="26" customHeight="1">
      <c r="A10" s="2" t="n">
        <v>1559</v>
      </c>
      <c r="B10" s="3" t="inlineStr">
        <is>
          <t>실전회화/표현</t>
        </is>
      </c>
      <c r="C10" s="4" t="inlineStr">
        <is>
          <t>area of expertise</t>
        </is>
      </c>
      <c r="D10" s="11" t="inlineStr">
        <is>
          <t>전문 분야</t>
        </is>
      </c>
      <c r="E10" s="11" t="inlineStr">
        <is>
          <t>That’s not my area of expertise.</t>
        </is>
      </c>
      <c r="F10" s="11" t="inlineStr">
        <is>
          <t>그건 제 전문 분야가 아니라서요.</t>
        </is>
      </c>
      <c r="G10" s="5">
        <f>HYPERLINK("https://www.youtube.com/watch?v=U7lavOJxf_I", "영상 보기 ▶")</f>
        <v/>
      </c>
    </row>
    <row r="11" ht="26" customHeight="1">
      <c r="A11" s="6" t="n">
        <v>1560</v>
      </c>
      <c r="B11" s="7" t="inlineStr">
        <is>
          <t>실전회화/표현</t>
        </is>
      </c>
      <c r="C11" s="8" t="inlineStr">
        <is>
          <t>Are you with me?</t>
        </is>
      </c>
      <c r="D11" s="12" t="inlineStr">
        <is>
          <t>내 말 듣고 있지?</t>
        </is>
      </c>
      <c r="E11" s="12" t="inlineStr">
        <is>
          <t>A: Are you with us?</t>
        </is>
      </c>
      <c r="F11" s="12" t="inlineStr">
        <is>
          <t>지금 집중하고 있는거지?</t>
        </is>
      </c>
      <c r="G11" s="9">
        <f>HYPERLINK("https://www.youtube.com/watch?v=U7lavOJxf_I", "영상 보기 ▶")</f>
        <v/>
      </c>
    </row>
    <row r="12" ht="26" customHeight="1">
      <c r="A12" s="2" t="n">
        <v>1561</v>
      </c>
      <c r="B12" s="3" t="inlineStr">
        <is>
          <t>공감/감정</t>
        </is>
      </c>
      <c r="C12" s="4" t="inlineStr">
        <is>
          <t>Are you with me?</t>
        </is>
      </c>
      <c r="D12" s="11" t="inlineStr">
        <is>
          <t>잘 이해하고 있지?</t>
        </is>
      </c>
      <c r="E12" s="11" t="inlineStr">
        <is>
          <t>A: Are you with me?</t>
        </is>
      </c>
      <c r="F12" s="11" t="inlineStr">
        <is>
          <t>문제없이 잘 따라오고 있으시죠?</t>
        </is>
      </c>
      <c r="G12" s="5">
        <f>HYPERLINK("https://www.youtube.com/watch?v=U7lavOJxf_I", "영상 보기 ▶")</f>
        <v/>
      </c>
    </row>
    <row r="13" ht="26" customHeight="1">
      <c r="A13" s="6" t="n">
        <v>1562</v>
      </c>
      <c r="B13" s="7" t="inlineStr">
        <is>
          <t>실전회화/표현</t>
        </is>
      </c>
      <c r="C13" s="8" t="inlineStr">
        <is>
          <t>Are you with me?</t>
        </is>
      </c>
      <c r="D13" s="12" t="inlineStr">
        <is>
          <t>동의 하시죠?</t>
        </is>
      </c>
      <c r="E13" s="12" t="inlineStr">
        <is>
          <t>A: So, are you with us?</t>
        </is>
      </c>
      <c r="F13" s="12" t="inlineStr">
        <is>
          <t>저희와 함께 하시는 거 맞죠?</t>
        </is>
      </c>
      <c r="G13" s="9">
        <f>HYPERLINK("https://www.youtube.com/watch?v=U7lavOJxf_I", "영상 보기 ▶")</f>
        <v/>
      </c>
    </row>
    <row r="14" ht="26" customHeight="1">
      <c r="A14" s="2" t="n">
        <v>1563</v>
      </c>
      <c r="B14" s="3" t="inlineStr">
        <is>
          <t>실전회화/표현</t>
        </is>
      </c>
      <c r="C14" s="4" t="inlineStr">
        <is>
          <t>out of practice</t>
        </is>
      </c>
      <c r="D14" s="11" t="inlineStr">
        <is>
          <t>연습 부족으로 서툰, 오랜만에 해서 실력이 떨어진</t>
        </is>
      </c>
      <c r="E14" s="11" t="inlineStr">
        <is>
          <t>I need to brush up on my presentation skills. I’m out of practice.</t>
        </is>
      </c>
      <c r="F14" s="11" t="inlineStr">
        <is>
          <t>발표 실력을 좀 다듬어야 해. 한지 오래돼서.</t>
        </is>
      </c>
      <c r="G14" s="5">
        <f>HYPERLINK("https://www.youtube.com/watch?v=U7lavOJxf_I", "영상 보기 ▶")</f>
        <v/>
      </c>
    </row>
    <row r="15" ht="26" customHeight="1">
      <c r="A15" s="6" t="n">
        <v>1564</v>
      </c>
      <c r="B15" s="7" t="inlineStr">
        <is>
          <t>실전회화/표현</t>
        </is>
      </c>
      <c r="C15" s="8" t="inlineStr">
        <is>
          <t>rusty</t>
        </is>
      </c>
      <c r="D15" s="12" t="inlineStr">
        <is>
          <t>실력이 녹슨, 예전 같지 않은</t>
        </is>
      </c>
      <c r="E15" s="12" t="inlineStr">
        <is>
          <t>My English is a bit rusty, so please bear with me.</t>
        </is>
      </c>
      <c r="F15" s="12" t="inlineStr">
        <is>
          <t>제 영어 실력이 예전같지 않아서, 양해 부탁드려요.</t>
        </is>
      </c>
      <c r="G15" s="9">
        <f>HYPERLINK("https://www.youtube.com/watch?v=U7lavOJxf_I", "영상 보기 ▶")</f>
        <v/>
      </c>
    </row>
    <row r="16" ht="26" customHeight="1">
      <c r="A16" s="2" t="n">
        <v>1565</v>
      </c>
      <c r="B16" s="3" t="inlineStr">
        <is>
          <t>실전회화/표현</t>
        </is>
      </c>
      <c r="C16" s="4" t="inlineStr">
        <is>
          <t>uncalled for</t>
        </is>
      </c>
      <c r="D16" s="11" t="inlineStr">
        <is>
          <t>부적절한, 부당한</t>
        </is>
      </c>
      <c r="E16" s="11" t="inlineStr">
        <is>
          <t>Come on, that was uncalled for.</t>
        </is>
      </c>
      <c r="F16" s="11" t="inlineStr">
        <is>
          <t>에이, 그건 좀 너무 했다.</t>
        </is>
      </c>
      <c r="G16" s="5">
        <f>HYPERLINK("https://www.youtube.com/watch?v=U7lavOJxf_I", "영상 보기 ▶")</f>
        <v/>
      </c>
    </row>
    <row r="17" ht="26" customHeight="1">
      <c r="A17" s="6" t="n">
        <v>1566</v>
      </c>
      <c r="B17" s="7" t="inlineStr">
        <is>
          <t>의견/의사결정</t>
        </is>
      </c>
      <c r="C17" s="8" t="inlineStr">
        <is>
          <t>dissuade (~</t>
        </is>
      </c>
      <c r="D17" s="12" t="inlineStr">
        <is>
          <t>하지 않도록) 설득하다, 만류하다</t>
        </is>
      </c>
      <c r="E17" s="12" t="inlineStr">
        <is>
          <t>I’ll try to dissuade him.</t>
        </is>
      </c>
      <c r="F17" s="12" t="inlineStr">
        <is>
          <t>그를 말려볼게.</t>
        </is>
      </c>
      <c r="G17" s="9">
        <f>HYPERLINK("https://www.youtube.com/watch?v=U7lavOJxf_I", "영상 보기 ▶")</f>
        <v/>
      </c>
    </row>
    <row r="18" ht="26" customHeight="1">
      <c r="A18" s="2" t="n">
        <v>1567</v>
      </c>
      <c r="B18" s="3" t="inlineStr">
        <is>
          <t>실전회화/표현</t>
        </is>
      </c>
      <c r="C18" s="4" t="inlineStr">
        <is>
          <t>contagious</t>
        </is>
      </c>
      <c r="D18" s="11" t="inlineStr">
        <is>
          <t>전염되는, 전염성의</t>
        </is>
      </c>
      <c r="E18" s="11" t="inlineStr">
        <is>
          <t>I’m not contagious anymore.</t>
        </is>
      </c>
      <c r="F18" s="11" t="inlineStr">
        <is>
          <t>이제 옮기는 단계는 지났어.</t>
        </is>
      </c>
      <c r="G18" s="5">
        <f>HYPERLINK("https://www.youtube.com/watch?v=U7lavOJxf_I", "영상 보기 ▶")</f>
        <v/>
      </c>
    </row>
    <row r="19" ht="26" customHeight="1">
      <c r="A19" s="6" t="n">
        <v>1568</v>
      </c>
      <c r="B19" s="7" t="inlineStr">
        <is>
          <t>실전회화/표현</t>
        </is>
      </c>
      <c r="C19" s="8" t="inlineStr">
        <is>
          <t>take off</t>
        </is>
      </c>
      <c r="D19" s="12" t="inlineStr">
        <is>
          <t>떠나다</t>
        </is>
      </c>
      <c r="E19" s="12" t="inlineStr">
        <is>
          <t>Are you taking off?</t>
        </is>
      </c>
      <c r="F19" s="12" t="inlineStr">
        <is>
          <t>지금 가려고?</t>
        </is>
      </c>
      <c r="G19" s="9">
        <f>HYPERLINK("https://www.youtube.com/watch?v=U7lavOJxf_I", "영상 보기 ▶")</f>
        <v/>
      </c>
    </row>
    <row r="20" ht="26" customHeight="1">
      <c r="A20" s="2" t="n">
        <v>1569</v>
      </c>
      <c r="B20" s="3" t="inlineStr">
        <is>
          <t>실전회화/표현</t>
        </is>
      </c>
      <c r="C20" s="4" t="inlineStr">
        <is>
          <t>go a long way</t>
        </is>
      </c>
      <c r="D20" s="11" t="inlineStr">
        <is>
          <t>크게 도움이 되다</t>
        </is>
      </c>
      <c r="E20" s="11" t="inlineStr">
        <is>
          <t>A: Do you think I should apologize?</t>
        </is>
      </c>
      <c r="F20" s="11" t="inlineStr">
        <is>
          <t>내가 사과하는게 좋겠다고 생각해?</t>
        </is>
      </c>
      <c r="G20" s="5">
        <f>HYPERLINK("https://www.youtube.com/watch?v=U7lavOJxf_I", "영상 보기 ▶")</f>
        <v/>
      </c>
    </row>
    <row r="21" ht="26" customHeight="1">
      <c r="A21" s="6" t="n">
        <v>1570</v>
      </c>
      <c r="B21" s="7" t="inlineStr">
        <is>
          <t>의견/의사결정</t>
        </is>
      </c>
      <c r="C21" s="8" t="inlineStr">
        <is>
          <t>convincing</t>
        </is>
      </c>
      <c r="D21" s="12" t="inlineStr">
        <is>
          <t>설득력 있는, 수긍이 가는</t>
        </is>
      </c>
      <c r="E21" s="12" t="inlineStr">
        <is>
          <t>That's convincing.</t>
        </is>
      </c>
      <c r="F21" s="12" t="inlineStr">
        <is>
          <t>그럴싸한데.</t>
        </is>
      </c>
      <c r="G21" s="9">
        <f>HYPERLINK("https://www.youtube.com/watch?v=U7lavOJxf_I", "영상 보기 ▶")</f>
        <v/>
      </c>
    </row>
    <row r="22" ht="26" customHeight="1">
      <c r="A22" s="2" t="n">
        <v>1571</v>
      </c>
      <c r="B22" s="3" t="inlineStr">
        <is>
          <t>실전회화/표현</t>
        </is>
      </c>
      <c r="C22" s="4" t="inlineStr">
        <is>
          <t>This calls for a celebration!</t>
        </is>
      </c>
      <c r="D22" s="11" t="inlineStr">
        <is>
          <t>축하할 일인걸!</t>
        </is>
      </c>
      <c r="E22" s="11" t="inlineStr">
        <is>
          <t>A: I got promoted.</t>
        </is>
      </c>
      <c r="F22" s="11" t="inlineStr">
        <is>
          <t>나 승진했어.</t>
        </is>
      </c>
      <c r="G22" s="5">
        <f>HYPERLINK("https://www.youtube.com/watch?v=U7lavOJxf_I", "영상 보기 ▶")</f>
        <v/>
      </c>
    </row>
    <row r="23" ht="26" customHeight="1">
      <c r="A23" s="6" t="n">
        <v>1572</v>
      </c>
      <c r="B23" s="7" t="inlineStr">
        <is>
          <t>공감/감정</t>
        </is>
      </c>
      <c r="C23" s="8" t="inlineStr">
        <is>
          <t>see</t>
        </is>
      </c>
      <c r="D23" s="12" t="inlineStr">
        <is>
          <t>알다, 이해하다</t>
        </is>
      </c>
      <c r="E23" s="12" t="inlineStr">
        <is>
          <t>I can see why he likes you.</t>
        </is>
      </c>
      <c r="F23" s="12" t="inlineStr">
        <is>
          <t>왜 그가 널 마음에 들어하는지 알겠어.</t>
        </is>
      </c>
      <c r="G23" s="9">
        <f>HYPERLINK("https://www.youtube.com/watch?v=U7lavOJxf_I", "영상 보기 ▶")</f>
        <v/>
      </c>
    </row>
    <row r="24" ht="26" customHeight="1">
      <c r="A24" s="2" t="n">
        <v>1573</v>
      </c>
      <c r="B24" s="3" t="inlineStr">
        <is>
          <t>실전회화/표현</t>
        </is>
      </c>
      <c r="C24" s="4" t="inlineStr">
        <is>
          <t>see as ~</t>
        </is>
      </c>
      <c r="D24" s="11" t="inlineStr">
        <is>
          <t>로 간주하다, 여기다</t>
        </is>
      </c>
      <c r="E24" s="11" t="inlineStr">
        <is>
          <t>I see this as a great opportunity.</t>
        </is>
      </c>
      <c r="F24" s="11" t="inlineStr">
        <is>
          <t>전 이게 정말 좋은 기회라 여겨요.</t>
        </is>
      </c>
      <c r="G24" s="5">
        <f>HYPERLINK("https://www.youtube.com/watch?v=U7lavOJxf_I", "영상 보기 ▶")</f>
        <v/>
      </c>
    </row>
    <row r="25" ht="26" customHeight="1">
      <c r="A25" s="6" t="n">
        <v>1574</v>
      </c>
      <c r="B25" s="7" t="inlineStr">
        <is>
          <t>실전회화/표현</t>
        </is>
      </c>
      <c r="C25" s="8" t="inlineStr">
        <is>
          <t>​put in a good word for ~</t>
        </is>
      </c>
      <c r="D25" s="12" t="inlineStr">
        <is>
          <t>에 대해 잘 말해주다</t>
        </is>
      </c>
      <c r="E25" s="12" t="inlineStr">
        <is>
          <t>Could you put in a good word for me? It would go a long way coming from you.</t>
        </is>
      </c>
      <c r="F25" s="12" t="inlineStr">
        <is>
          <t>내 얘기 좀 잘 해줄 수 있어? 네가 그래주면 정말 도움이 될 것 같아.</t>
        </is>
      </c>
      <c r="G25" s="9">
        <f>HYPERLINK("https://www.youtube.com/watch?v=U7lavOJxf_I", "영상 보기 ▶")</f>
        <v/>
      </c>
    </row>
    <row r="26" ht="26" customHeight="1">
      <c r="A26" s="2" t="n">
        <v>1575</v>
      </c>
      <c r="B26" s="3" t="inlineStr">
        <is>
          <t>실전회화/표현</t>
        </is>
      </c>
      <c r="C26" s="4" t="inlineStr">
        <is>
          <t>I'll see myself out.</t>
        </is>
      </c>
      <c r="D26" s="11" t="inlineStr">
        <is>
          <t>이제 그만 가볼게요.</t>
        </is>
      </c>
      <c r="E26" s="11" t="inlineStr">
        <is>
          <t>A: Have a cookie. They're homemade.</t>
        </is>
      </c>
      <c r="F26" s="11" t="inlineStr">
        <is>
          <t>쿠키 먹고 가. 집에서 만든 거야.</t>
        </is>
      </c>
      <c r="G26" s="5">
        <f>HYPERLINK("https://www.youtube.com/watch?v=U7lavOJxf_I", "영상 보기 ▶")</f>
        <v/>
      </c>
    </row>
    <row r="27" ht="26" customHeight="1">
      <c r="A27" s="6" t="n">
        <v>1576</v>
      </c>
      <c r="B27" s="7" t="inlineStr">
        <is>
          <t>실전회화/표현</t>
        </is>
      </c>
      <c r="C27" s="8" t="inlineStr">
        <is>
          <t>lapse</t>
        </is>
      </c>
      <c r="D27" s="12" t="inlineStr">
        <is>
          <t>실수, 깜빡함</t>
        </is>
      </c>
      <c r="E27" s="12" t="inlineStr">
        <is>
          <t>I'm sorry. It was a lapse in judgement.</t>
        </is>
      </c>
      <c r="F27" s="12" t="inlineStr">
        <is>
          <t>미안해. 순간 잘못 판단했어.</t>
        </is>
      </c>
      <c r="G27" s="9">
        <f>HYPERLINK("https://www.youtube.com/watch?v=U7lavOJxf_I", "영상 보기 ▶")</f>
        <v/>
      </c>
    </row>
    <row r="28" ht="26" customHeight="1">
      <c r="A28" s="2" t="n">
        <v>1577</v>
      </c>
      <c r="B28" s="3" t="inlineStr">
        <is>
          <t>실전회화/표현</t>
        </is>
      </c>
      <c r="C28" s="4" t="inlineStr">
        <is>
          <t>coming from you</t>
        </is>
      </c>
      <c r="D28" s="11" t="inlineStr">
        <is>
          <t>너한테 그런말을 듣다니</t>
        </is>
      </c>
      <c r="E28" s="11" t="inlineStr">
        <is>
          <t>Coming from you, that means a lot.</t>
        </is>
      </c>
      <c r="F28" s="11" t="inlineStr">
        <is>
          <t>너한테 그런 말을 들으니 정말 뜻깊다.</t>
        </is>
      </c>
      <c r="G28" s="5">
        <f>HYPERLINK("https://www.youtube.com/watch?v=U7lavOJxf_I", "영상 보기 ▶")</f>
        <v/>
      </c>
    </row>
    <row r="29" ht="26" customHeight="1">
      <c r="A29" s="6" t="n">
        <v>1578</v>
      </c>
      <c r="B29" s="7" t="inlineStr">
        <is>
          <t>실전회화/표현</t>
        </is>
      </c>
      <c r="C29" s="8" t="inlineStr">
        <is>
          <t>I don't know how to thank you.</t>
        </is>
      </c>
      <c r="D29" s="12" t="inlineStr">
        <is>
          <t>어떻게 감사를 표해야 할지 모르겠어요</t>
        </is>
      </c>
      <c r="E29" s="12" t="inlineStr">
        <is>
          <t>You saved my project; I don't know how to thank you.</t>
        </is>
      </c>
      <c r="F29" s="12" t="inlineStr">
        <is>
          <t>내 프로젝트를 살려주셨어요, 어떻게 감사해야 할지 모르겠네요.</t>
        </is>
      </c>
      <c r="G29" s="9">
        <f>HYPERLINK("https://www.youtube.com/watch?v=U7lavOJxf_I", "영상 보기 ▶")</f>
        <v/>
      </c>
    </row>
    <row r="30" ht="26" customHeight="1">
      <c r="A30" s="2" t="n">
        <v>1579</v>
      </c>
      <c r="B30" s="3" t="inlineStr">
        <is>
          <t>실전회화/표현</t>
        </is>
      </c>
      <c r="C30" s="4" t="inlineStr">
        <is>
          <t>amicable</t>
        </is>
      </c>
      <c r="D30" s="11" t="inlineStr">
        <is>
          <t>우호적인, 원만한</t>
        </is>
      </c>
      <c r="E30" s="11" t="inlineStr">
        <is>
          <t>I hope we can reach an amicable agreement.</t>
        </is>
      </c>
      <c r="F30" s="11" t="inlineStr">
        <is>
          <t>원만하게 합의할 수 있으면 좋겠어.</t>
        </is>
      </c>
      <c r="G30" s="5">
        <f>HYPERLINK("https://www.youtube.com/watch?v=U7lavOJxf_I", "영상 보기 ▶")</f>
        <v/>
      </c>
    </row>
    <row r="31" ht="26" customHeight="1">
      <c r="A31" s="6" t="n">
        <v>1580</v>
      </c>
      <c r="B31" s="7" t="inlineStr">
        <is>
          <t>실전회화/표현</t>
        </is>
      </c>
      <c r="C31" s="8" t="inlineStr">
        <is>
          <t>amiable</t>
        </is>
      </c>
      <c r="D31" s="12" t="inlineStr">
        <is>
          <t>붙임성 있는, 상냥한</t>
        </is>
      </c>
      <c r="E31" s="12" t="inlineStr">
        <is>
          <t>She's very amiable.</t>
        </is>
      </c>
      <c r="F31" s="12" t="inlineStr">
        <is>
          <t>그녀는 정말 상냥해.</t>
        </is>
      </c>
      <c r="G31" s="9">
        <f>HYPERLINK("https://www.youtube.com/watch?v=U7lavOJxf_I", "영상 보기 ▶")</f>
        <v/>
      </c>
    </row>
    <row r="32" ht="26" customHeight="1">
      <c r="A32" s="2" t="n">
        <v>1581</v>
      </c>
      <c r="B32" s="3" t="inlineStr">
        <is>
          <t>실전회화/표현</t>
        </is>
      </c>
      <c r="C32" s="4" t="inlineStr">
        <is>
          <t>sort out</t>
        </is>
      </c>
      <c r="D32" s="11" t="inlineStr">
        <is>
          <t>분류/정리하다</t>
        </is>
      </c>
      <c r="E32" s="11" t="inlineStr">
        <is>
          <t>I've sorted these out based on their importance.</t>
        </is>
      </c>
      <c r="F32" s="11" t="inlineStr">
        <is>
          <t>제가 중요도 순으로 정리해봤어요.</t>
        </is>
      </c>
      <c r="G32" s="5">
        <f>HYPERLINK("https://www.youtube.com/watch?v=U7lavOJxf_I", "영상 보기 ▶")</f>
        <v/>
      </c>
    </row>
    <row r="33" ht="26" customHeight="1">
      <c r="A33" s="6" t="n">
        <v>1582</v>
      </c>
      <c r="B33" s="7" t="inlineStr">
        <is>
          <t>실전회화/표현</t>
        </is>
      </c>
      <c r="C33" s="8" t="inlineStr">
        <is>
          <t>sort out</t>
        </is>
      </c>
      <c r="D33" s="12" t="inlineStr">
        <is>
          <t>구분짓다</t>
        </is>
      </c>
      <c r="E33" s="12" t="inlineStr">
        <is>
          <t>I've sorted out the best options.</t>
        </is>
      </c>
      <c r="F33" s="12" t="inlineStr">
        <is>
          <t>제일 좋은 옵션들을 추려냈어요.</t>
        </is>
      </c>
      <c r="G33" s="9">
        <f>HYPERLINK("https://www.youtube.com/watch?v=U7lavOJxf_I", "영상 보기 ▶")</f>
        <v/>
      </c>
    </row>
    <row r="34" ht="26" customHeight="1">
      <c r="A34" s="2" t="n">
        <v>1583</v>
      </c>
      <c r="B34" s="3" t="inlineStr">
        <is>
          <t>실전회화/표현</t>
        </is>
      </c>
      <c r="C34" s="4" t="inlineStr">
        <is>
          <t>sort out</t>
        </is>
      </c>
      <c r="D34" s="11" t="inlineStr">
        <is>
          <t>해결하다, 처리하다</t>
        </is>
      </c>
      <c r="E34" s="11" t="inlineStr">
        <is>
          <t>I know it's a mess, but we'll sort it out.</t>
        </is>
      </c>
      <c r="F34" s="11" t="inlineStr">
        <is>
          <t>상황이 엉망인거 알지만, 우리가 해결할거야.</t>
        </is>
      </c>
      <c r="G34" s="5">
        <f>HYPERLINK("https://www.youtube.com/watch?v=U7lavOJxf_I", "영상 보기 ▶")</f>
        <v/>
      </c>
    </row>
    <row r="35" ht="26" customHeight="1">
      <c r="A35" s="6" t="n">
        <v>1584</v>
      </c>
      <c r="B35" s="7" t="inlineStr">
        <is>
          <t>실전회화/표현</t>
        </is>
      </c>
      <c r="C35" s="8" t="inlineStr">
        <is>
          <t>have a long way to go</t>
        </is>
      </c>
      <c r="D35" s="12" t="inlineStr">
        <is>
          <t>갈 길이 멀다</t>
        </is>
      </c>
      <c r="E35" s="12" t="inlineStr">
        <is>
          <t>We have a long way to go.</t>
        </is>
      </c>
      <c r="F35" s="12" t="inlineStr">
        <is>
          <t>아직 더 많이 노력해야해.</t>
        </is>
      </c>
      <c r="G35" s="9">
        <f>HYPERLINK("https://www.youtube.com/watch?v=U7lavOJxf_I", "영상 보기 ▶")</f>
        <v/>
      </c>
    </row>
    <row r="36" ht="26" customHeight="1">
      <c r="A36" s="2" t="n">
        <v>1585</v>
      </c>
      <c r="B36" s="3" t="inlineStr">
        <is>
          <t>실전회화/표현</t>
        </is>
      </c>
      <c r="C36" s="4" t="inlineStr">
        <is>
          <t>have come a long way</t>
        </is>
      </c>
      <c r="D36" s="11" t="inlineStr">
        <is>
          <t>먼 길을 오다, 출세하다</t>
        </is>
      </c>
      <c r="E36" s="11" t="inlineStr">
        <is>
          <t>You've come a long way.</t>
        </is>
      </c>
      <c r="F36" s="11" t="inlineStr">
        <is>
          <t>정말 많이 노력했구나.</t>
        </is>
      </c>
      <c r="G36" s="5">
        <f>HYPERLINK("https://www.youtube.com/watch?v=U7lavOJxf_I", "영상 보기 ▶")</f>
        <v/>
      </c>
    </row>
    <row r="37" ht="26" customHeight="1">
      <c r="A37" s="6" t="n">
        <v>1586</v>
      </c>
      <c r="B37" s="7" t="inlineStr">
        <is>
          <t>실전회화/표현</t>
        </is>
      </c>
      <c r="C37" s="8" t="inlineStr">
        <is>
          <t>naive</t>
        </is>
      </c>
      <c r="D37" s="12" t="inlineStr">
        <is>
          <t>순진한, 세상물정 모르는</t>
        </is>
      </c>
      <c r="E37" s="12" t="inlineStr">
        <is>
          <t>Don't be so naive.</t>
        </is>
      </c>
      <c r="F37" s="12" t="inlineStr">
        <is>
          <t>그렇게 바보처럼 굴지마.</t>
        </is>
      </c>
      <c r="G37" s="9">
        <f>HYPERLINK("https://www.youtube.com/watch?v=U7lavOJxf_I", "영상 보기 ▶")</f>
        <v/>
      </c>
    </row>
    <row r="38" ht="26" customHeight="1">
      <c r="A38" s="2" t="n">
        <v>1587</v>
      </c>
      <c r="B38" s="3" t="inlineStr">
        <is>
          <t>실전회화/표현</t>
        </is>
      </c>
      <c r="C38" s="4" t="inlineStr">
        <is>
          <t>land on your feet</t>
        </is>
      </c>
      <c r="D38" s="11" t="inlineStr">
        <is>
          <t>궁지에서 벗어나다, 극복하다</t>
        </is>
      </c>
      <c r="E38" s="11" t="inlineStr">
        <is>
          <t>I'm sure you'll land on your feet.</t>
        </is>
      </c>
      <c r="F38" s="11" t="inlineStr">
        <is>
          <t>너라면 잘 극복할거야.</t>
        </is>
      </c>
      <c r="G38" s="5">
        <f>HYPERLINK("https://www.youtube.com/watch?v=U7lavOJxf_I", "영상 보기 ▶")</f>
        <v/>
      </c>
    </row>
    <row r="39" ht="26" customHeight="1">
      <c r="A39" s="6" t="n">
        <v>1588</v>
      </c>
      <c r="B39" s="7" t="inlineStr">
        <is>
          <t>실전회화/표현</t>
        </is>
      </c>
      <c r="C39" s="8" t="inlineStr">
        <is>
          <t>I can't thank you enough.</t>
        </is>
      </c>
      <c r="D39" s="12" t="inlineStr">
        <is>
          <t>정말 고맙습니다.</t>
        </is>
      </c>
      <c r="E39" s="12" t="inlineStr">
        <is>
          <t>I can't apologize enough.</t>
        </is>
      </c>
      <c r="F39" s="12" t="inlineStr">
        <is>
          <t>정말 죄송합니다.</t>
        </is>
      </c>
      <c r="G39" s="9">
        <f>HYPERLINK("https://www.youtube.com/watch?v=U7lavOJxf_I", "영상 보기 ▶")</f>
        <v/>
      </c>
    </row>
    <row r="40" ht="26" customHeight="1">
      <c r="A40" s="2" t="n">
        <v>1589</v>
      </c>
      <c r="B40" s="3" t="inlineStr">
        <is>
          <t>실전회화/표현</t>
        </is>
      </c>
      <c r="C40" s="4" t="inlineStr">
        <is>
          <t>rock the boat</t>
        </is>
      </c>
      <c r="D40" s="11" t="inlineStr">
        <is>
          <t>문제, 풍파를 일으키다</t>
        </is>
      </c>
      <c r="E40" s="11" t="inlineStr">
        <is>
          <t>I don't wanna rock the boar.</t>
        </is>
      </c>
      <c r="F40" s="11" t="inlineStr">
        <is>
          <t>괜히 문제를 일으키고 싶지 않아.</t>
        </is>
      </c>
      <c r="G40" s="5">
        <f>HYPERLINK("https://www.youtube.com/watch?v=U7lavOJxf_I", "영상 보기 ▶")</f>
        <v/>
      </c>
    </row>
    <row r="41" ht="26" customHeight="1">
      <c r="A41" s="6" t="n">
        <v>1590</v>
      </c>
      <c r="B41" s="7" t="inlineStr">
        <is>
          <t>실전회화/표현</t>
        </is>
      </c>
      <c r="C41" s="8" t="inlineStr">
        <is>
          <t>finalize</t>
        </is>
      </c>
      <c r="D41" s="12" t="inlineStr">
        <is>
          <t>마무리짓다</t>
        </is>
      </c>
      <c r="E41" s="12" t="inlineStr">
        <is>
          <t>Don't rock the boat until everything is finalized.</t>
        </is>
      </c>
      <c r="F41" s="12" t="inlineStr">
        <is>
          <t>모든게 마무리 될 때까지 문제를 일으키지 마.</t>
        </is>
      </c>
      <c r="G41" s="9">
        <f>HYPERLINK("https://www.youtube.com/watch?v=U7lavOJxf_I", "영상 보기 ▶")</f>
        <v/>
      </c>
    </row>
    <row r="42" ht="26" customHeight="1">
      <c r="A42" s="2" t="n">
        <v>1591</v>
      </c>
      <c r="B42" s="3" t="inlineStr">
        <is>
          <t>실전회화/표현</t>
        </is>
      </c>
      <c r="C42" s="4" t="inlineStr">
        <is>
          <t>I'm not comfortable ~ ~</t>
        </is>
      </c>
      <c r="D42" s="11" t="inlineStr">
        <is>
          <t>가 불편하네요</t>
        </is>
      </c>
      <c r="E42" s="11" t="inlineStr">
        <is>
          <t>I'm not confortable with this conversation.</t>
        </is>
      </c>
      <c r="F42" s="11" t="inlineStr">
        <is>
          <t>이 대화를 나누는게 불편하네요.</t>
        </is>
      </c>
      <c r="G42" s="5">
        <f>HYPERLINK("https://www.youtube.com/watch?v=U7lavOJxf_I", "영상 보기 ▶")</f>
        <v/>
      </c>
    </row>
    <row r="43" ht="26" customHeight="1">
      <c r="A43" s="6" t="n">
        <v>1592</v>
      </c>
      <c r="B43" s="7" t="inlineStr">
        <is>
          <t>실전회화/표현</t>
        </is>
      </c>
      <c r="C43" s="8" t="inlineStr">
        <is>
          <t>The last thing I want/need</t>
        </is>
      </c>
      <c r="D43" s="12" t="inlineStr">
        <is>
          <t>정말 싫은 것</t>
        </is>
      </c>
      <c r="E43" s="12" t="inlineStr">
        <is>
          <t>That's the last thing I want.</t>
        </is>
      </c>
      <c r="F43" s="12" t="inlineStr">
        <is>
          <t>난 그걸 정말 원치 않아.</t>
        </is>
      </c>
      <c r="G43" s="9">
        <f>HYPERLINK("https://www.youtube.com/watch?v=U7lavOJxf_I", "영상 보기 ▶")</f>
        <v/>
      </c>
    </row>
    <row r="44" ht="26" customHeight="1">
      <c r="A44" s="2" t="n">
        <v>1593</v>
      </c>
      <c r="B44" s="3" t="inlineStr">
        <is>
          <t>실전회화/표현</t>
        </is>
      </c>
      <c r="C44" s="4" t="inlineStr">
        <is>
          <t>ingenious</t>
        </is>
      </c>
      <c r="D44" s="11" t="inlineStr">
        <is>
          <t>기발한, 독창적인</t>
        </is>
      </c>
      <c r="E44" s="11" t="inlineStr">
        <is>
          <t>This plan is ingenious.</t>
        </is>
      </c>
      <c r="F44" s="11" t="inlineStr">
        <is>
          <t>진짜 기발한 계획이다.</t>
        </is>
      </c>
      <c r="G44" s="5">
        <f>HYPERLINK("https://www.youtube.com/watch?v=U7lavOJxf_I", "영상 보기 ▶")</f>
        <v/>
      </c>
    </row>
    <row r="45" ht="26" customHeight="1">
      <c r="A45" s="6" t="n">
        <v>1594</v>
      </c>
      <c r="B45" s="7" t="inlineStr">
        <is>
          <t>실전회화/표현</t>
        </is>
      </c>
      <c r="C45" s="8" t="inlineStr">
        <is>
          <t>I'll see what I can do.</t>
        </is>
      </c>
      <c r="D45" s="12" t="inlineStr">
        <is>
          <t>제가 도울 수 있는 게 있는지 한번 알아볼게요</t>
        </is>
      </c>
      <c r="E45" s="12" t="inlineStr">
        <is>
          <t>Don't worry about the permit; I'll see what I can do.</t>
        </is>
      </c>
      <c r="F45" s="12" t="inlineStr">
        <is>
          <t>허가 건은 너무 걱정 마세요, 제가 어떻게 알아봐 드릴게요.</t>
        </is>
      </c>
      <c r="G45" s="9">
        <f>HYPERLINK("https://www.youtube.com/watch?v=U7lavOJxf_I", "영상 보기 ▶")</f>
        <v/>
      </c>
    </row>
    <row r="46" ht="26" customHeight="1">
      <c r="A46" s="2" t="n">
        <v>1595</v>
      </c>
      <c r="B46" s="3" t="inlineStr">
        <is>
          <t>의견/의사결정</t>
        </is>
      </c>
      <c r="C46" s="4" t="inlineStr">
        <is>
          <t>Let's cross that bridge when we get to it.</t>
        </is>
      </c>
      <c r="D46" s="11" t="inlineStr">
        <is>
          <t>그 일은 그때 가서 닥치면 생각하자/해결하자</t>
        </is>
      </c>
      <c r="E46" s="11" t="inlineStr">
        <is>
          <t>We might fail. - Let's cross that bridge when we get to it.</t>
        </is>
      </c>
      <c r="F46" s="11" t="inlineStr">
        <is>
          <t>실패할 수도 있어. - 그 문제는 그때 닥치면 고민하자.</t>
        </is>
      </c>
      <c r="G46" s="5">
        <f>HYPERLINK("https://www.youtube.com/watch?v=U7lavOJxf_I", "영상 보기 ▶")</f>
        <v/>
      </c>
    </row>
    <row r="47" ht="26" customHeight="1">
      <c r="A47" s="6" t="n">
        <v>1596</v>
      </c>
      <c r="B47" s="7" t="inlineStr">
        <is>
          <t>실전회화/표현</t>
        </is>
      </c>
      <c r="C47" s="8" t="inlineStr">
        <is>
          <t>make sure</t>
        </is>
      </c>
      <c r="D47" s="12" t="inlineStr">
        <is>
          <t>확실히/꼭 ~하도록 하다</t>
        </is>
      </c>
      <c r="E47" s="12" t="inlineStr">
        <is>
          <t>Make sure to be there on time.</t>
        </is>
      </c>
      <c r="F47" s="12" t="inlineStr">
        <is>
          <t>꼭 제 시간에 오도록 해.</t>
        </is>
      </c>
      <c r="G47" s="9">
        <f>HYPERLINK("https://www.youtube.com/watch?v=U7lavOJxf_I", "영상 보기 ▶")</f>
        <v/>
      </c>
    </row>
    <row r="48" ht="26" customHeight="1">
      <c r="A48" s="2" t="n">
        <v>1597</v>
      </c>
      <c r="B48" s="3" t="inlineStr">
        <is>
          <t>실전회화/표현</t>
        </is>
      </c>
      <c r="C48" s="4" t="inlineStr">
        <is>
          <t>make sure</t>
        </is>
      </c>
      <c r="D48" s="11" t="inlineStr">
        <is>
          <t>확실히 ~한지 확인할 때</t>
        </is>
      </c>
      <c r="E48" s="11" t="inlineStr">
        <is>
          <t>I just wanted to make sure we were on the right track.</t>
        </is>
      </c>
      <c r="F48" s="11" t="inlineStr">
        <is>
          <t>문제 없이 잘 진행되고 있는지 확인차 연락해봤어.</t>
        </is>
      </c>
      <c r="G48" s="5">
        <f>HYPERLINK("https://www.youtube.com/watch?v=U7lavOJxf_I", "영상 보기 ▶")</f>
        <v/>
      </c>
    </row>
    <row r="49" ht="26" customHeight="1">
      <c r="A49" s="6" t="n">
        <v>1598</v>
      </c>
      <c r="B49" s="7" t="inlineStr">
        <is>
          <t>공감/감정</t>
        </is>
      </c>
      <c r="C49" s="8" t="inlineStr">
        <is>
          <t>streamline</t>
        </is>
      </c>
      <c r="D49" s="12" t="inlineStr">
        <is>
          <t>간소화/능률화하다</t>
        </is>
      </c>
      <c r="E49" s="12" t="inlineStr">
        <is>
          <t>It'll streamline the process, and we'll let the data speak for itself.</t>
        </is>
      </c>
      <c r="F49" s="12" t="inlineStr">
        <is>
          <t>절차를 간소화 시킬거고, 그 효과는 데이터가 말해줄거야.</t>
        </is>
      </c>
      <c r="G49" s="9">
        <f>HYPERLINK("https://www.youtube.com/watch?v=U7lavOJxf_I", "영상 보기 ▶")</f>
        <v/>
      </c>
    </row>
    <row r="50" ht="26" customHeight="1">
      <c r="A50" s="2" t="n">
        <v>1599</v>
      </c>
      <c r="B50" s="3" t="inlineStr">
        <is>
          <t>실전회화/표현</t>
        </is>
      </c>
      <c r="C50" s="4" t="inlineStr">
        <is>
          <t>well-rested</t>
        </is>
      </c>
      <c r="D50" s="11" t="inlineStr">
        <is>
          <t>충분히 휴식을 취한</t>
        </is>
      </c>
      <c r="E50" s="11" t="inlineStr">
        <is>
          <t>You look well-rested.</t>
        </is>
      </c>
      <c r="F50" s="11" t="inlineStr">
        <is>
          <t>푹 쉰 것 같아 보이네.</t>
        </is>
      </c>
      <c r="G50" s="5">
        <f>HYPERLINK("https://www.youtube.com/watch?v=U7lavOJxf_I", "영상 보기 ▶")</f>
        <v/>
      </c>
    </row>
    <row r="51" ht="26" customHeight="1">
      <c r="A51" s="6" t="n">
        <v>1600</v>
      </c>
      <c r="B51" s="7" t="inlineStr">
        <is>
          <t>실전회화/표현</t>
        </is>
      </c>
      <c r="C51" s="8" t="inlineStr">
        <is>
          <t>only so many/much</t>
        </is>
      </c>
      <c r="D51" s="12" t="inlineStr">
        <is>
          <t>한계가 있는</t>
        </is>
      </c>
      <c r="E51" s="12" t="inlineStr">
        <is>
          <t>There's so much I can do.</t>
        </is>
      </c>
      <c r="F51" s="12" t="inlineStr">
        <is>
          <t>내가 할 수 있는게 정말 많아.</t>
        </is>
      </c>
      <c r="G51" s="9">
        <f>HYPERLINK("https://www.youtube.com/watch?v=U7lavOJxf_I", "영상 보기 ▶")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4" customWidth="1" min="3" max="3"/>
    <col width="46.7" customWidth="1" min="4" max="4"/>
    <col width="75" customWidth="1" min="5" max="5"/>
    <col width="57.9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1601</v>
      </c>
      <c r="B2" s="3" t="inlineStr">
        <is>
          <t>실전회화/표현</t>
        </is>
      </c>
      <c r="C2" s="4" t="inlineStr">
        <is>
          <t>project</t>
        </is>
      </c>
      <c r="D2" s="11" t="inlineStr">
        <is>
          <t>계획하다, 예상/추정하다</t>
        </is>
      </c>
      <c r="E2" s="11" t="inlineStr">
        <is>
          <t>It's hard to project that far in the future.</t>
        </is>
      </c>
      <c r="F2" s="11" t="inlineStr">
        <is>
          <t>그렇게 먼 미래를 예측하는건 힘들어요.</t>
        </is>
      </c>
      <c r="G2" s="5">
        <f>HYPERLINK("https://www.youtube.com/watch?v=QvQUucVgmWc", "영상 보기 ▶")</f>
        <v/>
      </c>
    </row>
    <row r="3" ht="26" customHeight="1">
      <c r="A3" s="6" t="n">
        <v>1602</v>
      </c>
      <c r="B3" s="7" t="inlineStr">
        <is>
          <t>실전회화/표현</t>
        </is>
      </c>
      <c r="C3" s="8" t="inlineStr">
        <is>
          <t>be loved by ~</t>
        </is>
      </c>
      <c r="D3" s="12" t="inlineStr">
        <is>
          <t>에게 총애받다, 인기가 많다</t>
        </is>
      </c>
      <c r="E3" s="12" t="inlineStr">
        <is>
          <t>Bulgogi is a Korean classic. It's beloved by all.</t>
        </is>
      </c>
      <c r="F3" s="12" t="inlineStr">
        <is>
          <t>불고기는 한국 국민 음식이야. 다들 좋아해.</t>
        </is>
      </c>
      <c r="G3" s="9">
        <f>HYPERLINK("https://www.youtube.com/watch?v=QvQUucVgmWc", "영상 보기 ▶")</f>
        <v/>
      </c>
    </row>
    <row r="4" ht="26" customHeight="1">
      <c r="A4" s="2" t="n">
        <v>1603</v>
      </c>
      <c r="B4" s="3" t="inlineStr">
        <is>
          <t>실전회화/표현</t>
        </is>
      </c>
      <c r="C4" s="4" t="inlineStr">
        <is>
          <t>indeed</t>
        </is>
      </c>
      <c r="D4" s="11" t="inlineStr">
        <is>
          <t>참으로, 실제로, 정말로</t>
        </is>
      </c>
      <c r="E4" s="11" t="inlineStr">
        <is>
          <t>It is indeed a great pleasure to be here today.</t>
        </is>
      </c>
      <c r="F4" s="11" t="inlineStr">
        <is>
          <t>오늘 함께하게 되어 정말 기쁩니다.</t>
        </is>
      </c>
      <c r="G4" s="5">
        <f>HYPERLINK("https://www.youtube.com/watch?v=QvQUucVgmWc", "영상 보기 ▶")</f>
        <v/>
      </c>
    </row>
    <row r="5" ht="26" customHeight="1">
      <c r="A5" s="6" t="n">
        <v>1604</v>
      </c>
      <c r="B5" s="7" t="inlineStr">
        <is>
          <t>실전회화/표현</t>
        </is>
      </c>
      <c r="C5" s="8" t="inlineStr">
        <is>
          <t>indeed</t>
        </is>
      </c>
      <c r="D5" s="12" t="inlineStr">
        <is>
          <t>정말/진짜 그래, 맞아</t>
        </is>
      </c>
      <c r="E5" s="12" t="inlineStr">
        <is>
          <t>A: It's a beautiful day today.</t>
        </is>
      </c>
      <c r="F5" s="12" t="inlineStr">
        <is>
          <t>오늘 날씨 정말 좋다.</t>
        </is>
      </c>
      <c r="G5" s="9">
        <f>HYPERLINK("https://www.youtube.com/watch?v=QvQUucVgmWc", "영상 보기 ▶")</f>
        <v/>
      </c>
    </row>
    <row r="6" ht="26" customHeight="1">
      <c r="A6" s="2" t="n">
        <v>1605</v>
      </c>
      <c r="B6" s="3" t="inlineStr">
        <is>
          <t>실전회화/표현</t>
        </is>
      </c>
      <c r="C6" s="4" t="inlineStr">
        <is>
          <t>finalize</t>
        </is>
      </c>
      <c r="D6" s="11" t="inlineStr">
        <is>
          <t>마무리짓다, 최종 확정짓다</t>
        </is>
      </c>
      <c r="E6" s="11" t="inlineStr">
        <is>
          <t>We need to finalize it ASAP.</t>
        </is>
      </c>
      <c r="F6" s="11" t="inlineStr">
        <is>
          <t>최대한 빨리 마무리 지어야 해.</t>
        </is>
      </c>
      <c r="G6" s="5">
        <f>HYPERLINK("https://www.youtube.com/watch?v=QvQUucVgmWc", "영상 보기 ▶")</f>
        <v/>
      </c>
    </row>
    <row r="7" ht="26" customHeight="1">
      <c r="A7" s="6" t="n">
        <v>1606</v>
      </c>
      <c r="B7" s="7" t="inlineStr">
        <is>
          <t>실전회화/표현</t>
        </is>
      </c>
      <c r="C7" s="8" t="inlineStr">
        <is>
          <t>variable</t>
        </is>
      </c>
      <c r="D7" s="12" t="inlineStr">
        <is>
          <t>변수</t>
        </is>
      </c>
      <c r="E7" s="12" t="inlineStr">
        <is>
          <t>A: What do you think might happen?</t>
        </is>
      </c>
      <c r="F7" s="12" t="inlineStr">
        <is>
          <t>어떻게 될 것 같아요?</t>
        </is>
      </c>
      <c r="G7" s="9">
        <f>HYPERLINK("https://www.youtube.com/watch?v=QvQUucVgmWc", "영상 보기 ▶")</f>
        <v/>
      </c>
    </row>
    <row r="8" ht="26" customHeight="1">
      <c r="A8" s="2" t="n">
        <v>1607</v>
      </c>
      <c r="B8" s="3" t="inlineStr">
        <is>
          <t>실전회화/표현</t>
        </is>
      </c>
      <c r="C8" s="4" t="inlineStr">
        <is>
          <t>be torn</t>
        </is>
      </c>
      <c r="D8" s="11" t="inlineStr">
        <is>
          <t>갈피를 못 잡다, 갈등/망설이다</t>
        </is>
      </c>
      <c r="E8" s="11" t="inlineStr">
        <is>
          <t>A: Are you going to answer it?</t>
        </is>
      </c>
      <c r="F8" s="11" t="inlineStr">
        <is>
          <t>전화 받을거야?</t>
        </is>
      </c>
      <c r="G8" s="5">
        <f>HYPERLINK("https://www.youtube.com/watch?v=QvQUucVgmWc", "영상 보기 ▶")</f>
        <v/>
      </c>
    </row>
    <row r="9" ht="26" customHeight="1">
      <c r="A9" s="6" t="n">
        <v>1608</v>
      </c>
      <c r="B9" s="7" t="inlineStr">
        <is>
          <t>실전회화/표현</t>
        </is>
      </c>
      <c r="C9" s="8" t="inlineStr">
        <is>
          <t>conservative</t>
        </is>
      </c>
      <c r="D9" s="12" t="inlineStr">
        <is>
          <t>보수적인, 적게 잡은</t>
        </is>
      </c>
      <c r="E9" s="12" t="inlineStr">
        <is>
          <t>It would cost $6000, and that's a conservative estimate.</t>
        </is>
      </c>
      <c r="F9" s="12" t="inlineStr">
        <is>
          <t>적게 잡아도 6천불은 들어.</t>
        </is>
      </c>
      <c r="G9" s="9">
        <f>HYPERLINK("https://www.youtube.com/watch?v=QvQUucVgmWc", "영상 보기 ▶")</f>
        <v/>
      </c>
    </row>
    <row r="10" ht="26" customHeight="1">
      <c r="A10" s="2" t="n">
        <v>1609</v>
      </c>
      <c r="B10" s="3" t="inlineStr">
        <is>
          <t>실전회화/표현</t>
        </is>
      </c>
      <c r="C10" s="4" t="inlineStr">
        <is>
          <t>What's it like ~? ~</t>
        </is>
      </c>
      <c r="D10" s="11" t="inlineStr">
        <is>
          <t>는 어때?</t>
        </is>
      </c>
      <c r="E10" s="11" t="inlineStr">
        <is>
          <t>A: What's it like having a child?</t>
        </is>
      </c>
      <c r="F10" s="11" t="inlineStr">
        <is>
          <t>아이가 있는 삶은 어때?</t>
        </is>
      </c>
      <c r="G10" s="5">
        <f>HYPERLINK("https://www.youtube.com/watch?v=QvQUucVgmWc", "영상 보기 ▶")</f>
        <v/>
      </c>
    </row>
    <row r="11" ht="26" customHeight="1">
      <c r="A11" s="6" t="n">
        <v>1610</v>
      </c>
      <c r="B11" s="7" t="inlineStr">
        <is>
          <t>실전회화/표현</t>
        </is>
      </c>
      <c r="C11" s="8" t="inlineStr">
        <is>
          <t>likewise</t>
        </is>
      </c>
      <c r="D11" s="12" t="inlineStr">
        <is>
          <t>마찬가지, 동감이야</t>
        </is>
      </c>
      <c r="E11" s="12" t="inlineStr">
        <is>
          <t>A: Nice to meet you.</t>
        </is>
      </c>
      <c r="F11" s="12" t="inlineStr">
        <is>
          <t>만나서 반가워요.</t>
        </is>
      </c>
      <c r="G11" s="9">
        <f>HYPERLINK("https://www.youtube.com/watch?v=QvQUucVgmWc", "영상 보기 ▶")</f>
        <v/>
      </c>
    </row>
    <row r="12" ht="26" customHeight="1">
      <c r="A12" s="2" t="n">
        <v>1611</v>
      </c>
      <c r="B12" s="3" t="inlineStr">
        <is>
          <t>실전회화/표현</t>
        </is>
      </c>
      <c r="C12" s="4" t="inlineStr">
        <is>
          <t>at all costs</t>
        </is>
      </c>
      <c r="D12" s="11" t="inlineStr">
        <is>
          <t>반드시, 기어코</t>
        </is>
      </c>
      <c r="E12" s="11" t="inlineStr">
        <is>
          <t>We have to stop this at all costs.</t>
        </is>
      </c>
      <c r="F12" s="11" t="inlineStr">
        <is>
          <t>무슨 수를 써서라도 이 상황을 멈춰야해.</t>
        </is>
      </c>
      <c r="G12" s="5">
        <f>HYPERLINK("https://www.youtube.com/watch?v=QvQUucVgmWc", "영상 보기 ▶")</f>
        <v/>
      </c>
    </row>
    <row r="13" ht="26" customHeight="1">
      <c r="A13" s="6" t="n">
        <v>1612</v>
      </c>
      <c r="B13" s="7" t="inlineStr">
        <is>
          <t>실전회화/표현</t>
        </is>
      </c>
      <c r="C13" s="8" t="inlineStr">
        <is>
          <t>​long overdue</t>
        </is>
      </c>
      <c r="D13" s="12" t="inlineStr">
        <is>
          <t>한참 전에 했어야 할, 이미 했어야 할</t>
        </is>
      </c>
      <c r="E13" s="12" t="inlineStr">
        <is>
          <t>It’s a long overdue vacation. We should splurge and get a suite.</t>
        </is>
      </c>
      <c r="F13" s="12" t="inlineStr">
        <is>
          <t>정말 오랜만에 가는 휴가니까 사치를 부려서 스위트룸으로 하자.</t>
        </is>
      </c>
      <c r="G13" s="9">
        <f>HYPERLINK("https://www.youtube.com/watch?v=QvQUucVgmWc", "영상 보기 ▶")</f>
        <v/>
      </c>
    </row>
    <row r="14" ht="26" customHeight="1">
      <c r="A14" s="2" t="n">
        <v>1613</v>
      </c>
      <c r="B14" s="3" t="inlineStr">
        <is>
          <t>실전회화/표현</t>
        </is>
      </c>
      <c r="C14" s="4" t="inlineStr">
        <is>
          <t>No wonder</t>
        </is>
      </c>
      <c r="D14" s="11" t="inlineStr">
        <is>
          <t>어쩐지 ~하더라</t>
        </is>
      </c>
      <c r="E14" s="11" t="inlineStr">
        <is>
          <t>No wonder you’re upset.</t>
        </is>
      </c>
      <c r="F14" s="11" t="inlineStr">
        <is>
          <t>네가 속상해 할만 해.</t>
        </is>
      </c>
      <c r="G14" s="5">
        <f>HYPERLINK("https://www.youtube.com/watch?v=QvQUucVgmWc", "영상 보기 ▶")</f>
        <v/>
      </c>
    </row>
    <row r="15" ht="26" customHeight="1">
      <c r="A15" s="6" t="n">
        <v>1614</v>
      </c>
      <c r="B15" s="7" t="inlineStr">
        <is>
          <t>실전회화/표현</t>
        </is>
      </c>
      <c r="C15" s="8" t="inlineStr">
        <is>
          <t>cut short</t>
        </is>
      </c>
      <c r="D15" s="12" t="inlineStr">
        <is>
          <t>일찍 끝내다, 짧게 줄이다</t>
        </is>
      </c>
      <c r="E15" s="12" t="inlineStr">
        <is>
          <t>I’m sorry, but I have to cut this short.</t>
        </is>
      </c>
      <c r="F15" s="12" t="inlineStr">
        <is>
          <t>미안하지만 이쯤에서 일찍 끝내야할 것 같아.</t>
        </is>
      </c>
      <c r="G15" s="9">
        <f>HYPERLINK("https://www.youtube.com/watch?v=QvQUucVgmWc", "영상 보기 ▶")</f>
        <v/>
      </c>
    </row>
    <row r="16" ht="26" customHeight="1">
      <c r="A16" s="2" t="n">
        <v>1615</v>
      </c>
      <c r="B16" s="3" t="inlineStr">
        <is>
          <t>실전회화/표현</t>
        </is>
      </c>
      <c r="C16" s="4" t="inlineStr">
        <is>
          <t>~ is coming up ~</t>
        </is>
      </c>
      <c r="D16" s="11" t="inlineStr">
        <is>
          <t>가 다가오고 있다</t>
        </is>
      </c>
      <c r="E16" s="11" t="inlineStr">
        <is>
          <t>A: Your vacation is coming up.</t>
        </is>
      </c>
      <c r="F16" s="11" t="inlineStr">
        <is>
          <t>곧 있으면 휴가네.</t>
        </is>
      </c>
      <c r="G16" s="5">
        <f>HYPERLINK("https://www.youtube.com/watch?v=QvQUucVgmWc", "영상 보기 ▶")</f>
        <v/>
      </c>
    </row>
    <row r="17" ht="26" customHeight="1">
      <c r="A17" s="6" t="n">
        <v>1616</v>
      </c>
      <c r="B17" s="7" t="inlineStr">
        <is>
          <t>실전회화/표현</t>
        </is>
      </c>
      <c r="C17" s="8" t="inlineStr">
        <is>
          <t>just/right around the corner ~</t>
        </is>
      </c>
      <c r="D17" s="12" t="inlineStr">
        <is>
          <t>가 코앞이다</t>
        </is>
      </c>
      <c r="E17" s="12" t="inlineStr">
        <is>
          <t>The weekend is just around the corner. Do you have any special plans?</t>
        </is>
      </c>
      <c r="F17" s="12" t="inlineStr">
        <is>
          <t>주말이 코앞인데, 특별한 계획있어?</t>
        </is>
      </c>
      <c r="G17" s="9">
        <f>HYPERLINK("https://www.youtube.com/watch?v=QvQUucVgmWc", "영상 보기 ▶")</f>
        <v/>
      </c>
    </row>
    <row r="18" ht="26" customHeight="1">
      <c r="A18" s="2" t="n">
        <v>1617</v>
      </c>
      <c r="B18" s="3" t="inlineStr">
        <is>
          <t>실전회화/표현</t>
        </is>
      </c>
      <c r="C18" s="4" t="inlineStr">
        <is>
          <t>have a hankering for ~</t>
        </is>
      </c>
      <c r="D18" s="11" t="inlineStr">
        <is>
          <t>를 갈망하다</t>
        </is>
      </c>
      <c r="E18" s="11" t="inlineStr">
        <is>
          <t>I have a hankering for Thai food.</t>
        </is>
      </c>
      <c r="F18" s="11" t="inlineStr">
        <is>
          <t>태국 음식이 당긴다.</t>
        </is>
      </c>
      <c r="G18" s="5">
        <f>HYPERLINK("https://www.youtube.com/watch?v=QvQUucVgmWc", "영상 보기 ▶")</f>
        <v/>
      </c>
    </row>
    <row r="19" ht="26" customHeight="1">
      <c r="A19" s="6" t="n">
        <v>1618</v>
      </c>
      <c r="B19" s="7" t="inlineStr">
        <is>
          <t>실전회화/표현</t>
        </is>
      </c>
      <c r="C19" s="8" t="inlineStr">
        <is>
          <t>That makes two of us.</t>
        </is>
      </c>
      <c r="D19" s="12" t="inlineStr">
        <is>
          <t>나도 그래.</t>
        </is>
      </c>
      <c r="E19" s="12" t="inlineStr">
        <is>
          <t>A: Horror movies are not for me.</t>
        </is>
      </c>
      <c r="F19" s="12" t="inlineStr">
        <is>
          <t>호러 영화는 내 취향이 아니야.</t>
        </is>
      </c>
      <c r="G19" s="9">
        <f>HYPERLINK("https://www.youtube.com/watch?v=QvQUucVgmWc", "영상 보기 ▶")</f>
        <v/>
      </c>
    </row>
    <row r="20" ht="26" customHeight="1">
      <c r="A20" s="2" t="n">
        <v>1619</v>
      </c>
      <c r="B20" s="3" t="inlineStr">
        <is>
          <t>실전회화/표현</t>
        </is>
      </c>
      <c r="C20" s="4" t="inlineStr">
        <is>
          <t>We’ll see.</t>
        </is>
      </c>
      <c r="D20" s="11" t="inlineStr">
        <is>
          <t>두고 보자, 두고보면 알겠지</t>
        </is>
      </c>
      <c r="E20" s="11" t="inlineStr">
        <is>
          <t>We’ll see how it goes.</t>
        </is>
      </c>
      <c r="F20" s="11" t="inlineStr">
        <is>
          <t>어떻게 되는지 두고 보자.</t>
        </is>
      </c>
      <c r="G20" s="5">
        <f>HYPERLINK("https://www.youtube.com/watch?v=QvQUucVgmWc", "영상 보기 ▶")</f>
        <v/>
      </c>
    </row>
    <row r="21" ht="26" customHeight="1">
      <c r="A21" s="6" t="n">
        <v>1620</v>
      </c>
      <c r="B21" s="7" t="inlineStr">
        <is>
          <t>실전회화/표현</t>
        </is>
      </c>
      <c r="C21" s="8" t="inlineStr">
        <is>
          <t>straighten out</t>
        </is>
      </c>
      <c r="D21" s="12" t="inlineStr">
        <is>
          <t>해결하다, 바로잡다</t>
        </is>
      </c>
      <c r="E21" s="12" t="inlineStr">
        <is>
          <t>Don’t worry. I’ll talk to her and straighten this out.</t>
        </is>
      </c>
      <c r="F21" s="12" t="inlineStr">
        <is>
          <t>걱정마. 내가 그녀와 얘기해서 해결해볼게.</t>
        </is>
      </c>
      <c r="G21" s="9">
        <f>HYPERLINK("https://www.youtube.com/watch?v=QvQUucVgmWc", "영상 보기 ▶")</f>
        <v/>
      </c>
    </row>
    <row r="22" ht="26" customHeight="1">
      <c r="A22" s="2" t="n">
        <v>1621</v>
      </c>
      <c r="B22" s="3" t="inlineStr">
        <is>
          <t>실전회화/표현</t>
        </is>
      </c>
      <c r="C22" s="4" t="inlineStr">
        <is>
          <t>prioritize ~</t>
        </is>
      </c>
      <c r="D22" s="11" t="inlineStr">
        <is>
          <t>를 우선시하다, 우선으로 처리하다</t>
        </is>
      </c>
      <c r="E22" s="11" t="inlineStr">
        <is>
          <t>I’ll make sure to prioritize this.</t>
        </is>
      </c>
      <c r="F22" s="11" t="inlineStr">
        <is>
          <t>꼭 이것부터 처리하도록 할게요.</t>
        </is>
      </c>
      <c r="G22" s="5">
        <f>HYPERLINK("https://www.youtube.com/watch?v=QvQUucVgmWc", "영상 보기 ▶")</f>
        <v/>
      </c>
    </row>
    <row r="23" ht="26" customHeight="1">
      <c r="A23" s="6" t="n">
        <v>1622</v>
      </c>
      <c r="B23" s="7" t="inlineStr">
        <is>
          <t>실전회화/표현</t>
        </is>
      </c>
      <c r="C23" s="8" t="inlineStr">
        <is>
          <t>versus ~</t>
        </is>
      </c>
      <c r="D23" s="12" t="inlineStr">
        <is>
          <t>와 비교하여</t>
        </is>
      </c>
      <c r="E23" s="12" t="inlineStr">
        <is>
          <t>We have a choice of classic versus modern.</t>
        </is>
      </c>
      <c r="F23" s="12" t="inlineStr">
        <is>
          <t>클래식대 모던, 둘 중에 선택할 수 있어요.</t>
        </is>
      </c>
      <c r="G23" s="9">
        <f>HYPERLINK("https://www.youtube.com/watch?v=QvQUucVgmWc", "영상 보기 ▶")</f>
        <v/>
      </c>
    </row>
    <row r="24" ht="26" customHeight="1">
      <c r="A24" s="2" t="n">
        <v>1623</v>
      </c>
      <c r="B24" s="3" t="inlineStr">
        <is>
          <t>실전회화/표현</t>
        </is>
      </c>
      <c r="C24" s="4" t="inlineStr">
        <is>
          <t>I could be wrong.</t>
        </is>
      </c>
      <c r="D24" s="11" t="inlineStr">
        <is>
          <t>내가 틀릴 수도 있어.</t>
        </is>
      </c>
      <c r="E24" s="11" t="inlineStr">
        <is>
          <t>I think it would work, but I could be wrong.</t>
        </is>
      </c>
      <c r="F24" s="11" t="inlineStr">
        <is>
          <t>그게 될 것 같은데 내가 틀릴 수도 있어.</t>
        </is>
      </c>
      <c r="G24" s="5">
        <f>HYPERLINK("https://www.youtube.com/watch?v=QvQUucVgmWc", "영상 보기 ▶")</f>
        <v/>
      </c>
    </row>
    <row r="25" ht="26" customHeight="1">
      <c r="A25" s="6" t="n">
        <v>1624</v>
      </c>
      <c r="B25" s="7" t="inlineStr">
        <is>
          <t>실전회화/표현</t>
        </is>
      </c>
      <c r="C25" s="8" t="inlineStr">
        <is>
          <t>straightforward</t>
        </is>
      </c>
      <c r="D25" s="12" t="inlineStr">
        <is>
          <t>직설적인</t>
        </is>
      </c>
      <c r="E25" s="12" t="inlineStr">
        <is>
          <t>You can just be straightforward with me.</t>
        </is>
      </c>
      <c r="F25" s="12" t="inlineStr">
        <is>
          <t>그냥 솔직히 말해줘도 돼.</t>
        </is>
      </c>
      <c r="G25" s="9">
        <f>HYPERLINK("https://www.youtube.com/watch?v=QvQUucVgmWc", "영상 보기 ▶")</f>
        <v/>
      </c>
    </row>
    <row r="26" ht="26" customHeight="1">
      <c r="A26" s="2" t="n">
        <v>1625</v>
      </c>
      <c r="B26" s="3" t="inlineStr">
        <is>
          <t>실전회화/표현</t>
        </is>
      </c>
      <c r="C26" s="4" t="inlineStr">
        <is>
          <t>Give it to me straight.</t>
        </is>
      </c>
      <c r="D26" s="11" t="inlineStr">
        <is>
          <t>솔직히 말해줘.</t>
        </is>
      </c>
      <c r="E26" s="11" t="inlineStr">
        <is>
          <t>Don’t sugarcoat it. Give it to me straight.</t>
        </is>
      </c>
      <c r="F26" s="11" t="inlineStr">
        <is>
          <t>좋게 포장해서 말하려 하지 말고 솔직히 말해줘.</t>
        </is>
      </c>
      <c r="G26" s="5">
        <f>HYPERLINK("https://www.youtube.com/watch?v=QvQUucVgmWc", "영상 보기 ▶")</f>
        <v/>
      </c>
    </row>
    <row r="27" ht="26" customHeight="1">
      <c r="A27" s="6" t="n">
        <v>1626</v>
      </c>
      <c r="B27" s="7" t="inlineStr">
        <is>
          <t>실전회화/표현</t>
        </is>
      </c>
      <c r="C27" s="8" t="inlineStr">
        <is>
          <t>straightforward</t>
        </is>
      </c>
      <c r="D27" s="12" t="inlineStr">
        <is>
          <t>간단한, 쉬운, 복잡하지 않은</t>
        </is>
      </c>
      <c r="E27" s="12" t="inlineStr">
        <is>
          <t>It’s pretty straightforward.</t>
        </is>
      </c>
      <c r="F27" s="12" t="inlineStr">
        <is>
          <t>이해하기 꽤 쉬워.</t>
        </is>
      </c>
      <c r="G27" s="9">
        <f>HYPERLINK("https://www.youtube.com/watch?v=QvQUucVgmWc", "영상 보기 ▶")</f>
        <v/>
      </c>
    </row>
    <row r="28" ht="26" customHeight="1">
      <c r="A28" s="2" t="n">
        <v>1627</v>
      </c>
      <c r="B28" s="3" t="inlineStr">
        <is>
          <t>실전회화/표현</t>
        </is>
      </c>
      <c r="C28" s="4" t="inlineStr">
        <is>
          <t>fortune</t>
        </is>
      </c>
      <c r="D28" s="11" t="inlineStr">
        <is>
          <t>큰 재산, 부</t>
        </is>
      </c>
      <c r="E28" s="11" t="inlineStr">
        <is>
          <t>It cost a fortune.</t>
        </is>
      </c>
      <c r="F28" s="11" t="inlineStr">
        <is>
          <t>그거 엄청 비쌌어.</t>
        </is>
      </c>
      <c r="G28" s="5">
        <f>HYPERLINK("https://www.youtube.com/watch?v=QvQUucVgmWc", "영상 보기 ▶")</f>
        <v/>
      </c>
    </row>
    <row r="29" ht="26" customHeight="1">
      <c r="A29" s="6" t="n">
        <v>1628</v>
      </c>
      <c r="B29" s="7" t="inlineStr">
        <is>
          <t>실전회화/표현</t>
        </is>
      </c>
      <c r="C29" s="8" t="inlineStr">
        <is>
          <t>strict</t>
        </is>
      </c>
      <c r="D29" s="12" t="inlineStr">
        <is>
          <t>엄격한, 엄밀한</t>
        </is>
      </c>
      <c r="E29" s="12" t="inlineStr">
        <is>
          <t>Let’s move on to the next topic. I have strict instructions to finish on time.</t>
        </is>
      </c>
      <c r="F29" s="12" t="inlineStr">
        <is>
          <t>다음 주제로 넘어가죠. 제 시간에 끝내야 한다고 지시를 받아서요.</t>
        </is>
      </c>
      <c r="G29" s="9">
        <f>HYPERLINK("https://www.youtube.com/watch?v=QvQUucVgmWc", "영상 보기 ▶")</f>
        <v/>
      </c>
    </row>
    <row r="30" ht="26" customHeight="1">
      <c r="A30" s="2" t="n">
        <v>1629</v>
      </c>
      <c r="B30" s="3" t="inlineStr">
        <is>
          <t>의견/의사결정</t>
        </is>
      </c>
      <c r="C30" s="4" t="inlineStr">
        <is>
          <t>be on the fence</t>
        </is>
      </c>
      <c r="D30" s="11" t="inlineStr">
        <is>
          <t>고민중인, 결정을 못한</t>
        </is>
      </c>
      <c r="E30" s="11" t="inlineStr">
        <is>
          <t>I’m still on the fence.</t>
        </is>
      </c>
      <c r="F30" s="11" t="inlineStr">
        <is>
          <t>아직 결정을 못했어.</t>
        </is>
      </c>
      <c r="G30" s="5">
        <f>HYPERLINK("https://www.youtube.com/watch?v=QvQUucVgmWc", "영상 보기 ▶")</f>
        <v/>
      </c>
    </row>
    <row r="31" ht="26" customHeight="1">
      <c r="A31" s="6" t="n">
        <v>1630</v>
      </c>
      <c r="B31" s="7" t="inlineStr">
        <is>
          <t>실전회화/표현</t>
        </is>
      </c>
      <c r="C31" s="8" t="inlineStr">
        <is>
          <t>​see through</t>
        </is>
      </c>
      <c r="D31" s="12" t="inlineStr">
        <is>
          <t>꿰뚫어보다, 간파하다</t>
        </is>
      </c>
      <c r="E31" s="12" t="inlineStr">
        <is>
          <t>You can’t just wing it. They’ll see right through that.</t>
        </is>
      </c>
      <c r="F31" s="12" t="inlineStr">
        <is>
          <t>준비없이 대충하면 바로 알아챌거야.</t>
        </is>
      </c>
      <c r="G31" s="9">
        <f>HYPERLINK("https://www.youtube.com/watch?v=QvQUucVgmWc", "영상 보기 ▶")</f>
        <v/>
      </c>
    </row>
    <row r="32" ht="26" customHeight="1">
      <c r="A32" s="2" t="n">
        <v>1631</v>
      </c>
      <c r="B32" s="3" t="inlineStr">
        <is>
          <t>실전회화/표현</t>
        </is>
      </c>
      <c r="C32" s="4" t="inlineStr">
        <is>
          <t>just this once</t>
        </is>
      </c>
      <c r="D32" s="11" t="inlineStr">
        <is>
          <t>이번 한 번만</t>
        </is>
      </c>
      <c r="E32" s="11" t="inlineStr">
        <is>
          <t>We'll do that for you just this once.</t>
        </is>
      </c>
      <c r="F32" s="11" t="inlineStr">
        <is>
          <t>이번 한 번만 그렇게 해드릴게요.</t>
        </is>
      </c>
      <c r="G32" s="5">
        <f>HYPERLINK("https://www.youtube.com/watch?v=QvQUucVgmWc", "영상 보기 ▶")</f>
        <v/>
      </c>
    </row>
    <row r="33" ht="26" customHeight="1">
      <c r="A33" s="6" t="n">
        <v>1632</v>
      </c>
      <c r="B33" s="7" t="inlineStr">
        <is>
          <t>실전회화/표현</t>
        </is>
      </c>
      <c r="C33" s="8" t="inlineStr">
        <is>
          <t>courtesy</t>
        </is>
      </c>
      <c r="D33" s="12" t="inlineStr">
        <is>
          <t>특별 대우, 우대</t>
        </is>
      </c>
      <c r="E33" s="12" t="inlineStr">
        <is>
          <t>We don't normally do that for our clients, but we'll do that as a one-time courtesy.</t>
        </is>
      </c>
      <c r="F33" s="12" t="inlineStr">
        <is>
          <t>고객들에게 원래 그렇게 안 해드리는데, 이번만 특별히 해드릴게요.</t>
        </is>
      </c>
      <c r="G33" s="9">
        <f>HYPERLINK("https://www.youtube.com/watch?v=QvQUucVgmWc", "영상 보기 ▶")</f>
        <v/>
      </c>
    </row>
    <row r="34" ht="26" customHeight="1">
      <c r="A34" s="2" t="n">
        <v>1633</v>
      </c>
      <c r="B34" s="3" t="inlineStr">
        <is>
          <t>실전회화/표현</t>
        </is>
      </c>
      <c r="C34" s="4" t="inlineStr">
        <is>
          <t>courtesy of ~</t>
        </is>
      </c>
      <c r="D34" s="11" t="inlineStr">
        <is>
          <t>의 호의로, ~가 제공하는</t>
        </is>
      </c>
      <c r="E34" s="11" t="inlineStr">
        <is>
          <t>Help yourself to some coffee, courtesy of the management.</t>
        </is>
      </c>
      <c r="F34" s="11" t="inlineStr">
        <is>
          <t>경영진에서 제공한 커피이니 마음껏 드세요.</t>
        </is>
      </c>
      <c r="G34" s="5">
        <f>HYPERLINK("https://www.youtube.com/watch?v=QvQUucVgmWc", "영상 보기 ▶")</f>
        <v/>
      </c>
    </row>
    <row r="35" ht="26" customHeight="1">
      <c r="A35" s="6" t="n">
        <v>1634</v>
      </c>
      <c r="B35" s="7" t="inlineStr">
        <is>
          <t>실전회화/표현</t>
        </is>
      </c>
      <c r="C35" s="8" t="inlineStr">
        <is>
          <t>from scratch</t>
        </is>
      </c>
      <c r="D35" s="12" t="inlineStr">
        <is>
          <t>맨 처음부터</t>
        </is>
      </c>
      <c r="E35" s="12" t="inlineStr">
        <is>
          <t>I made them from scratch.</t>
        </is>
      </c>
      <c r="F35" s="12" t="inlineStr">
        <is>
          <t>내가 처음부터 직접 다 만들었어.</t>
        </is>
      </c>
      <c r="G35" s="9">
        <f>HYPERLINK("https://www.youtube.com/watch?v=QvQUucVgmWc", "영상 보기 ▶")</f>
        <v/>
      </c>
    </row>
    <row r="36" ht="26" customHeight="1">
      <c r="A36" s="2" t="n">
        <v>1635</v>
      </c>
      <c r="B36" s="3" t="inlineStr">
        <is>
          <t>실전회화/표현</t>
        </is>
      </c>
      <c r="C36" s="4" t="inlineStr">
        <is>
          <t>Let's play it safe.</t>
        </is>
      </c>
      <c r="D36" s="11" t="inlineStr">
        <is>
          <t>안전하게 행동하자.</t>
        </is>
      </c>
      <c r="E36" s="11" t="inlineStr">
        <is>
          <t>Let's play it safe and leave in 10 minutes. I mean, we don't wanna be late.</t>
        </is>
      </c>
      <c r="F36" s="11" t="inlineStr">
        <is>
          <t>안전하게 10분 뒤에 출발하자. 늦고 싶진 않잖아.</t>
        </is>
      </c>
      <c r="G36" s="5">
        <f>HYPERLINK("https://www.youtube.com/watch?v=QvQUucVgmWc", "영상 보기 ▶")</f>
        <v/>
      </c>
    </row>
    <row r="37" ht="26" customHeight="1">
      <c r="A37" s="6" t="n">
        <v>1636</v>
      </c>
      <c r="B37" s="7" t="inlineStr">
        <is>
          <t>실전회화/표현</t>
        </is>
      </c>
      <c r="C37" s="8" t="inlineStr">
        <is>
          <t>Better safe than sorry.</t>
        </is>
      </c>
      <c r="D37" s="12" t="inlineStr">
        <is>
          <t>나중에 후회하는 것보단 조심하는 게 낫지 (유비무환)</t>
        </is>
      </c>
      <c r="E37" s="12" t="inlineStr">
        <is>
          <t>Let's bring an umbrella; better safe than sorry.</t>
        </is>
      </c>
      <c r="F37" s="12" t="inlineStr">
        <is>
          <t>우산 챙겨가자, 나중에 비 맞고 후회하는 것보단 낫잖아.</t>
        </is>
      </c>
      <c r="G37" s="9">
        <f>HYPERLINK("https://www.youtube.com/watch?v=QvQUucVgmWc", "영상 보기 ▶")</f>
        <v/>
      </c>
    </row>
    <row r="38" ht="26" customHeight="1">
      <c r="A38" s="2" t="n">
        <v>1637</v>
      </c>
      <c r="B38" s="3" t="inlineStr">
        <is>
          <t>실전회화/표현</t>
        </is>
      </c>
      <c r="C38" s="4" t="inlineStr">
        <is>
          <t>see the difference</t>
        </is>
      </c>
      <c r="D38" s="11" t="inlineStr">
        <is>
          <t>차이점을 알아보다</t>
        </is>
      </c>
      <c r="E38" s="11" t="inlineStr">
        <is>
          <t>Do you see the difference?</t>
        </is>
      </c>
      <c r="F38" s="11" t="inlineStr">
        <is>
          <t>차이점이 보이나요?</t>
        </is>
      </c>
      <c r="G38" s="5">
        <f>HYPERLINK("https://www.youtube.com/watch?v=QvQUucVgmWc", "영상 보기 ▶")</f>
        <v/>
      </c>
    </row>
    <row r="39" ht="26" customHeight="1">
      <c r="A39" s="6" t="n">
        <v>1638</v>
      </c>
      <c r="B39" s="7" t="inlineStr">
        <is>
          <t>실전회화/표현</t>
        </is>
      </c>
      <c r="C39" s="8" t="inlineStr">
        <is>
          <t>conservative</t>
        </is>
      </c>
      <c r="D39" s="12" t="inlineStr">
        <is>
          <t>보수적인, 조심스러운</t>
        </is>
      </c>
      <c r="E39" s="12" t="inlineStr">
        <is>
          <t>I'm conservative when it comes to money. I like to play it safe.</t>
        </is>
      </c>
      <c r="F39" s="12" t="inlineStr">
        <is>
          <t>난 돈에 있어선 조심스러워. 안전한게 좋거든.</t>
        </is>
      </c>
      <c r="G39" s="9">
        <f>HYPERLINK("https://www.youtube.com/watch?v=QvQUucVgmWc", "영상 보기 ▶")</f>
        <v/>
      </c>
    </row>
    <row r="40" ht="26" customHeight="1">
      <c r="A40" s="2" t="n">
        <v>1639</v>
      </c>
      <c r="B40" s="3" t="inlineStr">
        <is>
          <t>실전회화/표현</t>
        </is>
      </c>
      <c r="C40" s="4" t="inlineStr">
        <is>
          <t>-wise (접미사)</t>
        </is>
      </c>
      <c r="D40" s="11" t="inlineStr">
        <is>
          <t>(시간/비용 등의) 측면에서, ~에 관하여</t>
        </is>
      </c>
      <c r="E40" s="11" t="inlineStr">
        <is>
          <t>So, how are we doing time-wise?</t>
        </is>
      </c>
      <c r="F40" s="11" t="inlineStr">
        <is>
          <t>시간적인 측면에서 볼 때 우리 일정에 맞게 잘 진행되고 있나요?</t>
        </is>
      </c>
      <c r="G40" s="5">
        <f>HYPERLINK("https://www.youtube.com/watch?v=QvQUucVgmWc", "영상 보기 ▶")</f>
        <v/>
      </c>
    </row>
    <row r="41" ht="26" customHeight="1">
      <c r="A41" s="6" t="n">
        <v>1640</v>
      </c>
      <c r="B41" s="7" t="inlineStr">
        <is>
          <t>실전회화/표현</t>
        </is>
      </c>
      <c r="C41" s="8" t="inlineStr">
        <is>
          <t>go in a different direction</t>
        </is>
      </c>
      <c r="D41" s="12" t="inlineStr">
        <is>
          <t>다른 방향으로 가다</t>
        </is>
      </c>
      <c r="E41" s="12" t="inlineStr">
        <is>
          <t>I'm sorry, but we've decided to go in a different direction.</t>
        </is>
      </c>
      <c r="F41" s="12" t="inlineStr">
        <is>
          <t>죄송하지만, 저희는 다른 방향으로 가기로 했어요.</t>
        </is>
      </c>
      <c r="G41" s="9">
        <f>HYPERLINK("https://www.youtube.com/watch?v=QvQUucVgmWc", "영상 보기 ▶")</f>
        <v/>
      </c>
    </row>
    <row r="42" ht="26" customHeight="1">
      <c r="A42" s="2" t="n">
        <v>1641</v>
      </c>
      <c r="B42" s="3" t="inlineStr">
        <is>
          <t>실전회화/표현</t>
        </is>
      </c>
      <c r="C42" s="4" t="inlineStr">
        <is>
          <t>familiar</t>
        </is>
      </c>
      <c r="D42" s="11" t="inlineStr">
        <is>
          <t>익숙한, 친숙한</t>
        </is>
      </c>
      <c r="E42" s="11" t="inlineStr">
        <is>
          <t>Can you walk me through it? I'm not familiar with the concept.</t>
        </is>
      </c>
      <c r="F42" s="11" t="inlineStr">
        <is>
          <t>차근차근 설명해 줄 수 있어? 개념이 익숙치 않아서.</t>
        </is>
      </c>
      <c r="G42" s="5">
        <f>HYPERLINK("https://www.youtube.com/watch?v=QvQUucVgmWc", "영상 보기 ▶")</f>
        <v/>
      </c>
    </row>
    <row r="43" ht="26" customHeight="1">
      <c r="A43" s="6" t="n">
        <v>1642</v>
      </c>
      <c r="B43" s="7" t="inlineStr">
        <is>
          <t>실전회화/표현</t>
        </is>
      </c>
      <c r="C43" s="8" t="inlineStr">
        <is>
          <t>catch</t>
        </is>
      </c>
      <c r="D43" s="12" t="inlineStr">
        <is>
          <t>알아듣다</t>
        </is>
      </c>
      <c r="E43" s="12" t="inlineStr">
        <is>
          <t>Sorry, I didn't catch that last part.</t>
        </is>
      </c>
      <c r="F43" s="12" t="inlineStr">
        <is>
          <t>미안한데 마지막 부분은 잘 못 들었어.</t>
        </is>
      </c>
      <c r="G43" s="9">
        <f>HYPERLINK("https://www.youtube.com/watch?v=QvQUucVgmWc", "영상 보기 ▶")</f>
        <v/>
      </c>
    </row>
    <row r="44" ht="26" customHeight="1">
      <c r="A44" s="2" t="n">
        <v>1643</v>
      </c>
      <c r="B44" s="3" t="inlineStr">
        <is>
          <t>실전회화/표현</t>
        </is>
      </c>
      <c r="C44" s="4" t="inlineStr">
        <is>
          <t>You can never be too prepared.</t>
        </is>
      </c>
      <c r="D44" s="11" t="inlineStr">
        <is>
          <t>준비는 아무리 철저히 해도 지나치지 않아</t>
        </is>
      </c>
      <c r="E44" s="11" t="inlineStr">
        <is>
          <t>Review the slides again; you can never be too prepared.</t>
        </is>
      </c>
      <c r="F44" s="11" t="inlineStr">
        <is>
          <t>슬라이드 다시 점검해 봐, 준비는 과할수록 좋은 법이야.</t>
        </is>
      </c>
      <c r="G44" s="5">
        <f>HYPERLINK("https://www.youtube.com/watch?v=QvQUucVgmWc", "영상 보기 ▶")</f>
        <v/>
      </c>
    </row>
    <row r="45" ht="26" customHeight="1">
      <c r="A45" s="6" t="n">
        <v>1644</v>
      </c>
      <c r="B45" s="7" t="inlineStr">
        <is>
          <t>실전회화/표현</t>
        </is>
      </c>
      <c r="C45" s="8" t="inlineStr">
        <is>
          <t>point me in the right direction</t>
        </is>
      </c>
      <c r="D45" s="12" t="inlineStr">
        <is>
          <t>옳은 방향을 알려주다</t>
        </is>
      </c>
      <c r="E45" s="12" t="inlineStr">
        <is>
          <t>Could you point me in the right direction?</t>
        </is>
      </c>
      <c r="F45" s="12" t="inlineStr">
        <is>
          <t>어떻게 해야할지 조언해줄 수 있어?</t>
        </is>
      </c>
      <c r="G45" s="9">
        <f>HYPERLINK("https://www.youtube.com/watch?v=QvQUucVgmWc", "영상 보기 ▶")</f>
        <v/>
      </c>
    </row>
    <row r="46" ht="26" customHeight="1">
      <c r="A46" s="2" t="n">
        <v>1645</v>
      </c>
      <c r="B46" s="3" t="inlineStr">
        <is>
          <t>실전회화/표현</t>
        </is>
      </c>
      <c r="C46" s="4" t="inlineStr">
        <is>
          <t>moving forward</t>
        </is>
      </c>
      <c r="D46" s="11" t="inlineStr">
        <is>
          <t>앞으로</t>
        </is>
      </c>
      <c r="E46" s="11" t="inlineStr">
        <is>
          <t>What should we do moving forward?</t>
        </is>
      </c>
      <c r="F46" s="11" t="inlineStr">
        <is>
          <t>앞으로 어떻게 해야할까?</t>
        </is>
      </c>
      <c r="G46" s="5">
        <f>HYPERLINK("https://www.youtube.com/watch?v=QvQUucVgmWc", "영상 보기 ▶")</f>
        <v/>
      </c>
    </row>
    <row r="47" ht="26" customHeight="1">
      <c r="A47" s="6" t="n">
        <v>1646</v>
      </c>
      <c r="B47" s="7" t="inlineStr">
        <is>
          <t>의견/의사결정</t>
        </is>
      </c>
      <c r="C47" s="8" t="inlineStr">
        <is>
          <t>see eye to eye</t>
        </is>
      </c>
      <c r="D47" s="12" t="inlineStr">
        <is>
          <t>서로 의견, 생각이 일치하다</t>
        </is>
      </c>
      <c r="E47" s="12" t="inlineStr">
        <is>
          <t>We don't always see eye to eye, but he's a good person.</t>
        </is>
      </c>
      <c r="F47" s="12" t="inlineStr">
        <is>
          <t>의견이 늘 같진 않지만, 그래도 그는 좋은 사람이야.</t>
        </is>
      </c>
      <c r="G47" s="9">
        <f>HYPERLINK("https://www.youtube.com/watch?v=QvQUucVgmWc", "영상 보기 ▶")</f>
        <v/>
      </c>
    </row>
    <row r="48" ht="26" customHeight="1">
      <c r="A48" s="2" t="n">
        <v>1647</v>
      </c>
      <c r="B48" s="3" t="inlineStr">
        <is>
          <t>실전회화/표현</t>
        </is>
      </c>
      <c r="C48" s="4" t="inlineStr">
        <is>
          <t>similar</t>
        </is>
      </c>
      <c r="D48" s="11" t="inlineStr">
        <is>
          <t>비슷한, 닮은</t>
        </is>
      </c>
      <c r="E48" s="11" t="inlineStr">
        <is>
          <t>They're not the same, but they are similar.</t>
        </is>
      </c>
      <c r="F48" s="11" t="inlineStr">
        <is>
          <t>똑같지는 않지만 비슷해.</t>
        </is>
      </c>
      <c r="G48" s="5">
        <f>HYPERLINK("https://www.youtube.com/watch?v=QvQUucVgmWc", "영상 보기 ▶")</f>
        <v/>
      </c>
    </row>
    <row r="49" ht="26" customHeight="1">
      <c r="A49" s="6" t="n">
        <v>1648</v>
      </c>
      <c r="B49" s="7" t="inlineStr">
        <is>
          <t>실전회화/표현</t>
        </is>
      </c>
      <c r="C49" s="8" t="inlineStr">
        <is>
          <t>go with (</t>
        </is>
      </c>
      <c r="D49" s="12" t="inlineStr">
        <is>
          <t>계획, 제의 등을) 받아들이다</t>
        </is>
      </c>
      <c r="E49" s="12" t="inlineStr">
        <is>
          <t>I'm sorry, but we've decided to go with Kevin's idea.</t>
        </is>
      </c>
      <c r="F49" s="12" t="inlineStr">
        <is>
          <t>미안하지만 케빈의 아이디어를 받아들이기로 했어.</t>
        </is>
      </c>
      <c r="G49" s="9">
        <f>HYPERLINK("https://www.youtube.com/watch?v=QvQUucVgmWc", "영상 보기 ▶")</f>
        <v/>
      </c>
    </row>
    <row r="50" ht="26" customHeight="1">
      <c r="A50" s="2" t="n">
        <v>1649</v>
      </c>
      <c r="B50" s="3" t="inlineStr">
        <is>
          <t>실전회화/표현</t>
        </is>
      </c>
      <c r="C50" s="4" t="inlineStr">
        <is>
          <t>move forward</t>
        </is>
      </c>
      <c r="D50" s="11" t="inlineStr">
        <is>
          <t>추진하다, 진행하다, 나아가다</t>
        </is>
      </c>
      <c r="E50" s="11" t="inlineStr">
        <is>
          <t>We're interested in moving forward. What would be the next step?</t>
        </is>
      </c>
      <c r="F50" s="11" t="inlineStr">
        <is>
          <t>이렇게 진행하고 싶은데 다음 단계는 어떻게 되죠?</t>
        </is>
      </c>
      <c r="G50" s="5">
        <f>HYPERLINK("https://www.youtube.com/watch?v=QvQUucVgmWc", "영상 보기 ▶")</f>
        <v/>
      </c>
    </row>
    <row r="51" ht="26" customHeight="1">
      <c r="A51" s="6" t="n">
        <v>1650</v>
      </c>
      <c r="B51" s="7" t="inlineStr">
        <is>
          <t>실전회화/표현</t>
        </is>
      </c>
      <c r="C51" s="8" t="inlineStr">
        <is>
          <t>turn down</t>
        </is>
      </c>
      <c r="D51" s="12" t="inlineStr">
        <is>
          <t>거절, 거부하다</t>
        </is>
      </c>
      <c r="E51" s="12" t="inlineStr">
        <is>
          <t>I'm sorry, but we've decided to turn down your proposal.</t>
        </is>
      </c>
      <c r="F51" s="12" t="inlineStr">
        <is>
          <t>죄송하지만 제안을 거절하기로 결정했어요.</t>
        </is>
      </c>
      <c r="G51" s="9">
        <f>HYPERLINK("https://www.youtube.com/watch?v=QvQUucVgmWc", "영상 보기 ▶")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6" customWidth="1" min="3" max="3"/>
    <col width="36.9" customWidth="1" min="4" max="4"/>
    <col width="75" customWidth="1" min="5" max="5"/>
    <col width="75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1651</v>
      </c>
      <c r="B2" s="3" t="inlineStr">
        <is>
          <t>실전회화/표현</t>
        </is>
      </c>
      <c r="C2" s="4" t="inlineStr">
        <is>
          <t>track record</t>
        </is>
      </c>
      <c r="D2" s="11" t="inlineStr">
        <is>
          <t>실적, 전적</t>
        </is>
      </c>
      <c r="E2" s="11" t="inlineStr">
        <is>
          <t>They have a track record of great products.</t>
        </is>
      </c>
      <c r="F2" s="11" t="inlineStr">
        <is>
          <t>지금까지 그들이 내놓은 상품들이 다 좋아.</t>
        </is>
      </c>
      <c r="G2" s="5">
        <f>HYPERLINK("https://www.youtube.com/watch?v=5NOqOeZdtfQ", "영상 보기 ▶")</f>
        <v/>
      </c>
    </row>
    <row r="3" ht="26" customHeight="1">
      <c r="A3" s="6" t="n">
        <v>1652</v>
      </c>
      <c r="B3" s="7" t="inlineStr">
        <is>
          <t>실전회화/표현</t>
        </is>
      </c>
      <c r="C3" s="8" t="inlineStr">
        <is>
          <t>rule out</t>
        </is>
      </c>
      <c r="D3" s="12" t="inlineStr">
        <is>
          <t>배제하다, 제외시키다</t>
        </is>
      </c>
      <c r="E3" s="12" t="inlineStr">
        <is>
          <t>We can rule out the last option. It's not within our budget.</t>
        </is>
      </c>
      <c r="F3" s="12" t="inlineStr">
        <is>
          <t>우리 예산 밖이니 마지막 옵션은 제외시켜도 돼.</t>
        </is>
      </c>
      <c r="G3" s="9">
        <f>HYPERLINK("https://www.youtube.com/watch?v=5NOqOeZdtfQ", "영상 보기 ▶")</f>
        <v/>
      </c>
    </row>
    <row r="4" ht="26" customHeight="1">
      <c r="A4" s="2" t="n">
        <v>1653</v>
      </c>
      <c r="B4" s="3" t="inlineStr">
        <is>
          <t>실전회화/표현</t>
        </is>
      </c>
      <c r="C4" s="4" t="inlineStr">
        <is>
          <t>greenlight</t>
        </is>
      </c>
      <c r="D4" s="11" t="inlineStr">
        <is>
          <t>허가, 승인하다</t>
        </is>
      </c>
      <c r="E4" s="11" t="inlineStr">
        <is>
          <t>He finally greenlit the project.</t>
        </is>
      </c>
      <c r="F4" s="11" t="inlineStr">
        <is>
          <t>드디어 그가 프로젝트를 승인했어.</t>
        </is>
      </c>
      <c r="G4" s="5">
        <f>HYPERLINK("https://www.youtube.com/watch?v=5NOqOeZdtfQ", "영상 보기 ▶")</f>
        <v/>
      </c>
    </row>
    <row r="5" ht="26" customHeight="1">
      <c r="A5" s="6" t="n">
        <v>1654</v>
      </c>
      <c r="B5" s="7" t="inlineStr">
        <is>
          <t>실전회화/표현</t>
        </is>
      </c>
      <c r="C5" s="8" t="inlineStr">
        <is>
          <t>sign off on</t>
        </is>
      </c>
      <c r="D5" s="12" t="inlineStr">
        <is>
          <t>허가, 승인하다</t>
        </is>
      </c>
      <c r="E5" s="12" t="inlineStr">
        <is>
          <t>He finally signed off on the project.</t>
        </is>
      </c>
      <c r="F5" s="12" t="inlineStr">
        <is>
          <t>그가 드디어 프로젝트를 승인했어.</t>
        </is>
      </c>
      <c r="G5" s="9">
        <f>HYPERLINK("https://www.youtube.com/watch?v=5NOqOeZdtfQ", "영상 보기 ▶")</f>
        <v/>
      </c>
    </row>
    <row r="6" ht="26" customHeight="1">
      <c r="A6" s="2" t="n">
        <v>1655</v>
      </c>
      <c r="B6" s="3" t="inlineStr">
        <is>
          <t>실전회화/표현</t>
        </is>
      </c>
      <c r="C6" s="4" t="inlineStr">
        <is>
          <t>big ask</t>
        </is>
      </c>
      <c r="D6" s="11" t="inlineStr">
        <is>
          <t>만만찮은 일, 힘든 요구사항</t>
        </is>
      </c>
      <c r="E6" s="11" t="inlineStr">
        <is>
          <t>I know it's a big ask, but we have to do everything by Friday.</t>
        </is>
      </c>
      <c r="F6" s="11" t="inlineStr">
        <is>
          <t>힘든 요구라는거 알지만, 금요일까지 다 끝내야 해.</t>
        </is>
      </c>
      <c r="G6" s="5">
        <f>HYPERLINK("https://www.youtube.com/watch?v=5NOqOeZdtfQ", "영상 보기 ▶")</f>
        <v/>
      </c>
    </row>
    <row r="7" ht="26" customHeight="1">
      <c r="A7" s="6" t="n">
        <v>1656</v>
      </c>
      <c r="B7" s="7" t="inlineStr">
        <is>
          <t>실전회화/표현</t>
        </is>
      </c>
      <c r="C7" s="8" t="inlineStr">
        <is>
          <t>big favor</t>
        </is>
      </c>
      <c r="D7" s="12" t="inlineStr">
        <is>
          <t>큰 부탁 (&amp;#x3D; huge favor)</t>
        </is>
      </c>
      <c r="E7" s="12" t="inlineStr">
        <is>
          <t>Can I ask you a big favot? Would you mind pick Ziggy up at pick-up? I just have so much work to do, and I could use a few extra hours to catch up.</t>
        </is>
      </c>
      <c r="F7" s="12" t="inlineStr">
        <is>
          <t>큰 부탁 하나 해도 될까? 우리 애 좀 픽업해줄 수 있어? 일이 너무 많아서 다 하려면 몇시간 더 걸릴 것 같아.</t>
        </is>
      </c>
      <c r="G7" s="9">
        <f>HYPERLINK("https://www.youtube.com/watch?v=5NOqOeZdtfQ", "영상 보기 ▶")</f>
        <v/>
      </c>
    </row>
    <row r="8" ht="26" customHeight="1">
      <c r="A8" s="2" t="n">
        <v>1657</v>
      </c>
      <c r="B8" s="3" t="inlineStr">
        <is>
          <t>실전회화/표현</t>
        </is>
      </c>
      <c r="C8" s="4" t="inlineStr">
        <is>
          <t>turn to ~</t>
        </is>
      </c>
      <c r="D8" s="11" t="inlineStr">
        <is>
          <t>에 의지하다</t>
        </is>
      </c>
      <c r="E8" s="11" t="inlineStr">
        <is>
          <t>The deadline is tomorrow, and I didn't know who else to turn to.</t>
        </is>
      </c>
      <c r="F8" s="11" t="inlineStr">
        <is>
          <t>마감기한이 내일인데 너 말고 누구한테 도움을 요청하야할지 몰라서.</t>
        </is>
      </c>
      <c r="G8" s="5">
        <f>HYPERLINK("https://www.youtube.com/watch?v=5NOqOeZdtfQ", "영상 보기 ▶")</f>
        <v/>
      </c>
    </row>
    <row r="9" ht="26" customHeight="1">
      <c r="A9" s="6" t="n">
        <v>1658</v>
      </c>
      <c r="B9" s="7" t="inlineStr">
        <is>
          <t>실전회화/표현</t>
        </is>
      </c>
      <c r="C9" s="8" t="inlineStr">
        <is>
          <t>turn to ~</t>
        </is>
      </c>
      <c r="D9" s="12" t="inlineStr">
        <is>
          <t>로 넘어가다</t>
        </is>
      </c>
      <c r="E9" s="12" t="inlineStr">
        <is>
          <t>Now, let's turn to strategies.</t>
        </is>
      </c>
      <c r="F9" s="12" t="inlineStr">
        <is>
          <t>이제 전략을 얘기해보도록 하죠.</t>
        </is>
      </c>
      <c r="G9" s="9">
        <f>HYPERLINK("https://www.youtube.com/watch?v=5NOqOeZdtfQ", "영상 보기 ▶")</f>
        <v/>
      </c>
    </row>
    <row r="10" ht="26" customHeight="1">
      <c r="A10" s="2" t="n">
        <v>1659</v>
      </c>
      <c r="B10" s="3" t="inlineStr">
        <is>
          <t>실전회화/표현</t>
        </is>
      </c>
      <c r="C10" s="4" t="inlineStr">
        <is>
          <t>get around to something</t>
        </is>
      </c>
      <c r="D10" s="11" t="inlineStr">
        <is>
          <t>시간, 짬을 내다</t>
        </is>
      </c>
      <c r="E10" s="11" t="inlineStr">
        <is>
          <t>Sorry, I haven't gotten around to it yet.</t>
        </is>
      </c>
      <c r="F10" s="11" t="inlineStr">
        <is>
          <t>미안해, 시간이 없어서 아직 못했어.</t>
        </is>
      </c>
      <c r="G10" s="5">
        <f>HYPERLINK("https://www.youtube.com/watch?v=5NOqOeZdtfQ", "영상 보기 ▶")</f>
        <v/>
      </c>
    </row>
    <row r="11" ht="26" customHeight="1">
      <c r="A11" s="6" t="n">
        <v>1660</v>
      </c>
      <c r="B11" s="7" t="inlineStr">
        <is>
          <t>실전회화/표현</t>
        </is>
      </c>
      <c r="C11" s="8" t="inlineStr">
        <is>
          <t>not one's first rodeo</t>
        </is>
      </c>
      <c r="D11" s="12" t="inlineStr">
        <is>
          <t>처음이 아닌</t>
        </is>
      </c>
      <c r="E11" s="12" t="inlineStr">
        <is>
          <t>A: Are you all set for the presentation tomorrow?</t>
        </is>
      </c>
      <c r="F11" s="12" t="inlineStr">
        <is>
          <t>내일 발표 준비는 다 됐지?</t>
        </is>
      </c>
      <c r="G11" s="9">
        <f>HYPERLINK("https://www.youtube.com/watch?v=5NOqOeZdtfQ", "영상 보기 ▶")</f>
        <v/>
      </c>
    </row>
    <row r="12" ht="26" customHeight="1">
      <c r="A12" s="2" t="n">
        <v>1661</v>
      </c>
      <c r="B12" s="3" t="inlineStr">
        <is>
          <t>실전회화/표현</t>
        </is>
      </c>
      <c r="C12" s="4" t="inlineStr">
        <is>
          <t>bug</t>
        </is>
      </c>
      <c r="D12" s="11" t="inlineStr">
        <is>
          <t>귀찮게 굴다, 거슬리게 하다</t>
        </is>
      </c>
      <c r="E12" s="11" t="inlineStr">
        <is>
          <t>Is something bugging you? What's on your mind?</t>
        </is>
      </c>
      <c r="F12" s="11" t="inlineStr">
        <is>
          <t>뭐 신경쓰이는 일 있어? 무슨 생각해?</t>
        </is>
      </c>
      <c r="G12" s="5">
        <f>HYPERLINK("https://www.youtube.com/watch?v=5NOqOeZdtfQ", "영상 보기 ▶")</f>
        <v/>
      </c>
    </row>
    <row r="13" ht="26" customHeight="1">
      <c r="A13" s="6" t="n">
        <v>1662</v>
      </c>
      <c r="B13" s="7" t="inlineStr">
        <is>
          <t>실전회화/표현</t>
        </is>
      </c>
      <c r="C13" s="8" t="inlineStr">
        <is>
          <t>be in good hands</t>
        </is>
      </c>
      <c r="D13" s="12" t="inlineStr">
        <is>
          <t>안심할 수 있는, 잘 관리되는</t>
        </is>
      </c>
      <c r="E13" s="12" t="inlineStr">
        <is>
          <t>This isn't our first rodeo. You're in good hands.</t>
        </is>
      </c>
      <c r="F13" s="12" t="inlineStr">
        <is>
          <t>저희가 이런걸 한두번 해본것도 아니고 잘 케어해드릴테니 안심하세요.</t>
        </is>
      </c>
      <c r="G13" s="9">
        <f>HYPERLINK("https://www.youtube.com/watch?v=5NOqOeZdtfQ", "영상 보기 ▶")</f>
        <v/>
      </c>
    </row>
    <row r="14" ht="26" customHeight="1">
      <c r="A14" s="2" t="n">
        <v>1663</v>
      </c>
      <c r="B14" s="3" t="inlineStr">
        <is>
          <t>실전회화/표현</t>
        </is>
      </c>
      <c r="C14" s="4" t="inlineStr">
        <is>
          <t>stickler</t>
        </is>
      </c>
      <c r="D14" s="11" t="inlineStr">
        <is>
          <t>까다로운, 엄격한 사람</t>
        </is>
      </c>
      <c r="E14" s="11" t="inlineStr">
        <is>
          <t>A: We might be a little late to the meeting.</t>
        </is>
      </c>
      <c r="F14" s="11" t="inlineStr">
        <is>
          <t>우리 미팅에 조금 늦을 수도 있어.</t>
        </is>
      </c>
      <c r="G14" s="5">
        <f>HYPERLINK("https://www.youtube.com/watch?v=5NOqOeZdtfQ", "영상 보기 ▶")</f>
        <v/>
      </c>
    </row>
    <row r="15" ht="26" customHeight="1">
      <c r="A15" s="6" t="n">
        <v>1664</v>
      </c>
      <c r="B15" s="7" t="inlineStr">
        <is>
          <t>실전회화/표현</t>
        </is>
      </c>
      <c r="C15" s="8" t="inlineStr">
        <is>
          <t>street smart</t>
        </is>
      </c>
      <c r="D15" s="12" t="inlineStr">
        <is>
          <t>세상 물정에 밝은, 지혜가 많은</t>
        </is>
      </c>
      <c r="E15" s="12" t="inlineStr">
        <is>
          <t>I prefer street smart to book smart.</t>
        </is>
      </c>
      <c r="F15" s="12" t="inlineStr">
        <is>
          <t>난 책 똑똑이 보단 세상 사는 지혜가 있는 사람이 좋아.</t>
        </is>
      </c>
      <c r="G15" s="9">
        <f>HYPERLINK("https://www.youtube.com/watch?v=5NOqOeZdtfQ", "영상 보기 ▶")</f>
        <v/>
      </c>
    </row>
    <row r="16" ht="26" customHeight="1">
      <c r="A16" s="2" t="n">
        <v>1665</v>
      </c>
      <c r="B16" s="3" t="inlineStr">
        <is>
          <t>실전회화/표현</t>
        </is>
      </c>
      <c r="C16" s="4" t="inlineStr">
        <is>
          <t>get into</t>
        </is>
      </c>
      <c r="D16" s="11" t="inlineStr">
        <is>
          <t>들어가다, ~를 시작하게 되다</t>
        </is>
      </c>
      <c r="E16" s="11" t="inlineStr">
        <is>
          <t>How did you get into that industry?</t>
        </is>
      </c>
      <c r="F16" s="11" t="inlineStr">
        <is>
          <t>그 분야 일은 어떻게 시작하게 된거야?</t>
        </is>
      </c>
      <c r="G16" s="5">
        <f>HYPERLINK("https://www.youtube.com/watch?v=5NOqOeZdtfQ", "영상 보기 ▶")</f>
        <v/>
      </c>
    </row>
    <row r="17" ht="26" customHeight="1">
      <c r="A17" s="6" t="n">
        <v>1666</v>
      </c>
      <c r="B17" s="7" t="inlineStr">
        <is>
          <t>실전회화/표현</t>
        </is>
      </c>
      <c r="C17" s="8" t="inlineStr">
        <is>
          <t>get out of ~</t>
        </is>
      </c>
      <c r="D17" s="12" t="inlineStr">
        <is>
          <t>에서 얻다</t>
        </is>
      </c>
      <c r="E17" s="12" t="inlineStr">
        <is>
          <t>I hope you get a lot out of this training program.</t>
        </is>
      </c>
      <c r="F17" s="12" t="inlineStr">
        <is>
          <t>이 프로그램에서 많은 걸 얻어가시길 바라요.</t>
        </is>
      </c>
      <c r="G17" s="9">
        <f>HYPERLINK("https://www.youtube.com/watch?v=5NOqOeZdtfQ", "영상 보기 ▶")</f>
        <v/>
      </c>
    </row>
    <row r="18" ht="26" customHeight="1">
      <c r="A18" s="2" t="n">
        <v>1667</v>
      </c>
      <c r="B18" s="3" t="inlineStr">
        <is>
          <t>실전회화/표현</t>
        </is>
      </c>
      <c r="C18" s="4" t="inlineStr">
        <is>
          <t>time constraints</t>
        </is>
      </c>
      <c r="D18" s="11" t="inlineStr">
        <is>
          <t>시간 제약</t>
        </is>
      </c>
      <c r="E18" s="11" t="inlineStr">
        <is>
          <t>Due to time constraints, I can't get into the details.</t>
        </is>
      </c>
      <c r="F18" s="11" t="inlineStr">
        <is>
          <t>시간 제한 때문에 자세한 것 까지 다루지는 못 하겠네요.</t>
        </is>
      </c>
      <c r="G18" s="5">
        <f>HYPERLINK("https://www.youtube.com/watch?v=5NOqOeZdtfQ", "영상 보기 ▶")</f>
        <v/>
      </c>
    </row>
    <row r="19" ht="26" customHeight="1">
      <c r="A19" s="6" t="n">
        <v>1668</v>
      </c>
      <c r="B19" s="7" t="inlineStr">
        <is>
          <t>실전회화/표현</t>
        </is>
      </c>
      <c r="C19" s="8" t="inlineStr">
        <is>
          <t>game-changer</t>
        </is>
      </c>
      <c r="D19" s="12" t="inlineStr">
        <is>
          <t>상황을 바꿔놓는 사람, 아이디어, 사건</t>
        </is>
      </c>
      <c r="E19" s="12" t="inlineStr">
        <is>
          <t>Wow, this is really good! Adding chocolate was a game-changer.</t>
        </is>
      </c>
      <c r="F19" s="12" t="inlineStr">
        <is>
          <t>와, 진짜 맛있다. 초코를 더한게 신의 한수였어.</t>
        </is>
      </c>
      <c r="G19" s="9">
        <f>HYPERLINK("https://www.youtube.com/watch?v=5NOqOeZdtfQ", "영상 보기 ▶")</f>
        <v/>
      </c>
    </row>
    <row r="20" ht="26" customHeight="1">
      <c r="A20" s="2" t="n">
        <v>1669</v>
      </c>
      <c r="B20" s="3" t="inlineStr">
        <is>
          <t>실전회화/표현</t>
        </is>
      </c>
      <c r="C20" s="4" t="inlineStr">
        <is>
          <t>get</t>
        </is>
      </c>
      <c r="D20" s="11" t="inlineStr">
        <is>
          <t>대상 out of your system ~를 해소하다</t>
        </is>
      </c>
      <c r="E20" s="11" t="inlineStr">
        <is>
          <t>Whatever you wanna say, just get it out of your system.</t>
        </is>
      </c>
      <c r="F20" s="11" t="inlineStr">
        <is>
          <t>그냥 하고 싶은 말이 있으면 속 시원하게 해.</t>
        </is>
      </c>
      <c r="G20" s="5">
        <f>HYPERLINK("https://www.youtube.com/watch?v=5NOqOeZdtfQ", "영상 보기 ▶")</f>
        <v/>
      </c>
    </row>
    <row r="21" ht="26" customHeight="1">
      <c r="A21" s="6" t="n">
        <v>1670</v>
      </c>
      <c r="B21" s="7" t="inlineStr">
        <is>
          <t>공감/감정</t>
        </is>
      </c>
      <c r="C21" s="8" t="inlineStr">
        <is>
          <t>hard feelings</t>
        </is>
      </c>
      <c r="D21" s="12" t="inlineStr">
        <is>
          <t>안 좋은 감정</t>
        </is>
      </c>
      <c r="E21" s="12" t="inlineStr">
        <is>
          <t>No hard feelings, right?</t>
        </is>
      </c>
      <c r="F21" s="12" t="inlineStr">
        <is>
          <t>우리 사이 괜찮은거지?</t>
        </is>
      </c>
      <c r="G21" s="9">
        <f>HYPERLINK("https://www.youtube.com/watch?v=5NOqOeZdtfQ", "영상 보기 ▶")</f>
        <v/>
      </c>
    </row>
    <row r="22" ht="26" customHeight="1">
      <c r="A22" s="2" t="n">
        <v>1671</v>
      </c>
      <c r="B22" s="3" t="inlineStr">
        <is>
          <t>실전회화/표현</t>
        </is>
      </c>
      <c r="C22" s="4" t="inlineStr">
        <is>
          <t>intense</t>
        </is>
      </c>
      <c r="D22" s="11" t="inlineStr">
        <is>
          <t>심한, 격렬한</t>
        </is>
      </c>
      <c r="E22" s="11" t="inlineStr">
        <is>
          <t>That's so intense.</t>
        </is>
      </c>
      <c r="F22" s="11" t="inlineStr">
        <is>
          <t>진짜 장난 아니다.</t>
        </is>
      </c>
      <c r="G22" s="5">
        <f>HYPERLINK("https://www.youtube.com/watch?v=5NOqOeZdtfQ", "영상 보기 ▶")</f>
        <v/>
      </c>
    </row>
    <row r="23" ht="26" customHeight="1">
      <c r="A23" s="6" t="n">
        <v>1672</v>
      </c>
      <c r="B23" s="7" t="inlineStr">
        <is>
          <t>실전회화/표현</t>
        </is>
      </c>
      <c r="C23" s="8" t="inlineStr">
        <is>
          <t>have one's hands full</t>
        </is>
      </c>
      <c r="D23" s="12" t="inlineStr">
        <is>
          <t>정말 바쁜</t>
        </is>
      </c>
      <c r="E23" s="12" t="inlineStr">
        <is>
          <t>Sorry, I have my hands full.</t>
        </is>
      </c>
      <c r="F23" s="12" t="inlineStr">
        <is>
          <t>미안해. 나 정말 바빠.</t>
        </is>
      </c>
      <c r="G23" s="9">
        <f>HYPERLINK("https://www.youtube.com/watch?v=5NOqOeZdtfQ", "영상 보기 ▶")</f>
        <v/>
      </c>
    </row>
    <row r="24" ht="26" customHeight="1">
      <c r="A24" s="2" t="n">
        <v>1673</v>
      </c>
      <c r="B24" s="3" t="inlineStr">
        <is>
          <t>실전회화/표현</t>
        </is>
      </c>
      <c r="C24" s="4" t="inlineStr">
        <is>
          <t>My hands are tied.</t>
        </is>
      </c>
      <c r="D24" s="11" t="inlineStr">
        <is>
          <t>저도 어쩔 수 없어요.</t>
        </is>
      </c>
      <c r="E24" s="11" t="inlineStr">
        <is>
          <t>My hands are tied.</t>
        </is>
      </c>
      <c r="F24" s="11" t="inlineStr">
        <is>
          <t>저도 어쩔 수 없어요.</t>
        </is>
      </c>
      <c r="G24" s="5">
        <f>HYPERLINK("https://www.youtube.com/watch?v=5NOqOeZdtfQ", "영상 보기 ▶")</f>
        <v/>
      </c>
    </row>
    <row r="25" ht="26" customHeight="1">
      <c r="A25" s="6" t="n">
        <v>1674</v>
      </c>
      <c r="B25" s="7" t="inlineStr">
        <is>
          <t>실전회화/표현</t>
        </is>
      </c>
      <c r="C25" s="8" t="inlineStr">
        <is>
          <t>back on track</t>
        </is>
      </c>
      <c r="D25" s="12" t="inlineStr">
        <is>
          <t>다시 정상으로 돌아온</t>
        </is>
      </c>
      <c r="E25" s="12" t="inlineStr">
        <is>
          <t>I took some time off, and I'm trying to get my career back on the track.</t>
        </is>
      </c>
      <c r="F25" s="12" t="inlineStr">
        <is>
          <t>일을 좀 쉬어서 다시 커리어를 복구시키려 노력 중이야.</t>
        </is>
      </c>
      <c r="G25" s="9">
        <f>HYPERLINK("https://www.youtube.com/watch?v=5NOqOeZdtfQ", "영상 보기 ▶")</f>
        <v/>
      </c>
    </row>
    <row r="26" ht="26" customHeight="1">
      <c r="A26" s="2" t="n">
        <v>1675</v>
      </c>
      <c r="B26" s="3" t="inlineStr">
        <is>
          <t>실전회화/표현</t>
        </is>
      </c>
      <c r="C26" s="4" t="inlineStr">
        <is>
          <t>sidetrack (</t>
        </is>
      </c>
      <c r="D26" s="11" t="inlineStr">
        <is>
          <t>주제, 본론에서) 벗어나다</t>
        </is>
      </c>
      <c r="E26" s="11" t="inlineStr">
        <is>
          <t>I think we're getting sidetracked here. Let's get back on track.</t>
        </is>
      </c>
      <c r="F26" s="11" t="inlineStr">
        <is>
          <t>지금 얘기가 딴길로 새고 있는 것 같은데 다시 본론으로 돌아가죠.</t>
        </is>
      </c>
      <c r="G26" s="5">
        <f>HYPERLINK("https://www.youtube.com/watch?v=5NOqOeZdtfQ", "영상 보기 ▶")</f>
        <v/>
      </c>
    </row>
    <row r="27" ht="26" customHeight="1">
      <c r="A27" s="6" t="n">
        <v>1676</v>
      </c>
      <c r="B27" s="7" t="inlineStr">
        <is>
          <t>실전회화/표현</t>
        </is>
      </c>
      <c r="C27" s="8" t="inlineStr">
        <is>
          <t>at best</t>
        </is>
      </c>
      <c r="D27" s="12" t="inlineStr">
        <is>
          <t>기껏해야, 잘해야</t>
        </is>
      </c>
      <c r="E27" s="12" t="inlineStr">
        <is>
          <t>It's mediocre at best.</t>
        </is>
      </c>
      <c r="F27" s="12" t="inlineStr">
        <is>
          <t>기껏해야 평범한 수준이야.</t>
        </is>
      </c>
      <c r="G27" s="9">
        <f>HYPERLINK("https://www.youtube.com/watch?v=5NOqOeZdtfQ", "영상 보기 ▶")</f>
        <v/>
      </c>
    </row>
    <row r="28" ht="26" customHeight="1">
      <c r="A28" s="2" t="n">
        <v>1677</v>
      </c>
      <c r="B28" s="3" t="inlineStr">
        <is>
          <t>실전회화/표현</t>
        </is>
      </c>
      <c r="C28" s="4" t="inlineStr">
        <is>
          <t>tangible</t>
        </is>
      </c>
      <c r="D28" s="11" t="inlineStr">
        <is>
          <t>명백한, 실질적인</t>
        </is>
      </c>
      <c r="E28" s="11" t="inlineStr">
        <is>
          <t>I need tangible results.</t>
        </is>
      </c>
      <c r="F28" s="11" t="inlineStr">
        <is>
          <t>실질적인 결과가 필요해.</t>
        </is>
      </c>
      <c r="G28" s="5">
        <f>HYPERLINK("https://www.youtube.com/watch?v=5NOqOeZdtfQ", "영상 보기 ▶")</f>
        <v/>
      </c>
    </row>
    <row r="29" ht="26" customHeight="1">
      <c r="A29" s="6" t="n">
        <v>1678</v>
      </c>
      <c r="B29" s="7" t="inlineStr">
        <is>
          <t>실전회화/표현</t>
        </is>
      </c>
      <c r="C29" s="8" t="inlineStr">
        <is>
          <t>handy</t>
        </is>
      </c>
      <c r="D29" s="12" t="inlineStr">
        <is>
          <t>유용한, 편리한</t>
        </is>
      </c>
      <c r="E29" s="12" t="inlineStr">
        <is>
          <t>It's a very handy slide.</t>
        </is>
      </c>
      <c r="F29" s="12" t="inlineStr">
        <is>
          <t>진짜 유용한 슬라이드다.</t>
        </is>
      </c>
      <c r="G29" s="9">
        <f>HYPERLINK("https://www.youtube.com/watch?v=5NOqOeZdtfQ", "영상 보기 ▶")</f>
        <v/>
      </c>
    </row>
    <row r="30" ht="26" customHeight="1">
      <c r="A30" s="2" t="n">
        <v>1679</v>
      </c>
      <c r="B30" s="3" t="inlineStr">
        <is>
          <t>실전회화/표현</t>
        </is>
      </c>
      <c r="C30" s="4" t="inlineStr">
        <is>
          <t>the ins and outs</t>
        </is>
      </c>
      <c r="D30" s="11" t="inlineStr">
        <is>
          <t>구석구석, 속속들이</t>
        </is>
      </c>
      <c r="E30" s="11" t="inlineStr">
        <is>
          <t>Well, we don't know all the ins and outs.</t>
        </is>
      </c>
      <c r="F30" s="11" t="inlineStr">
        <is>
          <t>우리가 모든걸 다 알진 않아.</t>
        </is>
      </c>
      <c r="G30" s="5">
        <f>HYPERLINK("https://www.youtube.com/watch?v=5NOqOeZdtfQ", "영상 보기 ▶")</f>
        <v/>
      </c>
    </row>
    <row r="31" ht="26" customHeight="1">
      <c r="A31" s="6" t="n">
        <v>1680</v>
      </c>
      <c r="B31" s="7" t="inlineStr">
        <is>
          <t>실전회화/표현</t>
        </is>
      </c>
      <c r="C31" s="8" t="inlineStr">
        <is>
          <t>rip off the Band-Aid</t>
        </is>
      </c>
      <c r="D31" s="12" t="inlineStr">
        <is>
          <t>빨리 해버리다</t>
        </is>
      </c>
      <c r="E31" s="12" t="inlineStr">
        <is>
          <t>I'm gonna rip off the Band-Aid and tell her what's going on.</t>
        </is>
      </c>
      <c r="F31" s="12" t="inlineStr">
        <is>
          <t>그냥 걔한테 사실을 말해주고 끝내야겠어.</t>
        </is>
      </c>
      <c r="G31" s="9">
        <f>HYPERLINK("https://www.youtube.com/watch?v=5NOqOeZdtfQ", "영상 보기 ▶")</f>
        <v/>
      </c>
    </row>
    <row r="32" ht="26" customHeight="1">
      <c r="A32" s="2" t="n">
        <v>1681</v>
      </c>
      <c r="B32" s="3" t="inlineStr">
        <is>
          <t>실전회화/표현</t>
        </is>
      </c>
      <c r="C32" s="4" t="inlineStr">
        <is>
          <t>rip off</t>
        </is>
      </c>
      <c r="D32" s="11" t="inlineStr">
        <is>
          <t>뜯어내다, 바가지를 씌우다</t>
        </is>
      </c>
      <c r="E32" s="11" t="inlineStr">
        <is>
          <t>Do you think I got ripped off?</t>
        </is>
      </c>
      <c r="F32" s="11" t="inlineStr">
        <is>
          <t>나 바가지 쓴 것 같아?</t>
        </is>
      </c>
      <c r="G32" s="5">
        <f>HYPERLINK("https://www.youtube.com/watch?v=5NOqOeZdtfQ", "영상 보기 ▶")</f>
        <v/>
      </c>
    </row>
    <row r="33" ht="26" customHeight="1">
      <c r="A33" s="6" t="n">
        <v>1682</v>
      </c>
      <c r="B33" s="7" t="inlineStr">
        <is>
          <t>실전회화/표현</t>
        </is>
      </c>
      <c r="C33" s="8" t="inlineStr">
        <is>
          <t>get to work</t>
        </is>
      </c>
      <c r="D33" s="12" t="inlineStr">
        <is>
          <t>일을 시작하다, 착수하다</t>
        </is>
      </c>
      <c r="E33" s="12" t="inlineStr">
        <is>
          <t>Okay, let's get to work.</t>
        </is>
      </c>
      <c r="F33" s="12" t="inlineStr">
        <is>
          <t>좋아, 일을 시작해볼까.</t>
        </is>
      </c>
      <c r="G33" s="9">
        <f>HYPERLINK("https://www.youtube.com/watch?v=5NOqOeZdtfQ", "영상 보기 ▶")</f>
        <v/>
      </c>
    </row>
    <row r="34" ht="26" customHeight="1">
      <c r="A34" s="2" t="n">
        <v>1683</v>
      </c>
      <c r="B34" s="3" t="inlineStr">
        <is>
          <t>실전회화/표현</t>
        </is>
      </c>
      <c r="C34" s="4" t="inlineStr">
        <is>
          <t>hands-on</t>
        </is>
      </c>
      <c r="D34" s="11" t="inlineStr">
        <is>
          <t>적극 참여하는, 직접 실무에 참가하는</t>
        </is>
      </c>
      <c r="E34" s="11" t="inlineStr">
        <is>
          <t>He's a very hands-on manager.</t>
        </is>
      </c>
      <c r="F34" s="11" t="inlineStr">
        <is>
          <t>그는 실무에 적극적으로 참여하는 매니저야.</t>
        </is>
      </c>
      <c r="G34" s="5">
        <f>HYPERLINK("https://www.youtube.com/watch?v=5NOqOeZdtfQ", "영상 보기 ▶")</f>
        <v/>
      </c>
    </row>
    <row r="35" ht="26" customHeight="1">
      <c r="A35" s="6" t="n">
        <v>1684</v>
      </c>
      <c r="B35" s="7" t="inlineStr">
        <is>
          <t>실전회화/표현</t>
        </is>
      </c>
      <c r="C35" s="8" t="inlineStr">
        <is>
          <t>hands-on</t>
        </is>
      </c>
      <c r="D35" s="12" t="inlineStr">
        <is>
          <t>직접 해보는, 실제의</t>
        </is>
      </c>
      <c r="E35" s="12" t="inlineStr">
        <is>
          <t>Nothing beats hands-on experience.</t>
        </is>
      </c>
      <c r="F35" s="12" t="inlineStr">
        <is>
          <t>실전 경험을 해보는게 최고야.</t>
        </is>
      </c>
      <c r="G35" s="9">
        <f>HYPERLINK("https://www.youtube.com/watch?v=5NOqOeZdtfQ", "영상 보기 ▶")</f>
        <v/>
      </c>
    </row>
    <row r="36" ht="26" customHeight="1">
      <c r="A36" s="2" t="n">
        <v>1685</v>
      </c>
      <c r="B36" s="3" t="inlineStr">
        <is>
          <t>실전회화/표현</t>
        </is>
      </c>
      <c r="C36" s="4" t="inlineStr">
        <is>
          <t>hands-off</t>
        </is>
      </c>
      <c r="D36" s="11" t="inlineStr">
        <is>
          <t>간섭/참견하지 않는</t>
        </is>
      </c>
      <c r="E36" s="11" t="inlineStr">
        <is>
          <t>Hands-off approach isn't going to help at this point.</t>
        </is>
      </c>
      <c r="F36" s="11" t="inlineStr">
        <is>
          <t>지금 시점에서 그냥 내버려두는건 아무 도움이 안돼.</t>
        </is>
      </c>
      <c r="G36" s="5">
        <f>HYPERLINK("https://www.youtube.com/watch?v=5NOqOeZdtfQ", "영상 보기 ▶")</f>
        <v/>
      </c>
    </row>
    <row r="37" ht="26" customHeight="1">
      <c r="A37" s="6" t="n">
        <v>1686</v>
      </c>
      <c r="B37" s="7" t="inlineStr">
        <is>
          <t>실전회화/표현</t>
        </is>
      </c>
      <c r="C37" s="8" t="inlineStr">
        <is>
          <t>in one's blood</t>
        </is>
      </c>
      <c r="D37" s="12" t="inlineStr">
        <is>
          <t>타고나다</t>
        </is>
      </c>
      <c r="E37" s="12" t="inlineStr">
        <is>
          <t>Sweet talking is not in my blood.</t>
        </is>
      </c>
      <c r="F37" s="12" t="inlineStr">
        <is>
          <t>난 원래 상냥하게 말하질 못해.</t>
        </is>
      </c>
      <c r="G37" s="9">
        <f>HYPERLINK("https://www.youtube.com/watch?v=5NOqOeZdtfQ", "영상 보기 ▶")</f>
        <v/>
      </c>
    </row>
    <row r="38" ht="26" customHeight="1">
      <c r="A38" s="2" t="n">
        <v>1687</v>
      </c>
      <c r="B38" s="3" t="inlineStr">
        <is>
          <t>실전회화/표현</t>
        </is>
      </c>
      <c r="C38" s="4" t="inlineStr">
        <is>
          <t>sound</t>
        </is>
      </c>
      <c r="D38" s="11" t="inlineStr">
        <is>
          <t>믿을만한, 타당한, 안전한</t>
        </is>
      </c>
      <c r="E38" s="11" t="inlineStr">
        <is>
          <t>I should ask Ted. He always gives sound advice.</t>
        </is>
      </c>
      <c r="F38" s="11" t="inlineStr">
        <is>
          <t>Ted에게 물어보는게 좋겠어. 늘 적절한 조언을 해주거든.</t>
        </is>
      </c>
      <c r="G38" s="5">
        <f>HYPERLINK("https://www.youtube.com/watch?v=5NOqOeZdtfQ", "영상 보기 ▶")</f>
        <v/>
      </c>
    </row>
    <row r="39" ht="26" customHeight="1">
      <c r="A39" s="6" t="n">
        <v>1688</v>
      </c>
      <c r="B39" s="7" t="inlineStr">
        <is>
          <t>실전회화/표현</t>
        </is>
      </c>
      <c r="C39" s="8" t="inlineStr">
        <is>
          <t>solid</t>
        </is>
      </c>
      <c r="D39" s="12" t="inlineStr">
        <is>
          <t>탄탄한, 알찬, 믿음직한</t>
        </is>
      </c>
      <c r="E39" s="12" t="inlineStr">
        <is>
          <t>It's a solid plan.</t>
        </is>
      </c>
      <c r="F39" s="12" t="inlineStr">
        <is>
          <t>빈틈없은 계획인걸.</t>
        </is>
      </c>
      <c r="G39" s="9">
        <f>HYPERLINK("https://www.youtube.com/watch?v=5NOqOeZdtfQ", "영상 보기 ▶")</f>
        <v/>
      </c>
    </row>
    <row r="40" ht="26" customHeight="1">
      <c r="A40" s="2" t="n">
        <v>1689</v>
      </c>
      <c r="B40" s="3" t="inlineStr">
        <is>
          <t>실전회화/표현</t>
        </is>
      </c>
      <c r="C40" s="4" t="inlineStr">
        <is>
          <t>get to ~</t>
        </is>
      </c>
      <c r="D40" s="11" t="inlineStr">
        <is>
          <t>에 영향을 주다, 짜증나게 하다</t>
        </is>
      </c>
      <c r="E40" s="11" t="inlineStr">
        <is>
          <t>Don't let her get to you.</t>
        </is>
      </c>
      <c r="F40" s="11" t="inlineStr">
        <is>
          <t>걔 때문에 속상해 하지마.</t>
        </is>
      </c>
      <c r="G40" s="5">
        <f>HYPERLINK("https://www.youtube.com/watch?v=5NOqOeZdtfQ", "영상 보기 ▶")</f>
        <v/>
      </c>
    </row>
    <row r="41" ht="26" customHeight="1">
      <c r="A41" s="6" t="n">
        <v>1690</v>
      </c>
      <c r="B41" s="7" t="inlineStr">
        <is>
          <t>실전회화/표현</t>
        </is>
      </c>
      <c r="C41" s="8" t="inlineStr">
        <is>
          <t>get in touch</t>
        </is>
      </c>
      <c r="D41" s="12" t="inlineStr">
        <is>
          <t>연락을 취하다</t>
        </is>
      </c>
      <c r="E41" s="12" t="inlineStr">
        <is>
          <t>I'll get in touch with IT.</t>
        </is>
      </c>
      <c r="F41" s="12" t="inlineStr">
        <is>
          <t>기술팀에 연락해볼게요.</t>
        </is>
      </c>
      <c r="G41" s="9">
        <f>HYPERLINK("https://www.youtube.com/watch?v=5NOqOeZdtfQ", "영상 보기 ▶")</f>
        <v/>
      </c>
    </row>
    <row r="42" ht="26" customHeight="1">
      <c r="A42" s="2" t="n">
        <v>1691</v>
      </c>
      <c r="B42" s="3" t="inlineStr">
        <is>
          <t>실전회화/표현</t>
        </is>
      </c>
      <c r="C42" s="4" t="inlineStr">
        <is>
          <t>hands down</t>
        </is>
      </c>
      <c r="D42" s="11" t="inlineStr">
        <is>
          <t>노력하지 않고, 수월하게</t>
        </is>
      </c>
      <c r="E42" s="11" t="inlineStr">
        <is>
          <t>They won the game hands down.</t>
        </is>
      </c>
      <c r="F42" s="11" t="inlineStr">
        <is>
          <t>아주 수월하게 경기에서 이겼어.</t>
        </is>
      </c>
      <c r="G42" s="5">
        <f>HYPERLINK("https://www.youtube.com/watch?v=5NOqOeZdtfQ", "영상 보기 ▶")</f>
        <v/>
      </c>
    </row>
    <row r="43" ht="26" customHeight="1">
      <c r="A43" s="6" t="n">
        <v>1692</v>
      </c>
      <c r="B43" s="7" t="inlineStr">
        <is>
          <t>실전회화/표현</t>
        </is>
      </c>
      <c r="C43" s="8" t="inlineStr">
        <is>
          <t>​hands down</t>
        </is>
      </c>
      <c r="D43" s="12" t="inlineStr">
        <is>
          <t>명백히, 분명히</t>
        </is>
      </c>
      <c r="E43" s="12" t="inlineStr">
        <is>
          <t>This is the best pizza I've ever had, hands down.</t>
        </is>
      </c>
      <c r="F43" s="12" t="inlineStr">
        <is>
          <t>내가 먹어본 피자중에 제일 맛있어. 진짜 리얼.</t>
        </is>
      </c>
      <c r="G43" s="9">
        <f>HYPERLINK("https://www.youtube.com/watch?v=5NOqOeZdtfQ", "영상 보기 ▶")</f>
        <v/>
      </c>
    </row>
    <row r="44" ht="26" customHeight="1">
      <c r="A44" s="2" t="n">
        <v>1693</v>
      </c>
      <c r="B44" s="3" t="inlineStr">
        <is>
          <t>실전회화/표현</t>
        </is>
      </c>
      <c r="C44" s="4" t="inlineStr">
        <is>
          <t>token</t>
        </is>
      </c>
      <c r="D44" s="11" t="inlineStr">
        <is>
          <t>표시, 징표</t>
        </is>
      </c>
      <c r="E44" s="11" t="inlineStr">
        <is>
          <t>It's nothing fancy, but it's just a small token of my appreciation.</t>
        </is>
      </c>
      <c r="F44" s="11" t="inlineStr">
        <is>
          <t>비싼건 아닌데, 작은 감사의 표시야.</t>
        </is>
      </c>
      <c r="G44" s="5">
        <f>HYPERLINK("https://www.youtube.com/watch?v=5NOqOeZdtfQ", "영상 보기 ▶")</f>
        <v/>
      </c>
    </row>
    <row r="45" ht="26" customHeight="1">
      <c r="A45" s="6" t="n">
        <v>1694</v>
      </c>
      <c r="B45" s="7" t="inlineStr">
        <is>
          <t>실전회화/표현</t>
        </is>
      </c>
      <c r="C45" s="8" t="inlineStr">
        <is>
          <t>You name it.</t>
        </is>
      </c>
      <c r="D45" s="12" t="inlineStr">
        <is>
          <t>뭐든 말만해.</t>
        </is>
      </c>
      <c r="E45" s="12" t="inlineStr">
        <is>
          <t>Is there anything I can do? Anything, you name it.</t>
        </is>
      </c>
      <c r="F45" s="12" t="inlineStr">
        <is>
          <t>내가 도와줄거 있어? 뭐든 말만해.</t>
        </is>
      </c>
      <c r="G45" s="9">
        <f>HYPERLINK("https://www.youtube.com/watch?v=5NOqOeZdtfQ", "영상 보기 ▶")</f>
        <v/>
      </c>
    </row>
    <row r="46" ht="26" customHeight="1">
      <c r="A46" s="2" t="n">
        <v>1695</v>
      </c>
      <c r="B46" s="3" t="inlineStr">
        <is>
          <t>실전회화/표현</t>
        </is>
      </c>
      <c r="C46" s="4" t="inlineStr">
        <is>
          <t>at stake</t>
        </is>
      </c>
      <c r="D46" s="11" t="inlineStr">
        <is>
          <t>성패가 달린, 위태로운</t>
        </is>
      </c>
      <c r="E46" s="11" t="inlineStr">
        <is>
          <t>I can't sign off on this deal. There's too much at stake.</t>
        </is>
      </c>
      <c r="F46" s="11" t="inlineStr">
        <is>
          <t>이 거래는 허락할 수 없어. 잃을게 너무 많아.</t>
        </is>
      </c>
      <c r="G46" s="5">
        <f>HYPERLINK("https://www.youtube.com/watch?v=5NOqOeZdtfQ", "영상 보기 ▶")</f>
        <v/>
      </c>
    </row>
    <row r="47" ht="26" customHeight="1">
      <c r="A47" s="6" t="n">
        <v>1696</v>
      </c>
      <c r="B47" s="7" t="inlineStr">
        <is>
          <t>실전회화/표현</t>
        </is>
      </c>
      <c r="C47" s="8" t="inlineStr">
        <is>
          <t>get ~</t>
        </is>
      </c>
      <c r="D47" s="12" t="inlineStr">
        <is>
          <t>한 상태가 되다</t>
        </is>
      </c>
      <c r="E47" s="12" t="inlineStr">
        <is>
          <t>Well, it's getting late. Let's call it a day.</t>
        </is>
      </c>
      <c r="F47" s="12" t="inlineStr">
        <is>
          <t>밤이 깊어가니 오늘은 여기까지 하자.</t>
        </is>
      </c>
      <c r="G47" s="9">
        <f>HYPERLINK("https://www.youtube.com/watch?v=5NOqOeZdtfQ", "영상 보기 ▶")</f>
        <v/>
      </c>
    </row>
    <row r="48" ht="26" customHeight="1">
      <c r="A48" s="2" t="n">
        <v>1697</v>
      </c>
      <c r="B48" s="3" t="inlineStr">
        <is>
          <t>실전회화/표현</t>
        </is>
      </c>
      <c r="C48" s="4" t="inlineStr">
        <is>
          <t>There's no way ~</t>
        </is>
      </c>
      <c r="D48" s="11" t="inlineStr">
        <is>
          <t>할 리가 없어.</t>
        </is>
      </c>
      <c r="E48" s="11" t="inlineStr">
        <is>
          <t>There's no way she's going to sign off on that.</t>
        </is>
      </c>
      <c r="F48" s="11" t="inlineStr">
        <is>
          <t>그걸 그녀가 승인할 리가 없어.</t>
        </is>
      </c>
      <c r="G48" s="5">
        <f>HYPERLINK("https://www.youtube.com/watch?v=5NOqOeZdtfQ", "영상 보기 ▶")</f>
        <v/>
      </c>
    </row>
    <row r="49" ht="26" customHeight="1">
      <c r="A49" s="6" t="n">
        <v>1698</v>
      </c>
      <c r="B49" s="7" t="inlineStr">
        <is>
          <t>실전회화/표현</t>
        </is>
      </c>
      <c r="C49" s="8" t="inlineStr">
        <is>
          <t>be on board</t>
        </is>
      </c>
      <c r="D49" s="12" t="inlineStr">
        <is>
          <t>동참하다</t>
        </is>
      </c>
      <c r="E49" s="12" t="inlineStr">
        <is>
          <t>He's not on board yet, but he'll get there.</t>
        </is>
      </c>
      <c r="F49" s="12" t="inlineStr">
        <is>
          <t>아직 우리 의견에 찬성하지 않았지만, 곧 그렇게 될거야.</t>
        </is>
      </c>
      <c r="G49" s="9">
        <f>HYPERLINK("https://www.youtube.com/watch?v=5NOqOeZdtfQ", "영상 보기 ▶")</f>
        <v/>
      </c>
    </row>
    <row r="50" ht="26" customHeight="1">
      <c r="A50" s="2" t="n">
        <v>1699</v>
      </c>
      <c r="B50" s="3" t="inlineStr">
        <is>
          <t>실전회화/표현</t>
        </is>
      </c>
      <c r="C50" s="4" t="inlineStr">
        <is>
          <t>I can tell ~</t>
        </is>
      </c>
      <c r="D50" s="11" t="inlineStr">
        <is>
          <t>라는 걸 알 수 있어</t>
        </is>
      </c>
      <c r="E50" s="11" t="inlineStr">
        <is>
          <t>I can tell this isn't your first rodeo.</t>
        </is>
      </c>
      <c r="F50" s="11" t="inlineStr">
        <is>
          <t>처음이 아니신가봐요.</t>
        </is>
      </c>
      <c r="G50" s="5">
        <f>HYPERLINK("https://www.youtube.com/watch?v=5NOqOeZdtfQ", "영상 보기 ▶")</f>
        <v/>
      </c>
    </row>
    <row r="51" ht="26" customHeight="1">
      <c r="A51" s="6" t="n">
        <v>1700</v>
      </c>
      <c r="B51" s="7" t="inlineStr">
        <is>
          <t>실전회화/표현</t>
        </is>
      </c>
      <c r="C51" s="8" t="inlineStr">
        <is>
          <t>It's all in good fun.</t>
        </is>
      </c>
      <c r="D51" s="12" t="inlineStr">
        <is>
          <t>재밌자고 하는 거야.</t>
        </is>
      </c>
      <c r="E51" s="12" t="inlineStr">
        <is>
          <t>A: I'm sorry if I upset you.</t>
        </is>
      </c>
      <c r="F51" s="12" t="inlineStr">
        <is>
          <t>속상하게 했다면 미안해.</t>
        </is>
      </c>
      <c r="G51" s="9">
        <f>HYPERLINK("https://www.youtube.com/watch?v=5NOqOeZdtfQ", "영상 보기 ▶")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5" customWidth="1" min="3" max="3"/>
    <col width="46.4" customWidth="1" min="4" max="4"/>
    <col width="75" customWidth="1" min="5" max="5"/>
    <col width="71.09999999999999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1701</v>
      </c>
      <c r="B2" s="3" t="inlineStr">
        <is>
          <t>의견/의사결정</t>
        </is>
      </c>
      <c r="C2" s="4" t="inlineStr">
        <is>
          <t>be all for ~</t>
        </is>
      </c>
      <c r="D2" s="11" t="inlineStr">
        <is>
          <t>에 대찬성이다, 전적으로 동의/지지하다</t>
        </is>
      </c>
      <c r="E2" s="11" t="inlineStr">
        <is>
          <t>I’m all for that idea.</t>
        </is>
      </c>
      <c r="F2" s="11" t="inlineStr">
        <is>
          <t>난 그 아이디어에 대찬성이야.</t>
        </is>
      </c>
      <c r="G2" s="5">
        <f>HYPERLINK("https://www.youtube.com/watch?v=p75ZLLE9ZIw", "영상 보기 ▶")</f>
        <v/>
      </c>
    </row>
    <row r="3" ht="26" customHeight="1">
      <c r="A3" s="6" t="n">
        <v>1702</v>
      </c>
      <c r="B3" s="7" t="inlineStr">
        <is>
          <t>의견/의사결정</t>
        </is>
      </c>
      <c r="C3" s="8" t="inlineStr">
        <is>
          <t>be against ~</t>
        </is>
      </c>
      <c r="D3" s="12" t="inlineStr">
        <is>
          <t>에 반대하다</t>
        </is>
      </c>
      <c r="E3" s="12" t="inlineStr">
        <is>
          <t>Are you for or against it?</t>
        </is>
      </c>
      <c r="F3" s="12" t="inlineStr">
        <is>
          <t>찬성하시나요, 반대하시나요?</t>
        </is>
      </c>
      <c r="G3" s="9">
        <f>HYPERLINK("https://www.youtube.com/watch?v=p75ZLLE9ZIw", "영상 보기 ▶")</f>
        <v/>
      </c>
    </row>
    <row r="4" ht="26" customHeight="1">
      <c r="A4" s="2" t="n">
        <v>1703</v>
      </c>
      <c r="B4" s="3" t="inlineStr">
        <is>
          <t>실전회화/표현</t>
        </is>
      </c>
      <c r="C4" s="4" t="inlineStr">
        <is>
          <t>out of the question</t>
        </is>
      </c>
      <c r="D4" s="11" t="inlineStr">
        <is>
          <t>불가능한, 의논해봐야 소용없는</t>
        </is>
      </c>
      <c r="E4" s="11" t="inlineStr">
        <is>
          <t>We can’t ask her to do that. It’s out of the question.</t>
        </is>
      </c>
      <c r="F4" s="11" t="inlineStr">
        <is>
          <t>그렇게 부탁할 수 없어. 말도 안되는 소리야.</t>
        </is>
      </c>
      <c r="G4" s="5">
        <f>HYPERLINK("https://www.youtube.com/watch?v=p75ZLLE9ZIw", "영상 보기 ▶")</f>
        <v/>
      </c>
    </row>
    <row r="5" ht="26" customHeight="1">
      <c r="A5" s="6" t="n">
        <v>1704</v>
      </c>
      <c r="B5" s="7" t="inlineStr">
        <is>
          <t>실전회화/표현</t>
        </is>
      </c>
      <c r="C5" s="8" t="inlineStr">
        <is>
          <t>The</t>
        </is>
      </c>
      <c r="D5" s="12" t="inlineStr">
        <is>
          <t>비교급, the 비교급 ~할수록 더 ~하다</t>
        </is>
      </c>
      <c r="E5" s="12" t="inlineStr">
        <is>
          <t>A: When do you need it by?</t>
        </is>
      </c>
      <c r="F5" s="12" t="inlineStr">
        <is>
          <t>언제까지 필요한데?</t>
        </is>
      </c>
      <c r="G5" s="9">
        <f>HYPERLINK("https://www.youtube.com/watch?v=p75ZLLE9ZIw", "영상 보기 ▶")</f>
        <v/>
      </c>
    </row>
    <row r="6" ht="26" customHeight="1">
      <c r="A6" s="2" t="n">
        <v>1705</v>
      </c>
      <c r="B6" s="3" t="inlineStr">
        <is>
          <t>공감/감정</t>
        </is>
      </c>
      <c r="C6" s="4" t="inlineStr">
        <is>
          <t>If it’s any consolation</t>
        </is>
      </c>
      <c r="D6" s="11" t="inlineStr">
        <is>
          <t>위로가 될진 모르겠지만</t>
        </is>
      </c>
      <c r="E6" s="11" t="inlineStr">
        <is>
          <t>A: He didn’t like what I put together.</t>
        </is>
      </c>
      <c r="F6" s="11" t="inlineStr">
        <is>
          <t>내가 준비한게 마음에 안 든대.</t>
        </is>
      </c>
      <c r="G6" s="5">
        <f>HYPERLINK("https://www.youtube.com/watch?v=p75ZLLE9ZIw", "영상 보기 ▶")</f>
        <v/>
      </c>
    </row>
    <row r="7" ht="26" customHeight="1">
      <c r="A7" s="6" t="n">
        <v>1706</v>
      </c>
      <c r="B7" s="7" t="inlineStr">
        <is>
          <t>실전회화/표현</t>
        </is>
      </c>
      <c r="C7" s="8" t="inlineStr">
        <is>
          <t>rather</t>
        </is>
      </c>
      <c r="D7" s="12" t="inlineStr">
        <is>
          <t>어느 정도, 다소, 꽤 (&amp;#x3D; pretty)</t>
        </is>
      </c>
      <c r="E7" s="12" t="inlineStr">
        <is>
          <t>Let’s call her tomorrow. It’s rather late.</t>
        </is>
      </c>
      <c r="F7" s="12" t="inlineStr">
        <is>
          <t>시간이 꽤나 늦었으니 내일 전화하자.</t>
        </is>
      </c>
      <c r="G7" s="9">
        <f>HYPERLINK("https://www.youtube.com/watch?v=p75ZLLE9ZIw", "영상 보기 ▶")</f>
        <v/>
      </c>
    </row>
    <row r="8" ht="26" customHeight="1">
      <c r="A8" s="2" t="n">
        <v>1707</v>
      </c>
      <c r="B8" s="3" t="inlineStr">
        <is>
          <t>실전회화/표현</t>
        </is>
      </c>
      <c r="C8" s="4" t="inlineStr">
        <is>
          <t>rather than ~</t>
        </is>
      </c>
      <c r="D8" s="11" t="inlineStr">
        <is>
          <t>이기보다는 오히려, 차라리</t>
        </is>
      </c>
      <c r="E8" s="11" t="inlineStr">
        <is>
          <t>Rather than doing this over the phone, why don’t I come by your office tomorrow?</t>
        </is>
      </c>
      <c r="F8" s="11" t="inlineStr">
        <is>
          <t>전화로 하는 것 보단 내일 제가 사무실에 들르는게 어떨까요?</t>
        </is>
      </c>
      <c r="G8" s="5">
        <f>HYPERLINK("https://www.youtube.com/watch?v=p75ZLLE9ZIw", "영상 보기 ▶")</f>
        <v/>
      </c>
    </row>
    <row r="9" ht="26" customHeight="1">
      <c r="A9" s="6" t="n">
        <v>1708</v>
      </c>
      <c r="B9" s="7" t="inlineStr">
        <is>
          <t>실전회화/표현</t>
        </is>
      </c>
      <c r="C9" s="8" t="inlineStr">
        <is>
          <t>end up</t>
        </is>
      </c>
      <c r="D9" s="12" t="inlineStr">
        <is>
          <t>결국 ~하게 되다</t>
        </is>
      </c>
      <c r="E9" s="12" t="inlineStr">
        <is>
          <t>I ended up working the whole weekend.</t>
        </is>
      </c>
      <c r="F9" s="12" t="inlineStr">
        <is>
          <t>결국 주말 내내 일했어.</t>
        </is>
      </c>
      <c r="G9" s="9">
        <f>HYPERLINK("https://www.youtube.com/watch?v=p75ZLLE9ZIw", "영상 보기 ▶")</f>
        <v/>
      </c>
    </row>
    <row r="10" ht="26" customHeight="1">
      <c r="A10" s="2" t="n">
        <v>1709</v>
      </c>
      <c r="B10" s="3" t="inlineStr">
        <is>
          <t>실전회화/표현</t>
        </is>
      </c>
      <c r="C10" s="4" t="inlineStr">
        <is>
          <t>part of me</t>
        </is>
      </c>
      <c r="D10" s="11" t="inlineStr">
        <is>
          <t>한편으로는, 내심</t>
        </is>
      </c>
      <c r="E10" s="11" t="inlineStr">
        <is>
          <t>A: Do you trust her?</t>
        </is>
      </c>
      <c r="F10" s="11" t="inlineStr">
        <is>
          <t>넌 그녀를 믿어?</t>
        </is>
      </c>
      <c r="G10" s="5">
        <f>HYPERLINK("https://www.youtube.com/watch?v=p75ZLLE9ZIw", "영상 보기 ▶")</f>
        <v/>
      </c>
    </row>
    <row r="11" ht="26" customHeight="1">
      <c r="A11" s="6" t="n">
        <v>1710</v>
      </c>
      <c r="B11" s="7" t="inlineStr">
        <is>
          <t>실전회화/표현</t>
        </is>
      </c>
      <c r="C11" s="8" t="inlineStr">
        <is>
          <t>explore</t>
        </is>
      </c>
      <c r="D11" s="12" t="inlineStr">
        <is>
          <t>자세히 조사하다, 잘 알아보다</t>
        </is>
      </c>
      <c r="E11" s="12" t="inlineStr">
        <is>
          <t>A: I don't think that would work.</t>
        </is>
      </c>
      <c r="F11" s="12" t="inlineStr">
        <is>
          <t>그건 안 될 것 같아.</t>
        </is>
      </c>
      <c r="G11" s="9">
        <f>HYPERLINK("https://www.youtube.com/watch?v=p75ZLLE9ZIw", "영상 보기 ▶")</f>
        <v/>
      </c>
    </row>
    <row r="12" ht="26" customHeight="1">
      <c r="A12" s="2" t="n">
        <v>1711</v>
      </c>
      <c r="B12" s="3" t="inlineStr">
        <is>
          <t>실전회화/표현</t>
        </is>
      </c>
      <c r="C12" s="4" t="inlineStr">
        <is>
          <t>go above and beyond</t>
        </is>
      </c>
      <c r="D12" s="11" t="inlineStr">
        <is>
          <t>필요/기대이상으로 일을 하다</t>
        </is>
      </c>
      <c r="E12" s="11" t="inlineStr">
        <is>
          <t>It's my all-time favorite restaurant. They go above and beyond on their service.</t>
        </is>
      </c>
      <c r="F12" s="11" t="inlineStr">
        <is>
          <t>거기 내 최애 맛집이야. 서비스에 있어서 최선을 다해.</t>
        </is>
      </c>
      <c r="G12" s="5">
        <f>HYPERLINK("https://www.youtube.com/watch?v=p75ZLLE9ZIw", "영상 보기 ▶")</f>
        <v/>
      </c>
    </row>
    <row r="13" ht="26" customHeight="1">
      <c r="A13" s="6" t="n">
        <v>1712</v>
      </c>
      <c r="B13" s="7" t="inlineStr">
        <is>
          <t>실전회화/표현</t>
        </is>
      </c>
      <c r="C13" s="8" t="inlineStr">
        <is>
          <t>nothing but</t>
        </is>
      </c>
      <c r="D13" s="12" t="inlineStr">
        <is>
          <t>오직, 그저 ~일 뿐인</t>
        </is>
      </c>
      <c r="E13" s="12" t="inlineStr">
        <is>
          <t>I wish nothing but the best for you. I mean it.</t>
        </is>
      </c>
      <c r="F13" s="12" t="inlineStr">
        <is>
          <t>네게 좋은 일만 있길 바라. 진심이야.</t>
        </is>
      </c>
      <c r="G13" s="9">
        <f>HYPERLINK("https://www.youtube.com/watch?v=p75ZLLE9ZIw", "영상 보기 ▶")</f>
        <v/>
      </c>
    </row>
    <row r="14" ht="26" customHeight="1">
      <c r="A14" s="2" t="n">
        <v>1713</v>
      </c>
      <c r="B14" s="3" t="inlineStr">
        <is>
          <t>실전회화/표현</t>
        </is>
      </c>
      <c r="C14" s="4" t="inlineStr">
        <is>
          <t>anything but</t>
        </is>
      </c>
      <c r="D14" s="11" t="inlineStr">
        <is>
          <t>결코 ~가 아닌, 전혀 ~하지 않은</t>
        </is>
      </c>
      <c r="E14" s="11" t="inlineStr">
        <is>
          <t>A: What do you want on your bagel?</t>
        </is>
      </c>
      <c r="F14" s="11" t="inlineStr">
        <is>
          <t>베이글에 뭐 추가할래?</t>
        </is>
      </c>
      <c r="G14" s="5">
        <f>HYPERLINK("https://www.youtube.com/watch?v=p75ZLLE9ZIw", "영상 보기 ▶")</f>
        <v/>
      </c>
    </row>
    <row r="15" ht="26" customHeight="1">
      <c r="A15" s="6" t="n">
        <v>1714</v>
      </c>
      <c r="B15" s="7" t="inlineStr">
        <is>
          <t>실전회화/표현</t>
        </is>
      </c>
      <c r="C15" s="8" t="inlineStr">
        <is>
          <t>never + anything but ~</t>
        </is>
      </c>
      <c r="D15" s="12" t="inlineStr">
        <is>
          <t>하지 않은 적이 없는</t>
        </is>
      </c>
      <c r="E15" s="12" t="inlineStr">
        <is>
          <t>He's never been anything but nice to me.</t>
        </is>
      </c>
      <c r="F15" s="12" t="inlineStr">
        <is>
          <t>그 사람은 나에게 항상 친절하기만 했어.</t>
        </is>
      </c>
      <c r="G15" s="9">
        <f>HYPERLINK("https://www.youtube.com/watch?v=p75ZLLE9ZIw", "영상 보기 ▶")</f>
        <v/>
      </c>
    </row>
    <row r="16" ht="26" customHeight="1">
      <c r="A16" s="2" t="n">
        <v>1715</v>
      </c>
      <c r="B16" s="3" t="inlineStr">
        <is>
          <t>실전회화/표현</t>
        </is>
      </c>
      <c r="C16" s="4" t="inlineStr">
        <is>
          <t>walk on eggshells</t>
        </is>
      </c>
      <c r="D16" s="11" t="inlineStr">
        <is>
          <t>조심스럽게 행동하다, 눈치보다</t>
        </is>
      </c>
      <c r="E16" s="11" t="inlineStr">
        <is>
          <t>Ted's in a mood. We have to walk on eggshells around him today.</t>
        </is>
      </c>
      <c r="F16" s="11" t="inlineStr">
        <is>
          <t>Ted가 오늘 기분이 좋지 않아. 조심히 행동해야 해.</t>
        </is>
      </c>
      <c r="G16" s="5">
        <f>HYPERLINK("https://www.youtube.com/watch?v=p75ZLLE9ZIw", "영상 보기 ▶")</f>
        <v/>
      </c>
    </row>
    <row r="17" ht="26" customHeight="1">
      <c r="A17" s="6" t="n">
        <v>1716</v>
      </c>
      <c r="B17" s="7" t="inlineStr">
        <is>
          <t>실전회화/표현</t>
        </is>
      </c>
      <c r="C17" s="8" t="inlineStr">
        <is>
          <t>material</t>
        </is>
      </c>
      <c r="D17" s="12" t="inlineStr">
        <is>
          <t>자질, 감</t>
        </is>
      </c>
      <c r="E17" s="12" t="inlineStr">
        <is>
          <t>He's marriage material.</t>
        </is>
      </c>
      <c r="F17" s="12" t="inlineStr">
        <is>
          <t>그는 결혼감이야.</t>
        </is>
      </c>
      <c r="G17" s="9">
        <f>HYPERLINK("https://www.youtube.com/watch?v=p75ZLLE9ZIw", "영상 보기 ▶")</f>
        <v/>
      </c>
    </row>
    <row r="18" ht="26" customHeight="1">
      <c r="A18" s="2" t="n">
        <v>1717</v>
      </c>
      <c r="B18" s="3" t="inlineStr">
        <is>
          <t>공감/감정</t>
        </is>
      </c>
      <c r="C18" s="4" t="inlineStr">
        <is>
          <t>blend in</t>
        </is>
      </c>
      <c r="D18" s="11" t="inlineStr">
        <is>
          <t>어울리다, 조화를 이루다</t>
        </is>
      </c>
      <c r="E18" s="11" t="inlineStr">
        <is>
          <t>I knew you'd blend right in.</t>
        </is>
      </c>
      <c r="F18" s="11" t="inlineStr">
        <is>
          <t>네가 잘 적응할 줄 알았어.</t>
        </is>
      </c>
      <c r="G18" s="5">
        <f>HYPERLINK("https://www.youtube.com/watch?v=p75ZLLE9ZIw", "영상 보기 ▶")</f>
        <v/>
      </c>
    </row>
    <row r="19" ht="26" customHeight="1">
      <c r="A19" s="6" t="n">
        <v>1718</v>
      </c>
      <c r="B19" s="7" t="inlineStr">
        <is>
          <t>실전회화/표현</t>
        </is>
      </c>
      <c r="C19" s="8" t="inlineStr">
        <is>
          <t>stand out</t>
        </is>
      </c>
      <c r="D19" s="12" t="inlineStr">
        <is>
          <t>눈에 띄다, 두드러지다</t>
        </is>
      </c>
      <c r="E19" s="12" t="inlineStr">
        <is>
          <t>The first thing that stood out to me was the color.</t>
        </is>
      </c>
      <c r="F19" s="12" t="inlineStr">
        <is>
          <t>색상이 가장 눈에 띄었어요.</t>
        </is>
      </c>
      <c r="G19" s="9">
        <f>HYPERLINK("https://www.youtube.com/watch?v=p75ZLLE9ZIw", "영상 보기 ▶")</f>
        <v/>
      </c>
    </row>
    <row r="20" ht="26" customHeight="1">
      <c r="A20" s="2" t="n">
        <v>1719</v>
      </c>
      <c r="B20" s="3" t="inlineStr">
        <is>
          <t>실전회화/표현</t>
        </is>
      </c>
      <c r="C20" s="4" t="inlineStr">
        <is>
          <t>root for ~</t>
        </is>
      </c>
      <c r="D20" s="11" t="inlineStr">
        <is>
          <t>를 응원하다</t>
        </is>
      </c>
      <c r="E20" s="11" t="inlineStr">
        <is>
          <t>Good luck with your interview. I'm rooting for you.</t>
        </is>
      </c>
      <c r="F20" s="11" t="inlineStr">
        <is>
          <t>면접 잘 봤으면 좋겠어. 널 응원해.</t>
        </is>
      </c>
      <c r="G20" s="5">
        <f>HYPERLINK("https://www.youtube.com/watch?v=p75ZLLE9ZIw", "영상 보기 ▶")</f>
        <v/>
      </c>
    </row>
    <row r="21" ht="26" customHeight="1">
      <c r="A21" s="6" t="n">
        <v>1720</v>
      </c>
      <c r="B21" s="7" t="inlineStr">
        <is>
          <t>실전회화/표현</t>
        </is>
      </c>
      <c r="C21" s="8" t="inlineStr">
        <is>
          <t>Good luck, not that you need it.</t>
        </is>
      </c>
      <c r="D21" s="12" t="inlineStr">
        <is>
          <t>행운을 빌어, 실력이 워낙 좋으니 필요 없겠지만!</t>
        </is>
      </c>
      <c r="E21" s="12" t="inlineStr">
        <is>
          <t>Good luck on the interview, not that you need it!</t>
        </is>
      </c>
      <c r="F21" s="12" t="inlineStr">
        <is>
          <t>면접 잘 봐, 실력이 워낙 출중하니 행운 따위 필요 없겠지만!</t>
        </is>
      </c>
      <c r="G21" s="9">
        <f>HYPERLINK("https://www.youtube.com/watch?v=p75ZLLE9ZIw", "영상 보기 ▶")</f>
        <v/>
      </c>
    </row>
    <row r="22" ht="26" customHeight="1">
      <c r="A22" s="2" t="n">
        <v>1721</v>
      </c>
      <c r="B22" s="3" t="inlineStr">
        <is>
          <t>실전회화/표현</t>
        </is>
      </c>
      <c r="C22" s="4" t="inlineStr">
        <is>
          <t>sooner rather than later</t>
        </is>
      </c>
      <c r="D22" s="11" t="inlineStr">
        <is>
          <t>더 늦기 전에, 조만간, 머지 않아</t>
        </is>
      </c>
      <c r="E22" s="11" t="inlineStr">
        <is>
          <t>It's better to do it sooner rather than later.</t>
        </is>
      </c>
      <c r="F22" s="11" t="inlineStr">
        <is>
          <t>나중에 하는 것보단 차라리 일찌감치 하는게 나아.</t>
        </is>
      </c>
      <c r="G22" s="5">
        <f>HYPERLINK("https://www.youtube.com/watch?v=p75ZLLE9ZIw", "영상 보기 ▶")</f>
        <v/>
      </c>
    </row>
    <row r="23" ht="26" customHeight="1">
      <c r="A23" s="6" t="n">
        <v>1722</v>
      </c>
      <c r="B23" s="7" t="inlineStr">
        <is>
          <t>실전회화/표현</t>
        </is>
      </c>
      <c r="C23" s="8" t="inlineStr">
        <is>
          <t>kick off</t>
        </is>
      </c>
      <c r="D23" s="12" t="inlineStr">
        <is>
          <t>시작하다</t>
        </is>
      </c>
      <c r="E23" s="12" t="inlineStr">
        <is>
          <t>I like to work out in the morning. It's a great way to kick off my day.</t>
        </is>
      </c>
      <c r="F23" s="12" t="inlineStr">
        <is>
          <t>난 아침에 운동하는게 좋더라고. 하루를 활기차게 시작하는데 좋은 방법인 것 같아.</t>
        </is>
      </c>
      <c r="G23" s="9">
        <f>HYPERLINK("https://www.youtube.com/watch?v=p75ZLLE9ZIw", "영상 보기 ▶")</f>
        <v/>
      </c>
    </row>
    <row r="24" ht="26" customHeight="1">
      <c r="A24" s="2" t="n">
        <v>1723</v>
      </c>
      <c r="B24" s="3" t="inlineStr">
        <is>
          <t>의견/의사결정</t>
        </is>
      </c>
      <c r="C24" s="4" t="inlineStr">
        <is>
          <t>thought-provoking</t>
        </is>
      </c>
      <c r="D24" s="11" t="inlineStr">
        <is>
          <t>진지한 생각을 하게 하는</t>
        </is>
      </c>
      <c r="E24" s="11" t="inlineStr">
        <is>
          <t>I'd like to kick us off with a thought-provoking statement.</t>
        </is>
      </c>
      <c r="F24" s="11" t="inlineStr">
        <is>
          <t>여러모로 생각이 들게 하는 문장으로 시작하고 싶네요.</t>
        </is>
      </c>
      <c r="G24" s="5">
        <f>HYPERLINK("https://www.youtube.com/watch?v=p75ZLLE9ZIw", "영상 보기 ▶")</f>
        <v/>
      </c>
    </row>
    <row r="25" ht="26" customHeight="1">
      <c r="A25" s="6" t="n">
        <v>1724</v>
      </c>
      <c r="B25" s="7" t="inlineStr">
        <is>
          <t>실전회화/표현</t>
        </is>
      </c>
      <c r="C25" s="8" t="inlineStr">
        <is>
          <t>back and forth</t>
        </is>
      </c>
      <c r="D25" s="12" t="inlineStr">
        <is>
          <t>왔다갔다</t>
        </is>
      </c>
      <c r="E25" s="12" t="inlineStr">
        <is>
          <t>A: So, when's your next date?</t>
        </is>
      </c>
      <c r="F25" s="12" t="inlineStr">
        <is>
          <t>다음 데이트는 언제야?</t>
        </is>
      </c>
      <c r="G25" s="9">
        <f>HYPERLINK("https://www.youtube.com/watch?v=p75ZLLE9ZIw", "영상 보기 ▶")</f>
        <v/>
      </c>
    </row>
    <row r="26" ht="26" customHeight="1">
      <c r="A26" s="2" t="n">
        <v>1725</v>
      </c>
      <c r="B26" s="3" t="inlineStr">
        <is>
          <t>실전회화/표현</t>
        </is>
      </c>
      <c r="C26" s="4" t="inlineStr">
        <is>
          <t>relay</t>
        </is>
      </c>
      <c r="D26" s="11" t="inlineStr">
        <is>
          <t>전달하다</t>
        </is>
      </c>
      <c r="E26" s="11" t="inlineStr">
        <is>
          <t>A: Can you tell Sarah that the meeting got pushed to next week?</t>
        </is>
      </c>
      <c r="F26" s="11" t="inlineStr">
        <is>
          <t>미팅이 다음주로 미뤄졌다고 Sarah하네 말해줄 수 있어?</t>
        </is>
      </c>
      <c r="G26" s="5">
        <f>HYPERLINK("https://www.youtube.com/watch?v=p75ZLLE9ZIw", "영상 보기 ▶")</f>
        <v/>
      </c>
    </row>
    <row r="27" ht="26" customHeight="1">
      <c r="A27" s="6" t="n">
        <v>1726</v>
      </c>
      <c r="B27" s="7" t="inlineStr">
        <is>
          <t>실전회화/표현</t>
        </is>
      </c>
      <c r="C27" s="8" t="inlineStr">
        <is>
          <t>talk in circles</t>
        </is>
      </c>
      <c r="D27" s="12" t="inlineStr">
        <is>
          <t>같은 얘기만 반복하다</t>
        </is>
      </c>
      <c r="E27" s="12" t="inlineStr">
        <is>
          <t>Let's take a 5-minute break. We're talking in circles here.</t>
        </is>
      </c>
      <c r="F27" s="12" t="inlineStr">
        <is>
          <t>계속 했던 얘기만 반복하고 있으니 5분 쉬었다 하자.</t>
        </is>
      </c>
      <c r="G27" s="9">
        <f>HYPERLINK("https://www.youtube.com/watch?v=p75ZLLE9ZIw", "영상 보기 ▶")</f>
        <v/>
      </c>
    </row>
    <row r="28" ht="26" customHeight="1">
      <c r="A28" s="2" t="n">
        <v>1727</v>
      </c>
      <c r="B28" s="3" t="inlineStr">
        <is>
          <t>실전회화/표현</t>
        </is>
      </c>
      <c r="C28" s="4" t="inlineStr">
        <is>
          <t>circle back</t>
        </is>
      </c>
      <c r="D28" s="11" t="inlineStr">
        <is>
          <t>나중에 다시 얘기하다, 돌아오다</t>
        </is>
      </c>
      <c r="E28" s="11" t="inlineStr">
        <is>
          <t>Let's move on and circle back to that later.</t>
        </is>
      </c>
      <c r="F28" s="11" t="inlineStr">
        <is>
          <t>일단 넘어가고 그건 나중에 다시 얘기하도록 하자.</t>
        </is>
      </c>
      <c r="G28" s="5">
        <f>HYPERLINK("https://www.youtube.com/watch?v=p75ZLLE9ZIw", "영상 보기 ▶")</f>
        <v/>
      </c>
    </row>
    <row r="29" ht="26" customHeight="1">
      <c r="A29" s="6" t="n">
        <v>1728</v>
      </c>
      <c r="B29" s="7" t="inlineStr">
        <is>
          <t>실전회화/표현</t>
        </is>
      </c>
      <c r="C29" s="8" t="inlineStr">
        <is>
          <t>I'd rather not ~</t>
        </is>
      </c>
      <c r="D29" s="12" t="inlineStr">
        <is>
          <t>하지 않는게 좋겠어</t>
        </is>
      </c>
      <c r="E29" s="12" t="inlineStr">
        <is>
          <t>I'd rather not talk about it.</t>
        </is>
      </c>
      <c r="F29" s="12" t="inlineStr">
        <is>
          <t>그건 얘기하지 않는게 좋겠어.</t>
        </is>
      </c>
      <c r="G29" s="9">
        <f>HYPERLINK("https://www.youtube.com/watch?v=p75ZLLE9ZIw", "영상 보기 ▶")</f>
        <v/>
      </c>
    </row>
    <row r="30" ht="26" customHeight="1">
      <c r="A30" s="2" t="n">
        <v>1729</v>
      </c>
      <c r="B30" s="3" t="inlineStr">
        <is>
          <t>실전회화/표현</t>
        </is>
      </c>
      <c r="C30" s="4" t="inlineStr">
        <is>
          <t>turn over to ~</t>
        </is>
      </c>
      <c r="D30" s="11" t="inlineStr">
        <is>
          <t>에게 넘기다</t>
        </is>
      </c>
      <c r="E30" s="11" t="inlineStr">
        <is>
          <t>Now, I'm going to turn it over to Ted. Ted, can you kick us off?</t>
        </is>
      </c>
      <c r="F30" s="11" t="inlineStr">
        <is>
          <t>그럼 Ted에게 발언권을 넘기도록 할게요. 시작해 주시겠어요?</t>
        </is>
      </c>
      <c r="G30" s="5">
        <f>HYPERLINK("https://www.youtube.com/watch?v=p75ZLLE9ZIw", "영상 보기 ▶")</f>
        <v/>
      </c>
    </row>
    <row r="31" ht="26" customHeight="1">
      <c r="A31" s="6" t="n">
        <v>1730</v>
      </c>
      <c r="B31" s="7" t="inlineStr">
        <is>
          <t>실전회화/표현</t>
        </is>
      </c>
      <c r="C31" s="8" t="inlineStr">
        <is>
          <t>only so far</t>
        </is>
      </c>
      <c r="D31" s="12" t="inlineStr">
        <is>
          <t>제한된, 한계가 있는</t>
        </is>
      </c>
      <c r="E31" s="12" t="inlineStr">
        <is>
          <t>You should go talk to her face-to-face. Phone calls only go so far.</t>
        </is>
      </c>
      <c r="F31" s="12" t="inlineStr">
        <is>
          <t>얼굴 보고 얘기해야지. 전화로 하는 건 한계가 있잖아.</t>
        </is>
      </c>
      <c r="G31" s="9">
        <f>HYPERLINK("https://www.youtube.com/watch?v=p75ZLLE9ZIw", "영상 보기 ▶")</f>
        <v/>
      </c>
    </row>
    <row r="32" ht="26" customHeight="1">
      <c r="A32" s="2" t="n">
        <v>1731</v>
      </c>
      <c r="B32" s="3" t="inlineStr">
        <is>
          <t>실전회화/표현</t>
        </is>
      </c>
      <c r="C32" s="4" t="inlineStr">
        <is>
          <t>only so many/much</t>
        </is>
      </c>
      <c r="D32" s="11" t="inlineStr">
        <is>
          <t>제한된, 한계가 있는</t>
        </is>
      </c>
      <c r="E32" s="11" t="inlineStr">
        <is>
          <t>There's only so much I can do.</t>
        </is>
      </c>
      <c r="F32" s="11" t="inlineStr">
        <is>
          <t>내가 할 수 있는 것도 한계가 있어.</t>
        </is>
      </c>
      <c r="G32" s="5">
        <f>HYPERLINK("https://www.youtube.com/watch?v=p75ZLLE9ZIw", "영상 보기 ▶")</f>
        <v/>
      </c>
    </row>
    <row r="33" ht="26" customHeight="1">
      <c r="A33" s="6" t="n">
        <v>1732</v>
      </c>
      <c r="B33" s="7" t="inlineStr">
        <is>
          <t>실전회화/표현</t>
        </is>
      </c>
      <c r="C33" s="8" t="inlineStr">
        <is>
          <t>reminisce</t>
        </is>
      </c>
      <c r="D33" s="12" t="inlineStr">
        <is>
          <t>추억하다, 회상하다</t>
        </is>
      </c>
      <c r="E33" s="12" t="inlineStr">
        <is>
          <t>A: It was nice catching up and reminiscing about college.</t>
        </is>
      </c>
      <c r="F33" s="12" t="inlineStr">
        <is>
          <t>그간 근황 얘기도 하고 대학시절 생각도 나니 좋았어.</t>
        </is>
      </c>
      <c r="G33" s="9">
        <f>HYPERLINK("https://www.youtube.com/watch?v=p75ZLLE9ZIw", "영상 보기 ▶")</f>
        <v/>
      </c>
    </row>
    <row r="34" ht="26" customHeight="1">
      <c r="A34" s="2" t="n">
        <v>1733</v>
      </c>
      <c r="B34" s="3" t="inlineStr">
        <is>
          <t>실전회화/표현</t>
        </is>
      </c>
      <c r="C34" s="4" t="inlineStr">
        <is>
          <t>wow</t>
        </is>
      </c>
      <c r="D34" s="11" t="inlineStr">
        <is>
          <t>큰 감동을 주다, 열광시키다</t>
        </is>
      </c>
      <c r="E34" s="11" t="inlineStr">
        <is>
          <t>If we wanna wow them, we really have to go above and beyond.</t>
        </is>
      </c>
      <c r="F34" s="11" t="inlineStr">
        <is>
          <t>그들을 감동시키고 놀래켜주려면 적당히 하면 안돼.</t>
        </is>
      </c>
      <c r="G34" s="5">
        <f>HYPERLINK("https://www.youtube.com/watch?v=p75ZLLE9ZIw", "영상 보기 ▶")</f>
        <v/>
      </c>
    </row>
    <row r="35" ht="26" customHeight="1">
      <c r="A35" s="6" t="n">
        <v>1734</v>
      </c>
      <c r="B35" s="7" t="inlineStr">
        <is>
          <t>실전회화/표현</t>
        </is>
      </c>
      <c r="C35" s="8" t="inlineStr">
        <is>
          <t>think through ~</t>
        </is>
      </c>
      <c r="D35" s="12" t="inlineStr">
        <is>
          <t>을 철저히 따져보다, 심사숙고 하다</t>
        </is>
      </c>
      <c r="E35" s="12" t="inlineStr">
        <is>
          <t>You might end up regretting it, so just think it through.</t>
        </is>
      </c>
      <c r="F35" s="12" t="inlineStr">
        <is>
          <t>후회하게 될지도 모르니 잘 생각해봐.</t>
        </is>
      </c>
      <c r="G35" s="9">
        <f>HYPERLINK("https://www.youtube.com/watch?v=p75ZLLE9ZIw", "영상 보기 ▶")</f>
        <v/>
      </c>
    </row>
    <row r="36" ht="26" customHeight="1">
      <c r="A36" s="2" t="n">
        <v>1735</v>
      </c>
      <c r="B36" s="3" t="inlineStr">
        <is>
          <t>실전회화/표현</t>
        </is>
      </c>
      <c r="C36" s="4" t="inlineStr">
        <is>
          <t>There's no way that ~</t>
        </is>
      </c>
      <c r="D36" s="11" t="inlineStr">
        <is>
          <t>할 방법이 없어, ~일리가 없어</t>
        </is>
      </c>
      <c r="E36" s="11" t="inlineStr">
        <is>
          <t>There's no way she's gonna say yes.</t>
        </is>
      </c>
      <c r="F36" s="11" t="inlineStr">
        <is>
          <t>그녀가 알겠다고 할리가 없어.</t>
        </is>
      </c>
      <c r="G36" s="5">
        <f>HYPERLINK("https://www.youtube.com/watch?v=p75ZLLE9ZIw", "영상 보기 ▶")</f>
        <v/>
      </c>
    </row>
    <row r="37" ht="26" customHeight="1">
      <c r="A37" s="6" t="n">
        <v>1736</v>
      </c>
      <c r="B37" s="7" t="inlineStr">
        <is>
          <t>공감/감정</t>
        </is>
      </c>
      <c r="C37" s="8" t="inlineStr">
        <is>
          <t>minimize</t>
        </is>
      </c>
      <c r="D37" s="12" t="inlineStr">
        <is>
          <t>최소화하다, 가볍게 보다</t>
        </is>
      </c>
      <c r="E37" s="12" t="inlineStr">
        <is>
          <t>Let's try to minimize our risk.</t>
        </is>
      </c>
      <c r="F37" s="12" t="inlineStr">
        <is>
          <t>위험을 최소화 시키려 해보자.</t>
        </is>
      </c>
      <c r="G37" s="9">
        <f>HYPERLINK("https://www.youtube.com/watch?v=p75ZLLE9ZIw", "영상 보기 ▶")</f>
        <v/>
      </c>
    </row>
    <row r="38" ht="26" customHeight="1">
      <c r="A38" s="2" t="n">
        <v>1737</v>
      </c>
      <c r="B38" s="3" t="inlineStr">
        <is>
          <t>공감/감정</t>
        </is>
      </c>
      <c r="C38" s="4" t="inlineStr">
        <is>
          <t>dwell on ~</t>
        </is>
      </c>
      <c r="D38" s="11" t="inlineStr">
        <is>
          <t>를 곱씹다, 자꾸 생각하다, 마음에 담아두다</t>
        </is>
      </c>
      <c r="E38" s="11" t="inlineStr">
        <is>
          <t>I'm not trying to minimize your problem. I'm just saying you shouldn't dwell on it.</t>
        </is>
      </c>
      <c r="F38" s="11" t="inlineStr">
        <is>
          <t>너의 문제를 가볍게 보려는건 아니지만, 그것 좀 그만 생각해.</t>
        </is>
      </c>
      <c r="G38" s="5">
        <f>HYPERLINK("https://www.youtube.com/watch?v=p75ZLLE9ZIw", "영상 보기 ▶")</f>
        <v/>
      </c>
    </row>
    <row r="39" ht="26" customHeight="1">
      <c r="A39" s="6" t="n">
        <v>1738</v>
      </c>
      <c r="B39" s="7" t="inlineStr">
        <is>
          <t>공감/감정</t>
        </is>
      </c>
      <c r="C39" s="8" t="inlineStr">
        <is>
          <t>simplify</t>
        </is>
      </c>
      <c r="D39" s="12" t="inlineStr">
        <is>
          <t>간단하게 하다, 단순화하다</t>
        </is>
      </c>
      <c r="E39" s="12" t="inlineStr">
        <is>
          <t>This is way too long. We need to simplify.</t>
        </is>
      </c>
      <c r="F39" s="12" t="inlineStr">
        <is>
          <t>이거 너무 긴데. 좀 더 간단하게 만들어야 해.</t>
        </is>
      </c>
      <c r="G39" s="9">
        <f>HYPERLINK("https://www.youtube.com/watch?v=p75ZLLE9ZIw", "영상 보기 ▶")</f>
        <v/>
      </c>
    </row>
    <row r="40" ht="26" customHeight="1">
      <c r="A40" s="2" t="n">
        <v>1739</v>
      </c>
      <c r="B40" s="3" t="inlineStr">
        <is>
          <t>실전회화/표현</t>
        </is>
      </c>
      <c r="C40" s="4" t="inlineStr">
        <is>
          <t>spread too thin</t>
        </is>
      </c>
      <c r="D40" s="11" t="inlineStr">
        <is>
          <t>무리하다, 일을 너무 많이 벌리다</t>
        </is>
      </c>
      <c r="E40" s="11" t="inlineStr">
        <is>
          <t>You're spreading yourself too thin.</t>
        </is>
      </c>
      <c r="F40" s="11" t="inlineStr">
        <is>
          <t>너 지금 너무 일을 많이 벌려놨어.</t>
        </is>
      </c>
      <c r="G40" s="5">
        <f>HYPERLINK("https://www.youtube.com/watch?v=p75ZLLE9ZIw", "영상 보기 ▶")</f>
        <v/>
      </c>
    </row>
    <row r="41" ht="26" customHeight="1">
      <c r="A41" s="6" t="n">
        <v>1740</v>
      </c>
      <c r="B41" s="7" t="inlineStr">
        <is>
          <t>실전회화/표현</t>
        </is>
      </c>
      <c r="C41" s="8" t="inlineStr">
        <is>
          <t>That's music to my ears.</t>
        </is>
      </c>
      <c r="D41" s="12" t="inlineStr">
        <is>
          <t>그것 참 반가운 소식인걸.</t>
        </is>
      </c>
      <c r="E41" s="12" t="inlineStr">
        <is>
          <t>A: He called off the project.</t>
        </is>
      </c>
      <c r="F41" s="12" t="inlineStr">
        <is>
          <t>그가 프로젝트를 취소했어.</t>
        </is>
      </c>
      <c r="G41" s="9">
        <f>HYPERLINK("https://www.youtube.com/watch?v=p75ZLLE9ZIw", "영상 보기 ▶")</f>
        <v/>
      </c>
    </row>
    <row r="42" ht="26" customHeight="1">
      <c r="A42" s="2" t="n">
        <v>1741</v>
      </c>
      <c r="B42" s="3" t="inlineStr">
        <is>
          <t>실전회화/표현</t>
        </is>
      </c>
      <c r="C42" s="4" t="inlineStr">
        <is>
          <t>dull</t>
        </is>
      </c>
      <c r="D42" s="11" t="inlineStr">
        <is>
          <t>지루한, 재미없는</t>
        </is>
      </c>
      <c r="E42" s="11" t="inlineStr">
        <is>
          <t>Never a dull moment.</t>
        </is>
      </c>
      <c r="F42" s="11" t="inlineStr">
        <is>
          <t>지루할 틈이 없어.</t>
        </is>
      </c>
      <c r="G42" s="5">
        <f>HYPERLINK("https://www.youtube.com/watch?v=p75ZLLE9ZIw", "영상 보기 ▶")</f>
        <v/>
      </c>
    </row>
    <row r="43" ht="26" customHeight="1">
      <c r="A43" s="6" t="n">
        <v>1742</v>
      </c>
      <c r="B43" s="7" t="inlineStr">
        <is>
          <t>실전회화/표현</t>
        </is>
      </c>
      <c r="C43" s="8" t="inlineStr">
        <is>
          <t>work up ~</t>
        </is>
      </c>
      <c r="D43" s="12" t="inlineStr">
        <is>
          <t>를 불러일으키다</t>
        </is>
      </c>
      <c r="E43" s="12" t="inlineStr">
        <is>
          <t>It's hard to work up an appetite when I'm stressed.</t>
        </is>
      </c>
      <c r="F43" s="12" t="inlineStr">
        <is>
          <t>스트레스를 받으니 밥맛이 없어지네.</t>
        </is>
      </c>
      <c r="G43" s="9">
        <f>HYPERLINK("https://www.youtube.com/watch?v=p75ZLLE9ZIw", "영상 보기 ▶")</f>
        <v/>
      </c>
    </row>
    <row r="44" ht="26" customHeight="1">
      <c r="A44" s="2" t="n">
        <v>1743</v>
      </c>
      <c r="B44" s="3" t="inlineStr">
        <is>
          <t>실전회화/표현</t>
        </is>
      </c>
      <c r="C44" s="4" t="inlineStr">
        <is>
          <t>nerve</t>
        </is>
      </c>
      <c r="D44" s="11" t="inlineStr">
        <is>
          <t>용기</t>
        </is>
      </c>
      <c r="E44" s="11" t="inlineStr">
        <is>
          <t>I cannot work up the nerve to tell her.</t>
        </is>
      </c>
      <c r="F44" s="11" t="inlineStr">
        <is>
          <t>걔한테 말할 용기가 안나.</t>
        </is>
      </c>
      <c r="G44" s="5">
        <f>HYPERLINK("https://www.youtube.com/watch?v=p75ZLLE9ZIw", "영상 보기 ▶")</f>
        <v/>
      </c>
    </row>
    <row r="45" ht="26" customHeight="1">
      <c r="A45" s="6" t="n">
        <v>1744</v>
      </c>
      <c r="B45" s="7" t="inlineStr">
        <is>
          <t>공감/감정</t>
        </is>
      </c>
      <c r="C45" s="8" t="inlineStr">
        <is>
          <t>worked up</t>
        </is>
      </c>
      <c r="D45" s="12" t="inlineStr">
        <is>
          <t>흥분한, 화가난</t>
        </is>
      </c>
      <c r="E45" s="12" t="inlineStr">
        <is>
          <t>I don't understand why you're so worked up. It's really not a big deal.</t>
        </is>
      </c>
      <c r="F45" s="12" t="inlineStr">
        <is>
          <t>네가 왜 그렇게 화내는지 이해가 안돼. 별일 아니잖아.</t>
        </is>
      </c>
      <c r="G45" s="9">
        <f>HYPERLINK("https://www.youtube.com/watch?v=p75ZLLE9ZIw", "영상 보기 ▶")</f>
        <v/>
      </c>
    </row>
    <row r="46" ht="26" customHeight="1">
      <c r="A46" s="2" t="n">
        <v>1745</v>
      </c>
      <c r="B46" s="3" t="inlineStr">
        <is>
          <t>실전회화/표현</t>
        </is>
      </c>
      <c r="C46" s="4" t="inlineStr">
        <is>
          <t>to the best of my knowledge</t>
        </is>
      </c>
      <c r="D46" s="11" t="inlineStr">
        <is>
          <t>내가 아는 바로는</t>
        </is>
      </c>
      <c r="E46" s="11" t="inlineStr">
        <is>
          <t>To the best of my knowledge, it hasn't been done yet.</t>
        </is>
      </c>
      <c r="F46" s="11" t="inlineStr">
        <is>
          <t>제가 아는 바로는 그거 아직 안 됐어요.</t>
        </is>
      </c>
      <c r="G46" s="5">
        <f>HYPERLINK("https://www.youtube.com/watch?v=p75ZLLE9ZIw", "영상 보기 ▶")</f>
        <v/>
      </c>
    </row>
    <row r="47" ht="26" customHeight="1">
      <c r="A47" s="6" t="n">
        <v>1746</v>
      </c>
      <c r="B47" s="7" t="inlineStr">
        <is>
          <t>실전회화/표현</t>
        </is>
      </c>
      <c r="C47" s="8" t="inlineStr">
        <is>
          <t>as far as I know</t>
        </is>
      </c>
      <c r="D47" s="12" t="inlineStr">
        <is>
          <t>내가 아는 바로는</t>
        </is>
      </c>
      <c r="E47" s="12" t="inlineStr">
        <is>
          <t>As far as I know, Mark is the decision-maker.</t>
        </is>
      </c>
      <c r="F47" s="12" t="inlineStr">
        <is>
          <t>내가 알기로는 Mark가 결정자야.</t>
        </is>
      </c>
      <c r="G47" s="9">
        <f>HYPERLINK("https://www.youtube.com/watch?v=p75ZLLE9ZIw", "영상 보기 ▶")</f>
        <v/>
      </c>
    </row>
    <row r="48" ht="26" customHeight="1">
      <c r="A48" s="2" t="n">
        <v>1747</v>
      </c>
      <c r="B48" s="3" t="inlineStr">
        <is>
          <t>실전회화/표현</t>
        </is>
      </c>
      <c r="C48" s="4" t="inlineStr">
        <is>
          <t>keep</t>
        </is>
      </c>
      <c r="D48" s="11" t="inlineStr">
        <is>
          <t>대상 in my back pocket 따로, 예비로 가지고 있다</t>
        </is>
      </c>
      <c r="E48" s="11" t="inlineStr">
        <is>
          <t>Thank you for the handy tips. I'll keep them in my back pocket.</t>
        </is>
      </c>
      <c r="F48" s="11" t="inlineStr">
        <is>
          <t>유용한 팁들 고마워. 기억해뒀다 필요할 때 써먹을게.</t>
        </is>
      </c>
      <c r="G48" s="5">
        <f>HYPERLINK("https://www.youtube.com/watch?v=p75ZLLE9ZIw", "영상 보기 ▶")</f>
        <v/>
      </c>
    </row>
    <row r="49" ht="26" customHeight="1">
      <c r="A49" s="6" t="n">
        <v>1748</v>
      </c>
      <c r="B49" s="7" t="inlineStr">
        <is>
          <t>실전회화/표현</t>
        </is>
      </c>
      <c r="C49" s="8" t="inlineStr">
        <is>
          <t>I could be wrong</t>
        </is>
      </c>
      <c r="D49" s="12" t="inlineStr">
        <is>
          <t>내가 틀릴 수도 있어</t>
        </is>
      </c>
      <c r="E49" s="12" t="inlineStr">
        <is>
          <t>I could be wrong, but I don't think he covered that in the meeting.</t>
        </is>
      </c>
      <c r="F49" s="12" t="inlineStr">
        <is>
          <t>내가 틀릴 수도 있긴한데, 아침에 그건 언급 안됐어.</t>
        </is>
      </c>
      <c r="G49" s="9">
        <f>HYPERLINK("https://www.youtube.com/watch?v=p75ZLLE9ZIw", "영상 보기 ▶")</f>
        <v/>
      </c>
    </row>
    <row r="50" ht="26" customHeight="1">
      <c r="A50" s="2" t="n">
        <v>1749</v>
      </c>
      <c r="B50" s="3" t="inlineStr">
        <is>
          <t>의견/의사결정</t>
        </is>
      </c>
      <c r="C50" s="4" t="inlineStr">
        <is>
          <t>collect my thoughts</t>
        </is>
      </c>
      <c r="D50" s="11" t="inlineStr">
        <is>
          <t>생각을 정리하다</t>
        </is>
      </c>
      <c r="E50" s="11" t="inlineStr">
        <is>
          <t>I need some time to collect my thoughts.</t>
        </is>
      </c>
      <c r="F50" s="11" t="inlineStr">
        <is>
          <t>생각을 정리할 시간이 필요해.</t>
        </is>
      </c>
      <c r="G50" s="5">
        <f>HYPERLINK("https://www.youtube.com/watch?v=p75ZLLE9ZIw", "영상 보기 ▶")</f>
        <v/>
      </c>
    </row>
    <row r="51" ht="26" customHeight="1">
      <c r="A51" s="6" t="n">
        <v>1750</v>
      </c>
      <c r="B51" s="7" t="inlineStr">
        <is>
          <t>실전회화/표현</t>
        </is>
      </c>
      <c r="C51" s="8" t="inlineStr">
        <is>
          <t>be on a roll</t>
        </is>
      </c>
      <c r="D51" s="12" t="inlineStr">
        <is>
          <t>승승장구 하다, 계속 잘 풀리다</t>
        </is>
      </c>
      <c r="E51" s="12" t="inlineStr">
        <is>
          <t>We're on a roll. Let's keep this momentum going.</t>
        </is>
      </c>
      <c r="F51" s="12" t="inlineStr">
        <is>
          <t>계속해서 잘 하고 있으니 이 기세를 유지하도록 하자.</t>
        </is>
      </c>
      <c r="G51" s="9">
        <f>HYPERLINK("https://www.youtube.com/watch?v=p75ZLLE9ZIw", "영상 보기 ▶")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3" customWidth="1" min="3" max="3"/>
    <col width="38.9" customWidth="1" min="4" max="4"/>
    <col width="75" customWidth="1" min="5" max="5"/>
    <col width="52.8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1751</v>
      </c>
      <c r="B2" s="3" t="inlineStr">
        <is>
          <t>실전회화/표현</t>
        </is>
      </c>
      <c r="C2" s="4" t="inlineStr">
        <is>
          <t>hash out ~</t>
        </is>
      </c>
      <c r="D2" s="11" t="inlineStr">
        <is>
          <t>를 논의해 끝을 보다, 결론을 내다</t>
        </is>
      </c>
      <c r="E2" s="11" t="inlineStr">
        <is>
          <t>I hope we can hash things out.</t>
        </is>
      </c>
      <c r="F2" s="11" t="inlineStr">
        <is>
          <t>문제를 대화로 해결할 수 있으면 좋겠어.</t>
        </is>
      </c>
      <c r="G2" s="5">
        <f>HYPERLINK("https://www.youtube.com/watch?v=W8lGwgfRFsQ", "영상 보기 ▶")</f>
        <v/>
      </c>
    </row>
    <row r="3" ht="26" customHeight="1">
      <c r="A3" s="6" t="n">
        <v>1752</v>
      </c>
      <c r="B3" s="7" t="inlineStr">
        <is>
          <t>실전회화/표현</t>
        </is>
      </c>
      <c r="C3" s="8" t="inlineStr">
        <is>
          <t>jump in</t>
        </is>
      </c>
      <c r="D3" s="12" t="inlineStr">
        <is>
          <t>끼어들다, 개입하다</t>
        </is>
      </c>
      <c r="E3" s="12" t="inlineStr">
        <is>
          <t>If you have any questions, please feel free to jump in anytime.</t>
        </is>
      </c>
      <c r="F3" s="12" t="inlineStr">
        <is>
          <t>질문 있으시면 언제든 편하게 말씀해주세요.</t>
        </is>
      </c>
      <c r="G3" s="9">
        <f>HYPERLINK("https://www.youtube.com/watch?v=W8lGwgfRFsQ", "영상 보기 ▶")</f>
        <v/>
      </c>
    </row>
    <row r="4" ht="26" customHeight="1">
      <c r="A4" s="2" t="n">
        <v>1753</v>
      </c>
      <c r="B4" s="3" t="inlineStr">
        <is>
          <t>공감/감정</t>
        </is>
      </c>
      <c r="C4" s="4" t="inlineStr">
        <is>
          <t>jump on a call</t>
        </is>
      </c>
      <c r="D4" s="11" t="inlineStr">
        <is>
          <t>전화 통화/미팅을 하다</t>
        </is>
      </c>
      <c r="E4" s="11" t="inlineStr">
        <is>
          <t>Sorry to cut this short, but I have to jump on another call.</t>
        </is>
      </c>
      <c r="F4" s="11" t="inlineStr">
        <is>
          <t>짧게 끝내서 미안한데 다른 전화 미팅이 있어서.</t>
        </is>
      </c>
      <c r="G4" s="5">
        <f>HYPERLINK("https://www.youtube.com/watch?v=W8lGwgfRFsQ", "영상 보기 ▶")</f>
        <v/>
      </c>
    </row>
    <row r="5" ht="26" customHeight="1">
      <c r="A5" s="6" t="n">
        <v>1754</v>
      </c>
      <c r="B5" s="7" t="inlineStr">
        <is>
          <t>실전회화/표현</t>
        </is>
      </c>
      <c r="C5" s="8" t="inlineStr">
        <is>
          <t>hop on</t>
        </is>
      </c>
      <c r="D5" s="12" t="inlineStr">
        <is>
          <t>뛰어들다</t>
        </is>
      </c>
      <c r="E5" s="12" t="inlineStr">
        <is>
          <t>If you want, I'd happy to hop on a call and walk you through the process.</t>
        </is>
      </c>
      <c r="F5" s="12" t="inlineStr">
        <is>
          <t>원하신다면 잠깐 전화통화로 절차를 설명해드릴 수 있어요.</t>
        </is>
      </c>
      <c r="G5" s="9">
        <f>HYPERLINK("https://www.youtube.com/watch?v=W8lGwgfRFsQ", "영상 보기 ▶")</f>
        <v/>
      </c>
    </row>
    <row r="6" ht="26" customHeight="1">
      <c r="A6" s="2" t="n">
        <v>1755</v>
      </c>
      <c r="B6" s="3" t="inlineStr">
        <is>
          <t>공감/감정</t>
        </is>
      </c>
      <c r="C6" s="4" t="inlineStr">
        <is>
          <t>catch on (to something)</t>
        </is>
      </c>
      <c r="D6" s="11" t="inlineStr">
        <is>
          <t>이해하다, 파악하다</t>
        </is>
      </c>
      <c r="E6" s="11" t="inlineStr">
        <is>
          <t>You're a fast learner. You'll catch on.</t>
        </is>
      </c>
      <c r="F6" s="11" t="inlineStr">
        <is>
          <t>넌 빨리 배우니까 금방 습득할거야.</t>
        </is>
      </c>
      <c r="G6" s="5">
        <f>HYPERLINK("https://www.youtube.com/watch?v=W8lGwgfRFsQ", "영상 보기 ▶")</f>
        <v/>
      </c>
    </row>
    <row r="7" ht="26" customHeight="1">
      <c r="A7" s="6" t="n">
        <v>1756</v>
      </c>
      <c r="B7" s="7" t="inlineStr">
        <is>
          <t>실전회화/표현</t>
        </is>
      </c>
      <c r="C7" s="8" t="inlineStr">
        <is>
          <t>catch on</t>
        </is>
      </c>
      <c r="D7" s="12" t="inlineStr">
        <is>
          <t>유행하다, 인기를 얻다</t>
        </is>
      </c>
      <c r="E7" s="12" t="inlineStr">
        <is>
          <t>It's catching on in Korea.</t>
        </is>
      </c>
      <c r="F7" s="12" t="inlineStr">
        <is>
          <t>한국에서 인기를 얻고 있어.</t>
        </is>
      </c>
      <c r="G7" s="9">
        <f>HYPERLINK("https://www.youtube.com/watch?v=W8lGwgfRFsQ", "영상 보기 ▶")</f>
        <v/>
      </c>
    </row>
    <row r="8" ht="26" customHeight="1">
      <c r="A8" s="2" t="n">
        <v>1757</v>
      </c>
      <c r="B8" s="3" t="inlineStr">
        <is>
          <t>실전회화/표현</t>
        </is>
      </c>
      <c r="C8" s="4" t="inlineStr">
        <is>
          <t>ease into</t>
        </is>
      </c>
      <c r="D8" s="11" t="inlineStr">
        <is>
          <t>서서히 적응하다, 점차 친숙해지도록 돕다</t>
        </is>
      </c>
      <c r="E8" s="11" t="inlineStr">
        <is>
          <t>I'll ease him into the idea.</t>
        </is>
      </c>
      <c r="F8" s="11" t="inlineStr">
        <is>
          <t>천천히 설득해볼게.</t>
        </is>
      </c>
      <c r="G8" s="5">
        <f>HYPERLINK("https://www.youtube.com/watch?v=W8lGwgfRFsQ", "영상 보기 ▶")</f>
        <v/>
      </c>
    </row>
    <row r="9" ht="26" customHeight="1">
      <c r="A9" s="6" t="n">
        <v>1758</v>
      </c>
      <c r="B9" s="7" t="inlineStr">
        <is>
          <t>의견/의사결정</t>
        </is>
      </c>
      <c r="C9" s="8" t="inlineStr">
        <is>
          <t>in sync</t>
        </is>
      </c>
      <c r="D9" s="12" t="inlineStr">
        <is>
          <t>일치하는, 의견이 잘 맞는</t>
        </is>
      </c>
      <c r="E9" s="12" t="inlineStr">
        <is>
          <t>She gets me. We're in sync.</t>
        </is>
      </c>
      <c r="F9" s="12" t="inlineStr">
        <is>
          <t>그녀는 날 잘 이해해. 우린 생각이 잘 맞아.</t>
        </is>
      </c>
      <c r="G9" s="9">
        <f>HYPERLINK("https://www.youtube.com/watch?v=W8lGwgfRFsQ", "영상 보기 ▶")</f>
        <v/>
      </c>
    </row>
    <row r="10" ht="26" customHeight="1">
      <c r="A10" s="2" t="n">
        <v>1759</v>
      </c>
      <c r="B10" s="3" t="inlineStr">
        <is>
          <t>의견/의사결정</t>
        </is>
      </c>
      <c r="C10" s="4" t="inlineStr">
        <is>
          <t>out of sync</t>
        </is>
      </c>
      <c r="D10" s="11" t="inlineStr">
        <is>
          <t>의견이 맞지 않는, 잘 안 맞는</t>
        </is>
      </c>
      <c r="E10" s="11" t="inlineStr">
        <is>
          <t>We're in sync on most parts, but we're out of sync on that.</t>
        </is>
      </c>
      <c r="F10" s="11" t="inlineStr">
        <is>
          <t>대부분은 잘 맞는데, 그 부분이 잘 안 맞아.</t>
        </is>
      </c>
      <c r="G10" s="5">
        <f>HYPERLINK("https://www.youtube.com/watch?v=W8lGwgfRFsQ", "영상 보기 ▶")</f>
        <v/>
      </c>
    </row>
    <row r="11" ht="26" customHeight="1">
      <c r="A11" s="6" t="n">
        <v>1760</v>
      </c>
      <c r="B11" s="7" t="inlineStr">
        <is>
          <t>실전회화/표현</t>
        </is>
      </c>
      <c r="C11" s="8" t="inlineStr">
        <is>
          <t>unveil</t>
        </is>
      </c>
      <c r="D11" s="12" t="inlineStr">
        <is>
          <t>발표하다, 공개하다</t>
        </is>
      </c>
      <c r="E11" s="12" t="inlineStr">
        <is>
          <t>We're excited to unveil a new marketing campaign.</t>
        </is>
      </c>
      <c r="F11" s="12" t="inlineStr">
        <is>
          <t>새로운 마케팅 캠페인을 설레는 마음으로 공개하려 합니다.</t>
        </is>
      </c>
      <c r="G11" s="9">
        <f>HYPERLINK("https://www.youtube.com/watch?v=W8lGwgfRFsQ", "영상 보기 ▶")</f>
        <v/>
      </c>
    </row>
    <row r="12" ht="26" customHeight="1">
      <c r="A12" s="2" t="n">
        <v>1761</v>
      </c>
      <c r="B12" s="3" t="inlineStr">
        <is>
          <t>실전회화/표현</t>
        </is>
      </c>
      <c r="C12" s="4" t="inlineStr">
        <is>
          <t>catch one’s eye</t>
        </is>
      </c>
      <c r="D12" s="11" t="inlineStr">
        <is>
          <t>눈에 띄다, 시선을 사로잡다</t>
        </is>
      </c>
      <c r="E12" s="11" t="inlineStr">
        <is>
          <t>That picture is really eye-catching.</t>
        </is>
      </c>
      <c r="F12" s="11" t="inlineStr">
        <is>
          <t>그 사진이 눈에 확 띄네요.</t>
        </is>
      </c>
      <c r="G12" s="5">
        <f>HYPERLINK("https://www.youtube.com/watch?v=W8lGwgfRFsQ", "영상 보기 ▶")</f>
        <v/>
      </c>
    </row>
    <row r="13" ht="26" customHeight="1">
      <c r="A13" s="6" t="n">
        <v>1762</v>
      </c>
      <c r="B13" s="7" t="inlineStr">
        <is>
          <t>실전회화/표현</t>
        </is>
      </c>
      <c r="C13" s="8" t="inlineStr">
        <is>
          <t>ulterior motive</t>
        </is>
      </c>
      <c r="D13" s="12" t="inlineStr">
        <is>
          <t>속셈, 숨은 동기</t>
        </is>
      </c>
      <c r="E13" s="12" t="inlineStr">
        <is>
          <t>I actually have an ulterior motive.</t>
        </is>
      </c>
      <c r="F13" s="12" t="inlineStr">
        <is>
          <t>실은 다른 목적이 있어서 만나자고 했어.</t>
        </is>
      </c>
      <c r="G13" s="9">
        <f>HYPERLINK("https://www.youtube.com/watch?v=W8lGwgfRFsQ", "영상 보기 ▶")</f>
        <v/>
      </c>
    </row>
    <row r="14" ht="26" customHeight="1">
      <c r="A14" s="2" t="n">
        <v>1763</v>
      </c>
      <c r="B14" s="3" t="inlineStr">
        <is>
          <t>공감/감정</t>
        </is>
      </c>
      <c r="C14" s="4" t="inlineStr">
        <is>
          <t>put mind at ease</t>
        </is>
      </c>
      <c r="D14" s="11" t="inlineStr">
        <is>
          <t>마음을 놓을 수 있게 하다, 안심시키다</t>
        </is>
      </c>
      <c r="E14" s="11" t="inlineStr">
        <is>
          <t>Don’t worry. I’ll call him and put his mind at ease.</t>
        </is>
      </c>
      <c r="F14" s="11" t="inlineStr">
        <is>
          <t>내가 그에게 전화해서 안심시킬테니 걱정 마.</t>
        </is>
      </c>
      <c r="G14" s="5">
        <f>HYPERLINK("https://www.youtube.com/watch?v=W8lGwgfRFsQ", "영상 보기 ▶")</f>
        <v/>
      </c>
    </row>
    <row r="15" ht="26" customHeight="1">
      <c r="A15" s="6" t="n">
        <v>1764</v>
      </c>
      <c r="B15" s="7" t="inlineStr">
        <is>
          <t>실전회화/표현</t>
        </is>
      </c>
      <c r="C15" s="8" t="inlineStr">
        <is>
          <t>ease</t>
        </is>
      </c>
      <c r="D15" s="12" t="inlineStr">
        <is>
          <t>편하게 해주다, 덜어주다</t>
        </is>
      </c>
      <c r="E15" s="12" t="inlineStr">
        <is>
          <t>Thanks for easing my mind.</t>
        </is>
      </c>
      <c r="F15" s="12" t="inlineStr">
        <is>
          <t>걱정을 덜어줘서 고마워.</t>
        </is>
      </c>
      <c r="G15" s="9">
        <f>HYPERLINK("https://www.youtube.com/watch?v=W8lGwgfRFsQ", "영상 보기 ▶")</f>
        <v/>
      </c>
    </row>
    <row r="16" ht="26" customHeight="1">
      <c r="A16" s="2" t="n">
        <v>1765</v>
      </c>
      <c r="B16" s="3" t="inlineStr">
        <is>
          <t>실전회화/표현</t>
        </is>
      </c>
      <c r="C16" s="4" t="inlineStr">
        <is>
          <t>elsewhere</t>
        </is>
      </c>
      <c r="D16" s="11" t="inlineStr">
        <is>
          <t>어딘가 다른 곳에</t>
        </is>
      </c>
      <c r="E16" s="11" t="inlineStr">
        <is>
          <t>I can tell your mind is elsewhere.</t>
        </is>
      </c>
      <c r="F16" s="11" t="inlineStr">
        <is>
          <t>딱보니 정신이 딴데 팔려 있구만.</t>
        </is>
      </c>
      <c r="G16" s="5">
        <f>HYPERLINK("https://www.youtube.com/watch?v=W8lGwgfRFsQ", "영상 보기 ▶")</f>
        <v/>
      </c>
    </row>
    <row r="17" ht="26" customHeight="1">
      <c r="A17" s="6" t="n">
        <v>1766</v>
      </c>
      <c r="B17" s="7" t="inlineStr">
        <is>
          <t>실전회화/표현</t>
        </is>
      </c>
      <c r="C17" s="8" t="inlineStr">
        <is>
          <t>catch</t>
        </is>
      </c>
      <c r="D17" s="12" t="inlineStr">
        <is>
          <t>알아채다, 발견하다</t>
        </is>
      </c>
      <c r="E17" s="12" t="inlineStr">
        <is>
          <t>I didn’t catch any problem.</t>
        </is>
      </c>
      <c r="F17" s="12" t="inlineStr">
        <is>
          <t>난 아무 문제도 발견하지 않았어.</t>
        </is>
      </c>
      <c r="G17" s="9">
        <f>HYPERLINK("https://www.youtube.com/watch?v=W8lGwgfRFsQ", "영상 보기 ▶")</f>
        <v/>
      </c>
    </row>
    <row r="18" ht="26" customHeight="1">
      <c r="A18" s="2" t="n">
        <v>1767</v>
      </c>
      <c r="B18" s="3" t="inlineStr">
        <is>
          <t>공감/감정</t>
        </is>
      </c>
      <c r="C18" s="4" t="inlineStr">
        <is>
          <t>catch</t>
        </is>
      </c>
      <c r="D18" s="11" t="inlineStr">
        <is>
          <t>알아듣다, 이해하다</t>
        </is>
      </c>
      <c r="E18" s="11" t="inlineStr">
        <is>
          <t>Sorry, I didn’t catch the last part of your question.</t>
        </is>
      </c>
      <c r="F18" s="11" t="inlineStr">
        <is>
          <t>죄송한데 질문 마지막 부분을 제대로 못 들었네요.</t>
        </is>
      </c>
      <c r="G18" s="5">
        <f>HYPERLINK("https://www.youtube.com/watch?v=W8lGwgfRFsQ", "영상 보기 ▶")</f>
        <v/>
      </c>
    </row>
    <row r="19" ht="26" customHeight="1">
      <c r="A19" s="6" t="n">
        <v>1768</v>
      </c>
      <c r="B19" s="7" t="inlineStr">
        <is>
          <t>실전회화/표현</t>
        </is>
      </c>
      <c r="C19" s="8" t="inlineStr">
        <is>
          <t>catch</t>
        </is>
      </c>
      <c r="D19" s="12" t="inlineStr">
        <is>
          <t>타다</t>
        </is>
      </c>
      <c r="E19" s="12" t="inlineStr">
        <is>
          <t>If we leave now, we might be able to catch the 2:30 bus.</t>
        </is>
      </c>
      <c r="F19" s="12" t="inlineStr">
        <is>
          <t>지금 출발하면 2시반 버스를 탈 수 있을 지도 몰라.</t>
        </is>
      </c>
      <c r="G19" s="9">
        <f>HYPERLINK("https://www.youtube.com/watch?v=W8lGwgfRFsQ", "영상 보기 ▶")</f>
        <v/>
      </c>
    </row>
    <row r="20" ht="26" customHeight="1">
      <c r="A20" s="2" t="n">
        <v>1769</v>
      </c>
      <c r="B20" s="3" t="inlineStr">
        <is>
          <t>실전회화/표현</t>
        </is>
      </c>
      <c r="C20" s="4" t="inlineStr">
        <is>
          <t>catch</t>
        </is>
      </c>
      <c r="D20" s="11" t="inlineStr">
        <is>
          <t>때마침 만나다</t>
        </is>
      </c>
      <c r="E20" s="11" t="inlineStr">
        <is>
          <t>I’m glad I caught you.</t>
        </is>
      </c>
      <c r="F20" s="11" t="inlineStr">
        <is>
          <t>연락이 닿아서 다행이야.</t>
        </is>
      </c>
      <c r="G20" s="5">
        <f>HYPERLINK("https://www.youtube.com/watch?v=W8lGwgfRFsQ", "영상 보기 ▶")</f>
        <v/>
      </c>
    </row>
    <row r="21" ht="26" customHeight="1">
      <c r="A21" s="6" t="n">
        <v>1770</v>
      </c>
      <c r="B21" s="7" t="inlineStr">
        <is>
          <t>실전회화/표현</t>
        </is>
      </c>
      <c r="C21" s="8" t="inlineStr">
        <is>
          <t>for your convenience</t>
        </is>
      </c>
      <c r="D21" s="12" t="inlineStr">
        <is>
          <t>편하시도록</t>
        </is>
      </c>
      <c r="E21" s="12" t="inlineStr">
        <is>
          <t>I’ve highlighted the key parts for your convenience.</t>
        </is>
      </c>
      <c r="F21" s="12" t="inlineStr">
        <is>
          <t>보시기 편핟오록 중요한 부분에 표시를 했어요.</t>
        </is>
      </c>
      <c r="G21" s="9">
        <f>HYPERLINK("https://www.youtube.com/watch?v=W8lGwgfRFsQ", "영상 보기 ▶")</f>
        <v/>
      </c>
    </row>
    <row r="22" ht="26" customHeight="1">
      <c r="A22" s="2" t="n">
        <v>1771</v>
      </c>
      <c r="B22" s="3" t="inlineStr">
        <is>
          <t>실전회화/표현</t>
        </is>
      </c>
      <c r="C22" s="4" t="inlineStr">
        <is>
          <t>at your convenience</t>
        </is>
      </c>
      <c r="D22" s="11" t="inlineStr">
        <is>
          <t>편하신 때에</t>
        </is>
      </c>
      <c r="E22" s="11" t="inlineStr">
        <is>
          <t>No rush. You can come by at your convenience.</t>
        </is>
      </c>
      <c r="F22" s="11" t="inlineStr">
        <is>
          <t>편할 때 와도 돼.</t>
        </is>
      </c>
      <c r="G22" s="5">
        <f>HYPERLINK("https://www.youtube.com/watch?v=W8lGwgfRFsQ", "영상 보기 ▶")</f>
        <v/>
      </c>
    </row>
    <row r="23" ht="26" customHeight="1">
      <c r="A23" s="6" t="n">
        <v>1772</v>
      </c>
      <c r="B23" s="7" t="inlineStr">
        <is>
          <t>실전회화/표현</t>
        </is>
      </c>
      <c r="C23" s="8" t="inlineStr">
        <is>
          <t>break down</t>
        </is>
      </c>
      <c r="D23" s="12" t="inlineStr">
        <is>
          <t>단계별로 설명하다</t>
        </is>
      </c>
      <c r="E23" s="12" t="inlineStr">
        <is>
          <t>Can you break it down for me?</t>
        </is>
      </c>
      <c r="F23" s="12" t="inlineStr">
        <is>
          <t>자세히 설명해줄 수 있어?</t>
        </is>
      </c>
      <c r="G23" s="9">
        <f>HYPERLINK("https://www.youtube.com/watch?v=W8lGwgfRFsQ", "영상 보기 ▶")</f>
        <v/>
      </c>
    </row>
    <row r="24" ht="26" customHeight="1">
      <c r="A24" s="2" t="n">
        <v>1773</v>
      </c>
      <c r="B24" s="3" t="inlineStr">
        <is>
          <t>실전회화/표현</t>
        </is>
      </c>
      <c r="C24" s="4" t="inlineStr">
        <is>
          <t>catchy</t>
        </is>
      </c>
      <c r="D24" s="11" t="inlineStr">
        <is>
          <t>시선을 끄는, 기억하기 쉬운</t>
        </is>
      </c>
      <c r="E24" s="11" t="inlineStr">
        <is>
          <t>It’s  a catchy logo.</t>
        </is>
      </c>
      <c r="F24" s="11" t="inlineStr">
        <is>
          <t>시선을 끄는 로고인걸.</t>
        </is>
      </c>
      <c r="G24" s="5">
        <f>HYPERLINK("https://www.youtube.com/watch?v=W8lGwgfRFsQ", "영상 보기 ▶")</f>
        <v/>
      </c>
    </row>
    <row r="25" ht="26" customHeight="1">
      <c r="A25" s="6" t="n">
        <v>1774</v>
      </c>
      <c r="B25" s="7" t="inlineStr">
        <is>
          <t>실전회화/표현</t>
        </is>
      </c>
      <c r="C25" s="8" t="inlineStr">
        <is>
          <t>outdo</t>
        </is>
      </c>
      <c r="D25" s="12" t="inlineStr">
        <is>
          <t>능가하다, 뛰어넘다</t>
        </is>
      </c>
      <c r="E25" s="12" t="inlineStr">
        <is>
          <t>They outdid us this time.</t>
        </is>
      </c>
      <c r="F25" s="12" t="inlineStr">
        <is>
          <t>이번엔 걔들이 우릴 뛰어넘었어.</t>
        </is>
      </c>
      <c r="G25" s="9">
        <f>HYPERLINK("https://www.youtube.com/watch?v=W8lGwgfRFsQ", "영상 보기 ▶")</f>
        <v/>
      </c>
    </row>
    <row r="26" ht="26" customHeight="1">
      <c r="A26" s="2" t="n">
        <v>1775</v>
      </c>
      <c r="B26" s="3" t="inlineStr">
        <is>
          <t>실전회화/표현</t>
        </is>
      </c>
      <c r="C26" s="4" t="inlineStr">
        <is>
          <t>overdo ~</t>
        </is>
      </c>
      <c r="D26" s="11" t="inlineStr">
        <is>
          <t>를 지나치게 하다</t>
        </is>
      </c>
      <c r="E26" s="11" t="inlineStr">
        <is>
          <t>Don’t overdo it.</t>
        </is>
      </c>
      <c r="F26" s="11" t="inlineStr">
        <is>
          <t>너무 과하게 하지 마.</t>
        </is>
      </c>
      <c r="G26" s="5">
        <f>HYPERLINK("https://www.youtube.com/watch?v=W8lGwgfRFsQ", "영상 보기 ▶")</f>
        <v/>
      </c>
    </row>
    <row r="27" ht="26" customHeight="1">
      <c r="A27" s="6" t="n">
        <v>1776</v>
      </c>
      <c r="B27" s="7" t="inlineStr">
        <is>
          <t>실전회화/표현</t>
        </is>
      </c>
      <c r="C27" s="8" t="inlineStr">
        <is>
          <t>outperform ~</t>
        </is>
      </c>
      <c r="D27" s="12" t="inlineStr">
        <is>
          <t>보다 나은 결과를 내다, 성능이 더 뛰어나다</t>
        </is>
      </c>
      <c r="E27" s="12" t="inlineStr">
        <is>
          <t>It’s outperforming the others.</t>
        </is>
      </c>
      <c r="F27" s="12" t="inlineStr">
        <is>
          <t>그건 다른 것 보다 더 성능이 뛰어나.</t>
        </is>
      </c>
      <c r="G27" s="9">
        <f>HYPERLINK("https://www.youtube.com/watch?v=W8lGwgfRFsQ", "영상 보기 ▶")</f>
        <v/>
      </c>
    </row>
    <row r="28" ht="26" customHeight="1">
      <c r="A28" s="2" t="n">
        <v>1777</v>
      </c>
      <c r="B28" s="3" t="inlineStr">
        <is>
          <t>실전회화/표현</t>
        </is>
      </c>
      <c r="C28" s="4" t="inlineStr">
        <is>
          <t>outweigh ~</t>
        </is>
      </c>
      <c r="D28" s="11" t="inlineStr">
        <is>
          <t>보다 더 무겁다, 크다</t>
        </is>
      </c>
      <c r="E28" s="11" t="inlineStr">
        <is>
          <t>The pros outweight the cons.</t>
        </is>
      </c>
      <c r="F28" s="11" t="inlineStr">
        <is>
          <t>장점이 단점보다 더 많아.</t>
        </is>
      </c>
      <c r="G28" s="5">
        <f>HYPERLINK("https://www.youtube.com/watch?v=W8lGwgfRFsQ", "영상 보기 ▶")</f>
        <v/>
      </c>
    </row>
    <row r="29" ht="26" customHeight="1">
      <c r="A29" s="6" t="n">
        <v>1778</v>
      </c>
      <c r="B29" s="7" t="inlineStr">
        <is>
          <t>실전회화/표현</t>
        </is>
      </c>
      <c r="C29" s="8" t="inlineStr">
        <is>
          <t>overpowering</t>
        </is>
      </c>
      <c r="D29" s="12" t="inlineStr">
        <is>
          <t>아주 강한, 심한, 강력한</t>
        </is>
      </c>
      <c r="E29" s="12" t="inlineStr">
        <is>
          <t>The sauce is overpowering.</t>
        </is>
      </c>
      <c r="F29" s="12" t="inlineStr">
        <is>
          <t>소스 맛이 너무 강하게 느껴지는데.</t>
        </is>
      </c>
      <c r="G29" s="9">
        <f>HYPERLINK("https://www.youtube.com/watch?v=W8lGwgfRFsQ", "영상 보기 ▶")</f>
        <v/>
      </c>
    </row>
    <row r="30" ht="26" customHeight="1">
      <c r="A30" s="2" t="n">
        <v>1779</v>
      </c>
      <c r="B30" s="3" t="inlineStr">
        <is>
          <t>의견/의사결정</t>
        </is>
      </c>
      <c r="C30" s="4" t="inlineStr">
        <is>
          <t>overthink</t>
        </is>
      </c>
      <c r="D30" s="11" t="inlineStr">
        <is>
          <t>너무 많이, 깊게 생각하다</t>
        </is>
      </c>
      <c r="E30" s="11" t="inlineStr">
        <is>
          <t>Don’t overthink it.</t>
        </is>
      </c>
      <c r="F30" s="11" t="inlineStr">
        <is>
          <t>너무 어렵게 생각하지마.</t>
        </is>
      </c>
      <c r="G30" s="5">
        <f>HYPERLINK("https://www.youtube.com/watch?v=W8lGwgfRFsQ", "영상 보기 ▶")</f>
        <v/>
      </c>
    </row>
    <row r="31" ht="26" customHeight="1">
      <c r="A31" s="6" t="n">
        <v>1780</v>
      </c>
      <c r="B31" s="7" t="inlineStr">
        <is>
          <t>실전회화/표현</t>
        </is>
      </c>
      <c r="C31" s="8" t="inlineStr">
        <is>
          <t>catch</t>
        </is>
      </c>
      <c r="D31" s="12" t="inlineStr">
        <is>
          <t>함정, 책략</t>
        </is>
      </c>
      <c r="E31" s="12" t="inlineStr">
        <is>
          <t>What’s the catch?</t>
        </is>
      </c>
      <c r="F31" s="12" t="inlineStr">
        <is>
          <t>꿍꿍이가 뭐야?</t>
        </is>
      </c>
      <c r="G31" s="9">
        <f>HYPERLINK("https://www.youtube.com/watch?v=W8lGwgfRFsQ", "영상 보기 ▶")</f>
        <v/>
      </c>
    </row>
    <row r="32" ht="26" customHeight="1">
      <c r="A32" s="2" t="n">
        <v>1781</v>
      </c>
      <c r="B32" s="3" t="inlineStr">
        <is>
          <t>실전회화/표현</t>
        </is>
      </c>
      <c r="C32" s="4" t="inlineStr">
        <is>
          <t>catch</t>
        </is>
      </c>
      <c r="D32" s="11" t="inlineStr">
        <is>
          <t>좋은 결혼 상대</t>
        </is>
      </c>
      <c r="E32" s="11" t="inlineStr">
        <is>
          <t>I don’t get why he’s single. He’s a catch.</t>
        </is>
      </c>
      <c r="F32" s="11" t="inlineStr">
        <is>
          <t>왜 그가 싱글인지 이해가 안돼. 정말 좋은 사람인데.</t>
        </is>
      </c>
      <c r="G32" s="5">
        <f>HYPERLINK("https://www.youtube.com/watch?v=W8lGwgfRFsQ", "영상 보기 ▶")</f>
        <v/>
      </c>
    </row>
    <row r="33" ht="26" customHeight="1">
      <c r="A33" s="6" t="n">
        <v>1782</v>
      </c>
      <c r="B33" s="7" t="inlineStr">
        <is>
          <t>실전회화/표현</t>
        </is>
      </c>
      <c r="C33" s="8" t="inlineStr">
        <is>
          <t>do</t>
        </is>
      </c>
      <c r="D33" s="12" t="inlineStr">
        <is>
          <t>적절하다, 충분하다</t>
        </is>
      </c>
      <c r="E33" s="12" t="inlineStr">
        <is>
          <t>That’ll do.</t>
        </is>
      </c>
      <c r="F33" s="12" t="inlineStr">
        <is>
          <t>그정도면 충분해.</t>
        </is>
      </c>
      <c r="G33" s="9">
        <f>HYPERLINK("https://www.youtube.com/watch?v=W8lGwgfRFsQ", "영상 보기 ▶")</f>
        <v/>
      </c>
    </row>
    <row r="34" ht="26" customHeight="1">
      <c r="A34" s="2" t="n">
        <v>1783</v>
      </c>
      <c r="B34" s="3" t="inlineStr">
        <is>
          <t>실전회화/표현</t>
        </is>
      </c>
      <c r="C34" s="4" t="inlineStr">
        <is>
          <t>catch someone off guard</t>
        </is>
      </c>
      <c r="D34" s="11" t="inlineStr">
        <is>
          <t>당황시키다, 허를 찌르게 하다</t>
        </is>
      </c>
      <c r="E34" s="11" t="inlineStr">
        <is>
          <t>It caught me off guard.</t>
        </is>
      </c>
      <c r="F34" s="11" t="inlineStr">
        <is>
          <t>생각도 못했어.</t>
        </is>
      </c>
      <c r="G34" s="5">
        <f>HYPERLINK("https://www.youtube.com/watch?v=W8lGwgfRFsQ", "영상 보기 ▶")</f>
        <v/>
      </c>
    </row>
    <row r="35" ht="26" customHeight="1">
      <c r="A35" s="6" t="n">
        <v>1784</v>
      </c>
      <c r="B35" s="7" t="inlineStr">
        <is>
          <t>실전회화/표현</t>
        </is>
      </c>
      <c r="C35" s="8" t="inlineStr">
        <is>
          <t>I’ll catch you later.</t>
        </is>
      </c>
      <c r="D35" s="12" t="inlineStr">
        <is>
          <t>나중에 보자.</t>
        </is>
      </c>
      <c r="E35" s="12" t="inlineStr">
        <is>
          <t>I’ll catch you later. You go have a great time.</t>
        </is>
      </c>
      <c r="F35" s="12" t="inlineStr">
        <is>
          <t>나중에 보자. 가서 재미있게 놀아.</t>
        </is>
      </c>
      <c r="G35" s="9">
        <f>HYPERLINK("https://www.youtube.com/watch?v=W8lGwgfRFsQ", "영상 보기 ▶")</f>
        <v/>
      </c>
    </row>
    <row r="36" ht="26" customHeight="1">
      <c r="A36" s="2" t="n">
        <v>1785</v>
      </c>
      <c r="B36" s="3" t="inlineStr">
        <is>
          <t>실전회화/표현</t>
        </is>
      </c>
      <c r="C36" s="4" t="inlineStr">
        <is>
          <t>roll up one’s sleeves</t>
        </is>
      </c>
      <c r="D36" s="11" t="inlineStr">
        <is>
          <t>적극적으로 일에 착수하다, 나서다</t>
        </is>
      </c>
      <c r="E36" s="11" t="inlineStr">
        <is>
          <t>This is a pivotal moment for us. We need to roll up our sleeves.</t>
        </is>
      </c>
      <c r="F36" s="11" t="inlineStr">
        <is>
          <t>우리에게 있어 정말 중요한 순간이야. 적극적으로 임해야 해.</t>
        </is>
      </c>
      <c r="G36" s="5">
        <f>HYPERLINK("https://www.youtube.com/watch?v=W8lGwgfRFsQ", "영상 보기 ▶")</f>
        <v/>
      </c>
    </row>
    <row r="37" ht="26" customHeight="1">
      <c r="A37" s="6" t="n">
        <v>1786</v>
      </c>
      <c r="B37" s="7" t="inlineStr">
        <is>
          <t>실전회화/표현</t>
        </is>
      </c>
      <c r="C37" s="8" t="inlineStr">
        <is>
          <t>work in progress</t>
        </is>
      </c>
      <c r="D37" s="12" t="inlineStr">
        <is>
          <t>진행 중, 작업 중</t>
        </is>
      </c>
      <c r="E37" s="12" t="inlineStr">
        <is>
          <t>It’s still a work in progress.</t>
        </is>
      </c>
      <c r="F37" s="12" t="inlineStr">
        <is>
          <t>아직 작업 중이야.</t>
        </is>
      </c>
      <c r="G37" s="9">
        <f>HYPERLINK("https://www.youtube.com/watch?v=W8lGwgfRFsQ", "영상 보기 ▶")</f>
        <v/>
      </c>
    </row>
    <row r="38" ht="26" customHeight="1">
      <c r="A38" s="2" t="n">
        <v>1787</v>
      </c>
      <c r="B38" s="3" t="inlineStr">
        <is>
          <t>공감/감정</t>
        </is>
      </c>
      <c r="C38" s="4" t="inlineStr">
        <is>
          <t>Did I catch you at a bad time?</t>
        </is>
      </c>
      <c r="D38" s="11" t="inlineStr">
        <is>
          <t>지금 대화하기 어려워?</t>
        </is>
      </c>
      <c r="E38" s="11" t="inlineStr">
        <is>
          <t>Actuallly, you’ve caught me at a bad time. Can you call me back tomorrow?</t>
        </is>
      </c>
      <c r="F38" s="11" t="inlineStr">
        <is>
          <t>실은 지금 통화하기 어려워서, 내일 다시 전화줄 수 있어?</t>
        </is>
      </c>
      <c r="G38" s="5">
        <f>HYPERLINK("https://www.youtube.com/watch?v=W8lGwgfRFsQ", "영상 보기 ▶")</f>
        <v/>
      </c>
    </row>
    <row r="39" ht="26" customHeight="1">
      <c r="A39" s="6" t="n">
        <v>1788</v>
      </c>
      <c r="B39" s="7" t="inlineStr">
        <is>
          <t>실전회화/표현</t>
        </is>
      </c>
      <c r="C39" s="8" t="inlineStr">
        <is>
          <t>Easy does it.</t>
        </is>
      </c>
      <c r="D39" s="12" t="inlineStr">
        <is>
          <t>천천히/살살 해.</t>
        </is>
      </c>
      <c r="E39" s="12" t="inlineStr">
        <is>
          <t>It’s fragile. Easy does it.</t>
        </is>
      </c>
      <c r="F39" s="12" t="inlineStr">
        <is>
          <t>깨지거나 부서지기 쉬우니 조심스럽게 다뤄.</t>
        </is>
      </c>
      <c r="G39" s="9">
        <f>HYPERLINK("https://www.youtube.com/watch?v=W8lGwgfRFsQ", "영상 보기 ▶")</f>
        <v/>
      </c>
    </row>
    <row r="40" ht="26" customHeight="1">
      <c r="A40" s="2" t="n">
        <v>1789</v>
      </c>
      <c r="B40" s="3" t="inlineStr">
        <is>
          <t>실전회화/표현</t>
        </is>
      </c>
      <c r="C40" s="4" t="inlineStr">
        <is>
          <t>Enough about ~</t>
        </is>
      </c>
      <c r="D40" s="11" t="inlineStr">
        <is>
          <t>는 이쯤에서 그만하고</t>
        </is>
      </c>
      <c r="E40" s="11" t="inlineStr">
        <is>
          <t>Enough about work, how’s life?</t>
        </is>
      </c>
      <c r="F40" s="11" t="inlineStr">
        <is>
          <t>일 얘기는 그만하고, 잘 살고 있지?</t>
        </is>
      </c>
      <c r="G40" s="5">
        <f>HYPERLINK("https://www.youtube.com/watch?v=W8lGwgfRFsQ", "영상 보기 ▶")</f>
        <v/>
      </c>
    </row>
    <row r="41" ht="26" customHeight="1">
      <c r="A41" s="6" t="n">
        <v>1790</v>
      </c>
      <c r="B41" s="7" t="inlineStr">
        <is>
          <t>의견/의사결정</t>
        </is>
      </c>
      <c r="C41" s="8" t="inlineStr">
        <is>
          <t>​I was under the impression ~</t>
        </is>
      </c>
      <c r="D41" s="12" t="inlineStr">
        <is>
          <t>라는 인상을 받았어/ ~라고 생각했어</t>
        </is>
      </c>
      <c r="E41" s="12" t="inlineStr">
        <is>
          <t>I was under the impression that things would be a lot easier.</t>
        </is>
      </c>
      <c r="F41" s="12" t="inlineStr">
        <is>
          <t>난 상황이 훨씬 더 수월할거라고 생각했어.</t>
        </is>
      </c>
      <c r="G41" s="9">
        <f>HYPERLINK("https://www.youtube.com/watch?v=W8lGwgfRFsQ", "영상 보기 ▶")</f>
        <v/>
      </c>
    </row>
    <row r="42" ht="26" customHeight="1">
      <c r="A42" s="2" t="n">
        <v>1791</v>
      </c>
      <c r="B42" s="3" t="inlineStr">
        <is>
          <t>공감/감정</t>
        </is>
      </c>
      <c r="C42" s="4" t="inlineStr">
        <is>
          <t>Don’t be so hard on yourself.</t>
        </is>
      </c>
      <c r="D42" s="11" t="inlineStr">
        <is>
          <t>너무 자책하지 마.</t>
        </is>
      </c>
      <c r="E42" s="11" t="inlineStr">
        <is>
          <t>A: I hurt Leonard, I hurt Raj. I mean, what is wrong with me?</t>
        </is>
      </c>
      <c r="F42" s="11" t="inlineStr">
        <is>
          <t>내가 걔들을 상처줬어. 난 대체 왜이럴까?</t>
        </is>
      </c>
      <c r="G42" s="5">
        <f>HYPERLINK("https://www.youtube.com/watch?v=W8lGwgfRFsQ", "영상 보기 ▶")</f>
        <v/>
      </c>
    </row>
    <row r="43" ht="26" customHeight="1">
      <c r="A43" s="6" t="n">
        <v>1792</v>
      </c>
      <c r="B43" s="7" t="inlineStr">
        <is>
          <t>의견/의사결정</t>
        </is>
      </c>
      <c r="C43" s="8" t="inlineStr">
        <is>
          <t>pick one’s brain ~</t>
        </is>
      </c>
      <c r="D43" s="12" t="inlineStr">
        <is>
          <t>에게 조언/의견을 구하다</t>
        </is>
      </c>
      <c r="E43" s="12" t="inlineStr">
        <is>
          <t>Can I pick your brain about something?</t>
        </is>
      </c>
      <c r="F43" s="12" t="inlineStr">
        <is>
          <t>뭐 좀 물어봐도 될까?</t>
        </is>
      </c>
      <c r="G43" s="9">
        <f>HYPERLINK("https://www.youtube.com/watch?v=W8lGwgfRFsQ", "영상 보기 ▶")</f>
        <v/>
      </c>
    </row>
    <row r="44" ht="26" customHeight="1">
      <c r="A44" s="2" t="n">
        <v>1793</v>
      </c>
      <c r="B44" s="3" t="inlineStr">
        <is>
          <t>실전회화/표현</t>
        </is>
      </c>
      <c r="C44" s="4" t="inlineStr">
        <is>
          <t>catch up</t>
        </is>
      </c>
      <c r="D44" s="11" t="inlineStr">
        <is>
          <t>따라잡다</t>
        </is>
      </c>
      <c r="E44" s="11" t="inlineStr">
        <is>
          <t>It was nice catching up with you.</t>
        </is>
      </c>
      <c r="F44" s="11" t="inlineStr">
        <is>
          <t>오랜만에 만나 수다떨어서 즐거웠어.</t>
        </is>
      </c>
      <c r="G44" s="5">
        <f>HYPERLINK("https://www.youtube.com/watch?v=W8lGwgfRFsQ", "영상 보기 ▶")</f>
        <v/>
      </c>
    </row>
    <row r="45" ht="26" customHeight="1">
      <c r="A45" s="6" t="n">
        <v>1794</v>
      </c>
      <c r="B45" s="7" t="inlineStr">
        <is>
          <t>실전회화/표현</t>
        </is>
      </c>
      <c r="C45" s="8" t="inlineStr">
        <is>
          <t>Catch someone up</t>
        </is>
      </c>
      <c r="D45" s="12" t="inlineStr">
        <is>
          <t>상황을 알려주다</t>
        </is>
      </c>
      <c r="E45" s="12" t="inlineStr">
        <is>
          <t>Bring me up to speed.</t>
        </is>
      </c>
      <c r="F45" s="12" t="inlineStr">
        <is>
          <t>어떤 상황인지 알려줘.</t>
        </is>
      </c>
      <c r="G45" s="9">
        <f>HYPERLINK("https://www.youtube.com/watch?v=W8lGwgfRFsQ", "영상 보기 ▶")</f>
        <v/>
      </c>
    </row>
    <row r="46" ht="26" customHeight="1">
      <c r="A46" s="2" t="n">
        <v>1795</v>
      </c>
      <c r="B46" s="3" t="inlineStr">
        <is>
          <t>비즈니스/업무</t>
        </is>
      </c>
      <c r="C46" s="4" t="inlineStr">
        <is>
          <t>timeline</t>
        </is>
      </c>
      <c r="D46" s="11" t="inlineStr">
        <is>
          <t>구체적인 일정</t>
        </is>
      </c>
      <c r="E46" s="11" t="inlineStr">
        <is>
          <t>What’s our timeline?</t>
        </is>
      </c>
      <c r="F46" s="11" t="inlineStr">
        <is>
          <t>구체적인 일정이 어떻게 되나요?</t>
        </is>
      </c>
      <c r="G46" s="5">
        <f>HYPERLINK("https://www.youtube.com/watch?v=W8lGwgfRFsQ", "영상 보기 ▶")</f>
        <v/>
      </c>
    </row>
    <row r="47" ht="26" customHeight="1">
      <c r="A47" s="6" t="n">
        <v>1796</v>
      </c>
      <c r="B47" s="7" t="inlineStr">
        <is>
          <t>실전회화/표현</t>
        </is>
      </c>
      <c r="C47" s="8" t="inlineStr">
        <is>
          <t>have something up one’s sleeve</t>
        </is>
      </c>
      <c r="D47" s="12" t="inlineStr">
        <is>
          <t>비장의 무기를 지니다, 꿍꿍이를 가지다</t>
        </is>
      </c>
      <c r="E47" s="12" t="inlineStr">
        <is>
          <t>I wonder what he has up his sleeve.</t>
        </is>
      </c>
      <c r="F47" s="12" t="inlineStr">
        <is>
          <t>걔가 뭘 준비하고 있을지 궁금해.</t>
        </is>
      </c>
      <c r="G47" s="9">
        <f>HYPERLINK("https://www.youtube.com/watch?v=W8lGwgfRFsQ", "영상 보기 ▶")</f>
        <v/>
      </c>
    </row>
    <row r="48" ht="26" customHeight="1">
      <c r="A48" s="2" t="n">
        <v>1797</v>
      </c>
      <c r="B48" s="3" t="inlineStr">
        <is>
          <t>실전회화/표현</t>
        </is>
      </c>
      <c r="C48" s="4" t="inlineStr">
        <is>
          <t>make a good first impression</t>
        </is>
      </c>
      <c r="D48" s="11" t="inlineStr">
        <is>
          <t>좋은 첫인상을 주다</t>
        </is>
      </c>
      <c r="E48" s="11" t="inlineStr">
        <is>
          <t>I wanna make a good first impression.</t>
        </is>
      </c>
      <c r="F48" s="11" t="inlineStr">
        <is>
          <t>좋은 첫인상을 주고 싶어.</t>
        </is>
      </c>
      <c r="G48" s="5">
        <f>HYPERLINK("https://www.youtube.com/watch?v=W8lGwgfRFsQ", "영상 보기 ▶")</f>
        <v/>
      </c>
    </row>
    <row r="49" ht="26" customHeight="1">
      <c r="A49" s="6" t="n">
        <v>1798</v>
      </c>
      <c r="B49" s="7" t="inlineStr">
        <is>
          <t>실전회화/표현</t>
        </is>
      </c>
      <c r="C49" s="8" t="inlineStr">
        <is>
          <t>catch a break</t>
        </is>
      </c>
      <c r="D49" s="12" t="inlineStr">
        <is>
          <t>운이 따르다, 좋은 기회를 얻다</t>
        </is>
      </c>
      <c r="E49" s="12" t="inlineStr">
        <is>
          <t>I’m hoping to catch a break with this deal.</t>
        </is>
      </c>
      <c r="F49" s="12" t="inlineStr">
        <is>
          <t>운이 따라서 거래가 잘 되면 좋겠다.</t>
        </is>
      </c>
      <c r="G49" s="9">
        <f>HYPERLINK("https://www.youtube.com/watch?v=W8lGwgfRFsQ", "영상 보기 ▶")</f>
        <v/>
      </c>
    </row>
    <row r="50" ht="26" customHeight="1">
      <c r="A50" s="2" t="n">
        <v>1799</v>
      </c>
      <c r="B50" s="3" t="inlineStr">
        <is>
          <t>실전회화/표현</t>
        </is>
      </c>
      <c r="C50" s="4" t="inlineStr">
        <is>
          <t>apparently</t>
        </is>
      </c>
      <c r="D50" s="11" t="inlineStr">
        <is>
          <t>듣자하니, 보아하니</t>
        </is>
      </c>
      <c r="E50" s="11" t="inlineStr">
        <is>
          <t>Apparently, that’s not what they wanted to hear.</t>
        </is>
      </c>
      <c r="F50" s="11" t="inlineStr">
        <is>
          <t>보아하니 걔네들이 듣고 싶어한 말은 아닌가봐.</t>
        </is>
      </c>
      <c r="G50" s="5">
        <f>HYPERLINK("https://www.youtube.com/watch?v=W8lGwgfRFsQ", "영상 보기 ▶")</f>
        <v/>
      </c>
    </row>
    <row r="51" ht="26" customHeight="1">
      <c r="A51" s="6" t="n">
        <v>1800</v>
      </c>
      <c r="B51" s="7" t="inlineStr">
        <is>
          <t>실전회화/표현</t>
        </is>
      </c>
      <c r="C51" s="8" t="inlineStr">
        <is>
          <t>done deal</t>
        </is>
      </c>
      <c r="D51" s="12" t="inlineStr">
        <is>
          <t>기정사실, 다 끝난 일</t>
        </is>
      </c>
      <c r="E51" s="12" t="inlineStr">
        <is>
          <t>I was under the impression that it was a done deal.</t>
        </is>
      </c>
      <c r="F51" s="12" t="inlineStr">
        <is>
          <t>다 된거나 다름없다고 생각했는데 그게 아니었나봐.</t>
        </is>
      </c>
      <c r="G51" s="9">
        <f>HYPERLINK("https://www.youtube.com/watch?v=W8lGwgfRFsQ", "영상 보기 ▶")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8" customWidth="1" min="3" max="3"/>
    <col width="48" customWidth="1" min="4" max="4"/>
    <col width="75" customWidth="1" min="5" max="5"/>
    <col width="52.1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1801</v>
      </c>
      <c r="B2" s="3" t="inlineStr">
        <is>
          <t>실전회화/표현</t>
        </is>
      </c>
      <c r="C2" s="4" t="inlineStr">
        <is>
          <t>capitalize on ~</t>
        </is>
      </c>
      <c r="D2" s="11" t="inlineStr">
        <is>
          <t>을 이용, 활용하다</t>
        </is>
      </c>
      <c r="E2" s="11" t="inlineStr">
        <is>
          <t>Let’s capitalize on this opportunity.</t>
        </is>
      </c>
      <c r="F2" s="11" t="inlineStr">
        <is>
          <t>이 기회를 잘 활용해보자.</t>
        </is>
      </c>
      <c r="G2" s="5">
        <f>HYPERLINK("https://www.youtube.com/watch?v=ExysckpNP9I", "영상 보기 ▶")</f>
        <v/>
      </c>
    </row>
    <row r="3" ht="26" customHeight="1">
      <c r="A3" s="6" t="n">
        <v>1802</v>
      </c>
      <c r="B3" s="7" t="inlineStr">
        <is>
          <t>실전회화/표현</t>
        </is>
      </c>
      <c r="C3" s="8" t="inlineStr">
        <is>
          <t>unheard of</t>
        </is>
      </c>
      <c r="D3" s="12" t="inlineStr">
        <is>
          <t>전례없는, 금시초문의</t>
        </is>
      </c>
      <c r="E3" s="12" t="inlineStr">
        <is>
          <t>We should buy more. This price is unheard of.</t>
        </is>
      </c>
      <c r="F3" s="12" t="inlineStr">
        <is>
          <t>더 사는게 좋겠다. 이렇게 싼적이 없는데.</t>
        </is>
      </c>
      <c r="G3" s="9">
        <f>HYPERLINK("https://www.youtube.com/watch?v=ExysckpNP9I", "영상 보기 ▶")</f>
        <v/>
      </c>
    </row>
    <row r="4" ht="26" customHeight="1">
      <c r="A4" s="2" t="n">
        <v>1803</v>
      </c>
      <c r="B4" s="3" t="inlineStr">
        <is>
          <t>실전회화/표현</t>
        </is>
      </c>
      <c r="C4" s="4" t="inlineStr">
        <is>
          <t>as much as I used to</t>
        </is>
      </c>
      <c r="D4" s="11" t="inlineStr">
        <is>
          <t>예전만큼 많이</t>
        </is>
      </c>
      <c r="E4" s="11" t="inlineStr">
        <is>
          <t>I don’t drink as much as I used to.</t>
        </is>
      </c>
      <c r="F4" s="11" t="inlineStr">
        <is>
          <t>예전만큼 술을 많이 마시진 않아.</t>
        </is>
      </c>
      <c r="G4" s="5">
        <f>HYPERLINK("https://www.youtube.com/watch?v=ExysckpNP9I", "영상 보기 ▶")</f>
        <v/>
      </c>
    </row>
    <row r="5" ht="26" customHeight="1">
      <c r="A5" s="6" t="n">
        <v>1804</v>
      </c>
      <c r="B5" s="7" t="inlineStr">
        <is>
          <t>실전회화/표현</t>
        </is>
      </c>
      <c r="C5" s="8" t="inlineStr">
        <is>
          <t>as much as ~</t>
        </is>
      </c>
      <c r="D5" s="12" t="inlineStr">
        <is>
          <t>이지만</t>
        </is>
      </c>
      <c r="E5" s="12" t="inlineStr">
        <is>
          <t>As much as I wanna help you, it’s not my area of expertise.</t>
        </is>
      </c>
      <c r="F5" s="12" t="inlineStr">
        <is>
          <t>도와드리고 싶지만 제 전문분야가 아니라서요.</t>
        </is>
      </c>
      <c r="G5" s="9">
        <f>HYPERLINK("https://www.youtube.com/watch?v=ExysckpNP9I", "영상 보기 ▶")</f>
        <v/>
      </c>
    </row>
    <row r="6" ht="26" customHeight="1">
      <c r="A6" s="2" t="n">
        <v>1805</v>
      </c>
      <c r="B6" s="3" t="inlineStr">
        <is>
          <t>실전회화/표현</t>
        </is>
      </c>
      <c r="C6" s="4" t="inlineStr">
        <is>
          <t>of the essence</t>
        </is>
      </c>
      <c r="D6" s="11" t="inlineStr">
        <is>
          <t>절대적으로 중요한</t>
        </is>
      </c>
      <c r="E6" s="11" t="inlineStr">
        <is>
          <t>We need to get this done ASAP. Time is of the essence.</t>
        </is>
      </c>
      <c r="F6" s="11" t="inlineStr">
        <is>
          <t>이걸 최대한 빨리 처리해야 해. 시간이 생명이야.</t>
        </is>
      </c>
      <c r="G6" s="5">
        <f>HYPERLINK("https://www.youtube.com/watch?v=ExysckpNP9I", "영상 보기 ▶")</f>
        <v/>
      </c>
    </row>
    <row r="7" ht="26" customHeight="1">
      <c r="A7" s="6" t="n">
        <v>1806</v>
      </c>
      <c r="B7" s="7" t="inlineStr">
        <is>
          <t>실전회화/표현</t>
        </is>
      </c>
      <c r="C7" s="8" t="inlineStr">
        <is>
          <t>get away with ~</t>
        </is>
      </c>
      <c r="D7" s="12" t="inlineStr">
        <is>
          <t>를 모면하다, 넘어가다</t>
        </is>
      </c>
      <c r="E7" s="12" t="inlineStr">
        <is>
          <t>A: I’m out of honey. Can I use sugar instead?</t>
        </is>
      </c>
      <c r="F7" s="12" t="inlineStr">
        <is>
          <t>꿀이 다 떨어졌는데 설탕을 대신 써도 될까?</t>
        </is>
      </c>
      <c r="G7" s="9">
        <f>HYPERLINK("https://www.youtube.com/watch?v=ExysckpNP9I", "영상 보기 ▶")</f>
        <v/>
      </c>
    </row>
    <row r="8" ht="26" customHeight="1">
      <c r="A8" s="2" t="n">
        <v>1807</v>
      </c>
      <c r="B8" s="3" t="inlineStr">
        <is>
          <t>실전회화/표현</t>
        </is>
      </c>
      <c r="C8" s="4" t="inlineStr">
        <is>
          <t>Thank you for bringing it to my attention.</t>
        </is>
      </c>
      <c r="D8" s="11" t="inlineStr">
        <is>
          <t>알려줘서 고마워.</t>
        </is>
      </c>
      <c r="E8" s="11" t="inlineStr">
        <is>
          <t>Thank you for bringing it to my attention.</t>
        </is>
      </c>
      <c r="F8" s="11" t="inlineStr">
        <is>
          <t>알려줘서 고마워.</t>
        </is>
      </c>
      <c r="G8" s="5">
        <f>HYPERLINK("https://www.youtube.com/watch?v=ExysckpNP9I", "영상 보기 ▶")</f>
        <v/>
      </c>
    </row>
    <row r="9" ht="26" customHeight="1">
      <c r="A9" s="6" t="n">
        <v>1808</v>
      </c>
      <c r="B9" s="7" t="inlineStr">
        <is>
          <t>실전회화/표현</t>
        </is>
      </c>
      <c r="C9" s="8" t="inlineStr">
        <is>
          <t>It’s been brought to my attention that ~. ~</t>
        </is>
      </c>
      <c r="D9" s="12" t="inlineStr">
        <is>
          <t>라는 걸 알게 됐어요.</t>
        </is>
      </c>
      <c r="E9" s="12" t="inlineStr">
        <is>
          <t>It’s been brought to my attention that some of you are not following the protocol.</t>
        </is>
      </c>
      <c r="F9" s="12" t="inlineStr">
        <is>
          <t>몇몇 사람들이 규정을 따르지 않는다는 사실을 알게 됐어요.</t>
        </is>
      </c>
      <c r="G9" s="9">
        <f>HYPERLINK("https://www.youtube.com/watch?v=ExysckpNP9I", "영상 보기 ▶")</f>
        <v/>
      </c>
    </row>
    <row r="10" ht="26" customHeight="1">
      <c r="A10" s="2" t="n">
        <v>1809</v>
      </c>
      <c r="B10" s="3" t="inlineStr">
        <is>
          <t>실전회화/표현</t>
        </is>
      </c>
      <c r="C10" s="4" t="inlineStr">
        <is>
          <t>ups and downs</t>
        </is>
      </c>
      <c r="D10" s="11" t="inlineStr">
        <is>
          <t>오르내림, 기복, 우여곡절</t>
        </is>
      </c>
      <c r="E10" s="11" t="inlineStr">
        <is>
          <t>Every business has its ups and downs.</t>
        </is>
      </c>
      <c r="F10" s="11" t="inlineStr">
        <is>
          <t>사업이 잘 될 때도 있고 안 될 때도 있고 그런거지.</t>
        </is>
      </c>
      <c r="G10" s="5">
        <f>HYPERLINK("https://www.youtube.com/watch?v=ExysckpNP9I", "영상 보기 ▶")</f>
        <v/>
      </c>
    </row>
    <row r="11" ht="26" customHeight="1">
      <c r="A11" s="6" t="n">
        <v>1810</v>
      </c>
      <c r="B11" s="7" t="inlineStr">
        <is>
          <t>실전회화/표현</t>
        </is>
      </c>
      <c r="C11" s="8" t="inlineStr">
        <is>
          <t>roller coaster</t>
        </is>
      </c>
      <c r="D11" s="12" t="inlineStr">
        <is>
          <t>급변하는, 기복이 심한 상황</t>
        </is>
      </c>
      <c r="E11" s="12" t="inlineStr">
        <is>
          <t>This year has been a roller coaster for us.</t>
        </is>
      </c>
      <c r="F11" s="12" t="inlineStr">
        <is>
          <t>올해는 정말 다사다난했어.</t>
        </is>
      </c>
      <c r="G11" s="9">
        <f>HYPERLINK("https://www.youtube.com/watch?v=ExysckpNP9I", "영상 보기 ▶")</f>
        <v/>
      </c>
    </row>
    <row r="12" ht="26" customHeight="1">
      <c r="A12" s="2" t="n">
        <v>1811</v>
      </c>
      <c r="B12" s="3" t="inlineStr">
        <is>
          <t>실전회화/표현</t>
        </is>
      </c>
      <c r="C12" s="4" t="inlineStr">
        <is>
          <t>bring one’s A-game</t>
        </is>
      </c>
      <c r="D12" s="11" t="inlineStr">
        <is>
          <t>최선을 다하다</t>
        </is>
      </c>
      <c r="E12" s="11" t="inlineStr">
        <is>
          <t>We have to bring our A-game tomorrow.</t>
        </is>
      </c>
      <c r="F12" s="11" t="inlineStr">
        <is>
          <t>우리 내일 정말 최선을 다해야 해.</t>
        </is>
      </c>
      <c r="G12" s="5">
        <f>HYPERLINK("https://www.youtube.com/watch?v=ExysckpNP9I", "영상 보기 ▶")</f>
        <v/>
      </c>
    </row>
    <row r="13" ht="26" customHeight="1">
      <c r="A13" s="6" t="n">
        <v>1812</v>
      </c>
      <c r="B13" s="7" t="inlineStr">
        <is>
          <t>실전회화/표현</t>
        </is>
      </c>
      <c r="C13" s="8" t="inlineStr">
        <is>
          <t>check in with someone ~</t>
        </is>
      </c>
      <c r="D13" s="12" t="inlineStr">
        <is>
          <t>와 연락/얘기하다</t>
        </is>
      </c>
      <c r="E13" s="12" t="inlineStr">
        <is>
          <t>I just wanted to check in with you and see how things are going.</t>
        </is>
      </c>
      <c r="F13" s="12" t="inlineStr">
        <is>
          <t>어떻게 잘 진행되고 있는지 확인차 연락해봐.</t>
        </is>
      </c>
      <c r="G13" s="9">
        <f>HYPERLINK("https://www.youtube.com/watch?v=ExysckpNP9I", "영상 보기 ▶")</f>
        <v/>
      </c>
    </row>
    <row r="14" ht="26" customHeight="1">
      <c r="A14" s="2" t="n">
        <v>1813</v>
      </c>
      <c r="B14" s="3" t="inlineStr">
        <is>
          <t>실전회화/표현</t>
        </is>
      </c>
      <c r="C14" s="4" t="inlineStr">
        <is>
          <t>check in on someone ~</t>
        </is>
      </c>
      <c r="D14" s="11" t="inlineStr">
        <is>
          <t>의 안부를 묻다, 괜찮은지 확인차 연락/얘기하다</t>
        </is>
      </c>
      <c r="E14" s="11" t="inlineStr">
        <is>
          <t>I just wanted to check in on you and see how you’re doing.</t>
        </is>
      </c>
      <c r="F14" s="11" t="inlineStr">
        <is>
          <t>잘 지내는지 확인차 연락해봐.</t>
        </is>
      </c>
      <c r="G14" s="5">
        <f>HYPERLINK("https://www.youtube.com/watch?v=ExysckpNP9I", "영상 보기 ▶")</f>
        <v/>
      </c>
    </row>
    <row r="15" ht="26" customHeight="1">
      <c r="A15" s="6" t="n">
        <v>1814</v>
      </c>
      <c r="B15" s="7" t="inlineStr">
        <is>
          <t>실전회화/표현</t>
        </is>
      </c>
      <c r="C15" s="8" t="inlineStr">
        <is>
          <t>​bring someone to one’s senses</t>
        </is>
      </c>
      <c r="D15" s="12" t="inlineStr">
        <is>
          <t>정신차리게 하다</t>
        </is>
      </c>
      <c r="E15" s="12" t="inlineStr">
        <is>
          <t>It’s shocking information, but it’llbring them to their senses.</t>
        </is>
      </c>
      <c r="F15" s="12" t="inlineStr">
        <is>
          <t>충격적인 정보긴 하지만 그들을 정신차리게 해줄거야.</t>
        </is>
      </c>
      <c r="G15" s="9">
        <f>HYPERLINK("https://www.youtube.com/watch?v=ExysckpNP9I", "영상 보기 ▶")</f>
        <v/>
      </c>
    </row>
    <row r="16" ht="26" customHeight="1">
      <c r="A16" s="2" t="n">
        <v>1815</v>
      </c>
      <c r="B16" s="3" t="inlineStr">
        <is>
          <t>실전회화/표현</t>
        </is>
      </c>
      <c r="C16" s="4" t="inlineStr">
        <is>
          <t>get/have one’s ducks in a row</t>
        </is>
      </c>
      <c r="D16" s="11" t="inlineStr">
        <is>
          <t>철저히, 만반의 준비를 하다</t>
        </is>
      </c>
      <c r="E16" s="11" t="inlineStr">
        <is>
          <t>Don’t worry. I’ve got all my ducks in a row.</t>
        </is>
      </c>
      <c r="F16" s="11" t="inlineStr">
        <is>
          <t>만반의 준비를 다 갖췄으니 걱정 마.</t>
        </is>
      </c>
      <c r="G16" s="5">
        <f>HYPERLINK("https://www.youtube.com/watch?v=ExysckpNP9I", "영상 보기 ▶")</f>
        <v/>
      </c>
    </row>
    <row r="17" ht="26" customHeight="1">
      <c r="A17" s="6" t="n">
        <v>1816</v>
      </c>
      <c r="B17" s="7" t="inlineStr">
        <is>
          <t>공감/감정</t>
        </is>
      </c>
      <c r="C17" s="8" t="inlineStr">
        <is>
          <t>take it out on someone ~</t>
        </is>
      </c>
      <c r="D17" s="12" t="inlineStr">
        <is>
          <t>에게 화풀이하다</t>
        </is>
      </c>
      <c r="E17" s="12" t="inlineStr">
        <is>
          <t>I’m sorry for taking it out on you.</t>
        </is>
      </c>
      <c r="F17" s="12" t="inlineStr">
        <is>
          <t>너한테 화풀이해서 미안해.</t>
        </is>
      </c>
      <c r="G17" s="9">
        <f>HYPERLINK("https://www.youtube.com/watch?v=ExysckpNP9I", "영상 보기 ▶")</f>
        <v/>
      </c>
    </row>
    <row r="18" ht="26" customHeight="1">
      <c r="A18" s="2" t="n">
        <v>1817</v>
      </c>
      <c r="B18" s="3" t="inlineStr">
        <is>
          <t>실전회화/표현</t>
        </is>
      </c>
      <c r="C18" s="4" t="inlineStr">
        <is>
          <t>check all the boxes</t>
        </is>
      </c>
      <c r="D18" s="11" t="inlineStr">
        <is>
          <t>필요로 하는 조건을 다 만족시키다</t>
        </is>
      </c>
      <c r="E18" s="11" t="inlineStr">
        <is>
          <t>This car is perfect for us. It checks all the boxes.</t>
        </is>
      </c>
      <c r="F18" s="11" t="inlineStr">
        <is>
          <t>이 차가 우리에게 완벽해. 우리가 필요한 조건을 다 충족해.</t>
        </is>
      </c>
      <c r="G18" s="5">
        <f>HYPERLINK("https://www.youtube.com/watch?v=ExysckpNP9I", "영상 보기 ▶")</f>
        <v/>
      </c>
    </row>
    <row r="19" ht="26" customHeight="1">
      <c r="A19" s="6" t="n">
        <v>1818</v>
      </c>
      <c r="B19" s="7" t="inlineStr">
        <is>
          <t>실전회화/표현</t>
        </is>
      </c>
      <c r="C19" s="8" t="inlineStr">
        <is>
          <t>bring</t>
        </is>
      </c>
      <c r="D19" s="12" t="inlineStr">
        <is>
          <t>야기하다, 가져오다</t>
        </is>
      </c>
      <c r="E19" s="12" t="inlineStr">
        <is>
          <t>That’ll bring many changes to the team.</t>
        </is>
      </c>
      <c r="F19" s="12" t="inlineStr">
        <is>
          <t>그건 팀에 많은 변화를 가져올거야.</t>
        </is>
      </c>
      <c r="G19" s="9">
        <f>HYPERLINK("https://www.youtube.com/watch?v=ExysckpNP9I", "영상 보기 ▶")</f>
        <v/>
      </c>
    </row>
    <row r="20" ht="26" customHeight="1">
      <c r="A20" s="2" t="n">
        <v>1819</v>
      </c>
      <c r="B20" s="3" t="inlineStr">
        <is>
          <t>의견/의사결정</t>
        </is>
      </c>
      <c r="C20" s="4" t="inlineStr">
        <is>
          <t>give someone pointers ~</t>
        </is>
      </c>
      <c r="D20" s="11" t="inlineStr">
        <is>
          <t>에게 조언을 해주다, 요령을 알려주다</t>
        </is>
      </c>
      <c r="E20" s="11" t="inlineStr">
        <is>
          <t>Could you give me some pointers on what to do?</t>
        </is>
      </c>
      <c r="F20" s="11" t="inlineStr">
        <is>
          <t>어떻게 해야할지 조언 좀 해주실래요?</t>
        </is>
      </c>
      <c r="G20" s="5">
        <f>HYPERLINK("https://www.youtube.com/watch?v=ExysckpNP9I", "영상 보기 ▶")</f>
        <v/>
      </c>
    </row>
    <row r="21" ht="26" customHeight="1">
      <c r="A21" s="6" t="n">
        <v>1820</v>
      </c>
      <c r="B21" s="7" t="inlineStr">
        <is>
          <t>비즈니스/업무</t>
        </is>
      </c>
      <c r="C21" s="8" t="inlineStr">
        <is>
          <t>May I ask what this is regarding?</t>
        </is>
      </c>
      <c r="D21" s="12" t="inlineStr">
        <is>
          <t>실례지만 어떤 용건 때문인지 여쭤봐도 될까요? (비즈니스 전화/응대)</t>
        </is>
      </c>
      <c r="E21" s="12" t="inlineStr">
        <is>
          <t>May I ask what this is regarding, please?</t>
        </is>
      </c>
      <c r="F21" s="12" t="inlineStr">
        <is>
          <t>실례지만 어떤 용건으로 연락 주셨는지 여쭤봐도 될까요?</t>
        </is>
      </c>
      <c r="G21" s="9">
        <f>HYPERLINK("https://www.youtube.com/watch?v=ExysckpNP9I", "영상 보기 ▶")</f>
        <v/>
      </c>
    </row>
    <row r="22" ht="26" customHeight="1">
      <c r="A22" s="2" t="n">
        <v>1821</v>
      </c>
      <c r="B22" s="3" t="inlineStr">
        <is>
          <t>실전회화/표현</t>
        </is>
      </c>
      <c r="C22" s="4" t="inlineStr">
        <is>
          <t>​go all out ~</t>
        </is>
      </c>
      <c r="D22" s="11" t="inlineStr">
        <is>
          <t>에 전력을 다하다</t>
        </is>
      </c>
      <c r="E22" s="11" t="inlineStr">
        <is>
          <t>You went all out.</t>
        </is>
      </c>
      <c r="F22" s="11" t="inlineStr">
        <is>
          <t>제대로 준비했네.</t>
        </is>
      </c>
      <c r="G22" s="5">
        <f>HYPERLINK("https://www.youtube.com/watch?v=ExysckpNP9I", "영상 보기 ▶")</f>
        <v/>
      </c>
    </row>
    <row r="23" ht="26" customHeight="1">
      <c r="A23" s="6" t="n">
        <v>1822</v>
      </c>
      <c r="B23" s="7" t="inlineStr">
        <is>
          <t>실전회화/표현</t>
        </is>
      </c>
      <c r="C23" s="8" t="inlineStr">
        <is>
          <t>not an option</t>
        </is>
      </c>
      <c r="D23" s="12" t="inlineStr">
        <is>
          <t>불가능한, 절대 안되는</t>
        </is>
      </c>
      <c r="E23" s="12" t="inlineStr">
        <is>
          <t>Failure is not an option.</t>
        </is>
      </c>
      <c r="F23" s="12" t="inlineStr">
        <is>
          <t>절대 실패해선 안돼.</t>
        </is>
      </c>
      <c r="G23" s="9">
        <f>HYPERLINK("https://www.youtube.com/watch?v=ExysckpNP9I", "영상 보기 ▶")</f>
        <v/>
      </c>
    </row>
    <row r="24" ht="26" customHeight="1">
      <c r="A24" s="2" t="n">
        <v>1823</v>
      </c>
      <c r="B24" s="3" t="inlineStr">
        <is>
          <t>실전회화/표현</t>
        </is>
      </c>
      <c r="C24" s="4" t="inlineStr">
        <is>
          <t>lose sleep over ~</t>
        </is>
      </c>
      <c r="D24" s="11" t="inlineStr">
        <is>
          <t>를 걱정하느라 밤잠을 설치다</t>
        </is>
      </c>
      <c r="E24" s="11" t="inlineStr">
        <is>
          <t>I wouldn’t lose any sleep over it.</t>
        </is>
      </c>
      <c r="F24" s="11" t="inlineStr">
        <is>
          <t>나라면 너무 걱정하지 않을 것 같아.</t>
        </is>
      </c>
      <c r="G24" s="5">
        <f>HYPERLINK("https://www.youtube.com/watch?v=ExysckpNP9I", "영상 보기 ▶")</f>
        <v/>
      </c>
    </row>
    <row r="25" ht="26" customHeight="1">
      <c r="A25" s="6" t="n">
        <v>1824</v>
      </c>
      <c r="B25" s="7" t="inlineStr">
        <is>
          <t>실전회화/표현</t>
        </is>
      </c>
      <c r="C25" s="8" t="inlineStr">
        <is>
          <t>pencil in</t>
        </is>
      </c>
      <c r="D25" s="12" t="inlineStr">
        <is>
          <t>일단 예정해 놓다, 잡아놓다</t>
        </is>
      </c>
      <c r="E25" s="12" t="inlineStr">
        <is>
          <t>Let’s pencil that in.</t>
        </is>
      </c>
      <c r="F25" s="12" t="inlineStr">
        <is>
          <t>일단 그때로 예정해두자.</t>
        </is>
      </c>
      <c r="G25" s="9">
        <f>HYPERLINK("https://www.youtube.com/watch?v=ExysckpNP9I", "영상 보기 ▶")</f>
        <v/>
      </c>
    </row>
    <row r="26" ht="26" customHeight="1">
      <c r="A26" s="2" t="n">
        <v>1825</v>
      </c>
      <c r="B26" s="3" t="inlineStr">
        <is>
          <t>실전회화/표현</t>
        </is>
      </c>
      <c r="C26" s="4" t="inlineStr">
        <is>
          <t>tentatively</t>
        </is>
      </c>
      <c r="D26" s="11" t="inlineStr">
        <is>
          <t>잠정적으로, 임시적으로</t>
        </is>
      </c>
      <c r="E26" s="11" t="inlineStr">
        <is>
          <t>Why don’t we tentatively schedule a meeting for this Friday at 11?</t>
        </is>
      </c>
      <c r="F26" s="11" t="inlineStr">
        <is>
          <t>일단 금요일 11시로 일정을 잡아놓는게 어떨까요?</t>
        </is>
      </c>
      <c r="G26" s="5">
        <f>HYPERLINK("https://www.youtube.com/watch?v=ExysckpNP9I", "영상 보기 ▶")</f>
        <v/>
      </c>
    </row>
    <row r="27" ht="26" customHeight="1">
      <c r="A27" s="6" t="n">
        <v>1826</v>
      </c>
      <c r="B27" s="7" t="inlineStr">
        <is>
          <t>실전회화/표현</t>
        </is>
      </c>
      <c r="C27" s="8" t="inlineStr">
        <is>
          <t>come bearing gifts</t>
        </is>
      </c>
      <c r="D27" s="12" t="inlineStr">
        <is>
          <t>선물을 가져오다</t>
        </is>
      </c>
      <c r="E27" s="12" t="inlineStr">
        <is>
          <t>I come bearing good news.</t>
        </is>
      </c>
      <c r="F27" s="12" t="inlineStr">
        <is>
          <t>좋은 소식을 가져왔어.</t>
        </is>
      </c>
      <c r="G27" s="9">
        <f>HYPERLINK("https://www.youtube.com/watch?v=ExysckpNP9I", "영상 보기 ▶")</f>
        <v/>
      </c>
    </row>
    <row r="28" ht="26" customHeight="1">
      <c r="A28" s="2" t="n">
        <v>1827</v>
      </c>
      <c r="B28" s="3" t="inlineStr">
        <is>
          <t>실전회화/표현</t>
        </is>
      </c>
      <c r="C28" s="4" t="inlineStr">
        <is>
          <t>​I hate to be the bearer of bad news, but</t>
        </is>
      </c>
      <c r="D28" s="11" t="inlineStr">
        <is>
          <t>나쁜 소식을 전하기 싫지만</t>
        </is>
      </c>
      <c r="E28" s="11" t="inlineStr">
        <is>
          <t>I hate to be the bearer of bad news, but the deadline has been moved up.</t>
        </is>
      </c>
      <c r="F28" s="11" t="inlineStr">
        <is>
          <t>나쁜 소식을 전하기 싫지만 마감일이 앞당겨졌어.</t>
        </is>
      </c>
      <c r="G28" s="5">
        <f>HYPERLINK("https://www.youtube.com/watch?v=ExysckpNP9I", "영상 보기 ▶")</f>
        <v/>
      </c>
    </row>
    <row r="29" ht="26" customHeight="1">
      <c r="A29" s="6" t="n">
        <v>1828</v>
      </c>
      <c r="B29" s="7" t="inlineStr">
        <is>
          <t>공감/감정</t>
        </is>
      </c>
      <c r="C29" s="8" t="inlineStr">
        <is>
          <t>bring something up (</t>
        </is>
      </c>
      <c r="D29" s="12" t="inlineStr">
        <is>
          <t>화제를) 꺼내다</t>
        </is>
      </c>
      <c r="E29" s="12" t="inlineStr">
        <is>
          <t>I’ll bring that up in the meeting.</t>
        </is>
      </c>
      <c r="F29" s="12" t="inlineStr">
        <is>
          <t>회의중에 그 얘기를 꺼내볼게.</t>
        </is>
      </c>
      <c r="G29" s="9">
        <f>HYPERLINK("https://www.youtube.com/watch?v=ExysckpNP9I", "영상 보기 ▶")</f>
        <v/>
      </c>
    </row>
    <row r="30" ht="26" customHeight="1">
      <c r="A30" s="2" t="n">
        <v>1829</v>
      </c>
      <c r="B30" s="3" t="inlineStr">
        <is>
          <t>실전회화/표현</t>
        </is>
      </c>
      <c r="C30" s="4" t="inlineStr">
        <is>
          <t>bring in</t>
        </is>
      </c>
      <c r="D30" s="11" t="inlineStr">
        <is>
          <t>유치하다</t>
        </is>
      </c>
      <c r="E30" s="11" t="inlineStr">
        <is>
          <t>We need to bring in more new customers.</t>
        </is>
      </c>
      <c r="F30" s="11" t="inlineStr">
        <is>
          <t>더 많은 신규 고객을 확보해야 해.</t>
        </is>
      </c>
      <c r="G30" s="5">
        <f>HYPERLINK("https://www.youtube.com/watch?v=ExysckpNP9I", "영상 보기 ▶")</f>
        <v/>
      </c>
    </row>
    <row r="31" ht="26" customHeight="1">
      <c r="A31" s="6" t="n">
        <v>1830</v>
      </c>
      <c r="B31" s="7" t="inlineStr">
        <is>
          <t>실전회화/표현</t>
        </is>
      </c>
      <c r="C31" s="8" t="inlineStr">
        <is>
          <t>bring back</t>
        </is>
      </c>
      <c r="D31" s="12" t="inlineStr">
        <is>
          <t>기억나게 하다, 상기시키다</t>
        </is>
      </c>
      <c r="E31" s="12" t="inlineStr">
        <is>
          <t>This song brings back memories.</t>
        </is>
      </c>
      <c r="F31" s="12" t="inlineStr">
        <is>
          <t>이 노래를 들으니 옛날 생각이 난다.</t>
        </is>
      </c>
      <c r="G31" s="9">
        <f>HYPERLINK("https://www.youtube.com/watch?v=ExysckpNP9I", "영상 보기 ▶")</f>
        <v/>
      </c>
    </row>
    <row r="32" ht="26" customHeight="1">
      <c r="A32" s="2" t="n">
        <v>1831</v>
      </c>
      <c r="B32" s="3" t="inlineStr">
        <is>
          <t>실전회화/표현</t>
        </is>
      </c>
      <c r="C32" s="4" t="inlineStr">
        <is>
          <t>make (</t>
        </is>
      </c>
      <c r="D32" s="11" t="inlineStr">
        <is>
          <t>어떤 장소나 위치로 힘들게) 가다, 이르다</t>
        </is>
      </c>
      <c r="E32" s="11" t="inlineStr">
        <is>
          <t>I made it.</t>
        </is>
      </c>
      <c r="F32" s="11" t="inlineStr">
        <is>
          <t>내가 해냈어.</t>
        </is>
      </c>
      <c r="G32" s="5">
        <f>HYPERLINK("https://www.youtube.com/watch?v=ExysckpNP9I", "영상 보기 ▶")</f>
        <v/>
      </c>
    </row>
    <row r="33" ht="26" customHeight="1">
      <c r="A33" s="6" t="n">
        <v>1832</v>
      </c>
      <c r="B33" s="7" t="inlineStr">
        <is>
          <t>실전회화/표현</t>
        </is>
      </c>
      <c r="C33" s="8" t="inlineStr">
        <is>
          <t>Thank you for making it.</t>
        </is>
      </c>
      <c r="D33" s="12" t="inlineStr">
        <is>
          <t>와줘서 고마워.</t>
        </is>
      </c>
      <c r="E33" s="12" t="inlineStr">
        <is>
          <t>Thank you for making it.</t>
        </is>
      </c>
      <c r="F33" s="12" t="inlineStr">
        <is>
          <t>와줘서 고마워.</t>
        </is>
      </c>
      <c r="G33" s="9">
        <f>HYPERLINK("https://www.youtube.com/watch?v=ExysckpNP9I", "영상 보기 ▶")</f>
        <v/>
      </c>
    </row>
    <row r="34" ht="26" customHeight="1">
      <c r="A34" s="2" t="n">
        <v>1833</v>
      </c>
      <c r="B34" s="3" t="inlineStr">
        <is>
          <t>실전회화/표현</t>
        </is>
      </c>
      <c r="C34" s="4" t="inlineStr">
        <is>
          <t>Thank you for having me.​</t>
        </is>
      </c>
      <c r="D34" s="11" t="inlineStr">
        <is>
          <t>초대해줘서 고마워.</t>
        </is>
      </c>
      <c r="E34" s="11" t="inlineStr">
        <is>
          <t>Thank you for having me.​</t>
        </is>
      </c>
      <c r="F34" s="11" t="inlineStr">
        <is>
          <t>초대해줘서 고마워.</t>
        </is>
      </c>
      <c r="G34" s="5">
        <f>HYPERLINK("https://www.youtube.com/watch?v=ExysckpNP9I", "영상 보기 ▶")</f>
        <v/>
      </c>
    </row>
    <row r="35" ht="26" customHeight="1">
      <c r="A35" s="6" t="n">
        <v>1834</v>
      </c>
      <c r="B35" s="7" t="inlineStr">
        <is>
          <t>실전회화/표현</t>
        </is>
      </c>
      <c r="C35" s="8" t="inlineStr">
        <is>
          <t>can’t bring oneself to</t>
        </is>
      </c>
      <c r="D35" s="12" t="inlineStr">
        <is>
          <t>차마 ~할 엄두가 나지 않다</t>
        </is>
      </c>
      <c r="E35" s="12" t="inlineStr">
        <is>
          <t>I can’t bring myself to do it.</t>
        </is>
      </c>
      <c r="F35" s="12" t="inlineStr">
        <is>
          <t>차마 그럴 마음이 안들어.</t>
        </is>
      </c>
      <c r="G35" s="9">
        <f>HYPERLINK("https://www.youtube.com/watch?v=ExysckpNP9I", "영상 보기 ▶")</f>
        <v/>
      </c>
    </row>
    <row r="36" ht="26" customHeight="1">
      <c r="A36" s="2" t="n">
        <v>1835</v>
      </c>
      <c r="B36" s="3" t="inlineStr">
        <is>
          <t>의견/의사결정</t>
        </is>
      </c>
      <c r="C36" s="4" t="inlineStr">
        <is>
          <t>be open to ~</t>
        </is>
      </c>
      <c r="D36" s="11" t="inlineStr">
        <is>
          <t>를 고려할 생각이 있다</t>
        </is>
      </c>
      <c r="E36" s="11" t="inlineStr">
        <is>
          <t>I’m open to the idea.</t>
        </is>
      </c>
      <c r="F36" s="11" t="inlineStr">
        <is>
          <t>그 아이디어를 고려할 생각이 있어.</t>
        </is>
      </c>
      <c r="G36" s="5">
        <f>HYPERLINK("https://www.youtube.com/watch?v=ExysckpNP9I", "영상 보기 ▶")</f>
        <v/>
      </c>
    </row>
    <row r="37" ht="26" customHeight="1">
      <c r="A37" s="6" t="n">
        <v>1836</v>
      </c>
      <c r="B37" s="7" t="inlineStr">
        <is>
          <t>실전회화/표현</t>
        </is>
      </c>
      <c r="C37" s="8" t="inlineStr">
        <is>
          <t>That brings us to the next point.</t>
        </is>
      </c>
      <c r="D37" s="12" t="inlineStr">
        <is>
          <t>그게 다음 포인트로 이어집니다.</t>
        </is>
      </c>
      <c r="E37" s="12" t="inlineStr">
        <is>
          <t>That brings us to the next point.</t>
        </is>
      </c>
      <c r="F37" s="12" t="inlineStr">
        <is>
          <t>그게 다음 포인트로 이어집니다.</t>
        </is>
      </c>
      <c r="G37" s="9">
        <f>HYPERLINK("https://www.youtube.com/watch?v=ExysckpNP9I", "영상 보기 ▶")</f>
        <v/>
      </c>
    </row>
    <row r="38" ht="26" customHeight="1">
      <c r="A38" s="2" t="n">
        <v>1837</v>
      </c>
      <c r="B38" s="3" t="inlineStr">
        <is>
          <t>공감/감정</t>
        </is>
      </c>
      <c r="C38" s="4" t="inlineStr">
        <is>
          <t>bring someone up to speed</t>
        </is>
      </c>
      <c r="D38" s="11" t="inlineStr">
        <is>
          <t>현 상황을 알려주다, 이해시키다</t>
        </is>
      </c>
      <c r="E38" s="11" t="inlineStr">
        <is>
          <t>Can you bring me up to speed?</t>
        </is>
      </c>
      <c r="F38" s="11" t="inlineStr">
        <is>
          <t>어떻게 진행되고 있는지 알려줄 수 있어?</t>
        </is>
      </c>
      <c r="G38" s="5">
        <f>HYPERLINK("https://www.youtube.com/watch?v=ExysckpNP9I", "영상 보기 ▶")</f>
        <v/>
      </c>
    </row>
    <row r="39" ht="26" customHeight="1">
      <c r="A39" s="6" t="n">
        <v>1838</v>
      </c>
      <c r="B39" s="7" t="inlineStr">
        <is>
          <t>실전회화/표현</t>
        </is>
      </c>
      <c r="C39" s="8" t="inlineStr">
        <is>
          <t>get into</t>
        </is>
      </c>
      <c r="D39" s="12" t="inlineStr">
        <is>
          <t>자세히 얘기하다</t>
        </is>
      </c>
      <c r="E39" s="12" t="inlineStr">
        <is>
          <t>Due to time constraints, I can’t get into the details.</t>
        </is>
      </c>
      <c r="F39" s="12" t="inlineStr">
        <is>
          <t>시간상 세세한 것 까지 얘기할 수는 없어요.</t>
        </is>
      </c>
      <c r="G39" s="9">
        <f>HYPERLINK("https://www.youtube.com/watch?v=ExysckpNP9I", "영상 보기 ▶")</f>
        <v/>
      </c>
    </row>
    <row r="40" ht="26" customHeight="1">
      <c r="A40" s="2" t="n">
        <v>1839</v>
      </c>
      <c r="B40" s="3" t="inlineStr">
        <is>
          <t>실전회화/표현</t>
        </is>
      </c>
      <c r="C40" s="4" t="inlineStr">
        <is>
          <t>water under the bridge</t>
        </is>
      </c>
      <c r="D40" s="11" t="inlineStr">
        <is>
          <t>이미 지난 일</t>
        </is>
      </c>
      <c r="E40" s="11" t="inlineStr">
        <is>
          <t>We had some ups and downs, but that’s all water under the bridge now.</t>
        </is>
      </c>
      <c r="F40" s="11" t="inlineStr">
        <is>
          <t>우여곡절이 있긴 했지만 이미 다 지난 일이야.</t>
        </is>
      </c>
      <c r="G40" s="5">
        <f>HYPERLINK("https://www.youtube.com/watch?v=ExysckpNP9I", "영상 보기 ▶")</f>
        <v/>
      </c>
    </row>
    <row r="41" ht="26" customHeight="1">
      <c r="A41" s="6" t="n">
        <v>1840</v>
      </c>
      <c r="B41" s="7" t="inlineStr">
        <is>
          <t>의견/의사결정</t>
        </is>
      </c>
      <c r="C41" s="8" t="inlineStr">
        <is>
          <t>Any ideas?</t>
        </is>
      </c>
      <c r="D41" s="12" t="inlineStr">
        <is>
          <t>좋은 의견 있나요?</t>
        </is>
      </c>
      <c r="E41" s="12" t="inlineStr">
        <is>
          <t>Any ideas?</t>
        </is>
      </c>
      <c r="F41" s="12" t="inlineStr">
        <is>
          <t>좋은 의견 있나요?</t>
        </is>
      </c>
      <c r="G41" s="9">
        <f>HYPERLINK("https://www.youtube.com/watch?v=ExysckpNP9I", "영상 보기 ▶")</f>
        <v/>
      </c>
    </row>
    <row r="42" ht="26" customHeight="1">
      <c r="A42" s="2" t="n">
        <v>1841</v>
      </c>
      <c r="B42" s="3" t="inlineStr">
        <is>
          <t>실전회화/표현</t>
        </is>
      </c>
      <c r="C42" s="4" t="inlineStr">
        <is>
          <t>Do you have any idea ~? ~</t>
        </is>
      </c>
      <c r="D42" s="11" t="inlineStr">
        <is>
          <t>에 대해 아는 거 있어?</t>
        </is>
      </c>
      <c r="E42" s="11" t="inlineStr">
        <is>
          <t>Do you have any idea when it’ll be done?</t>
        </is>
      </c>
      <c r="F42" s="11" t="inlineStr">
        <is>
          <t>언제 끝날지 대략적으로 알고 계시나요?</t>
        </is>
      </c>
      <c r="G42" s="5">
        <f>HYPERLINK("https://www.youtube.com/watch?v=ExysckpNP9I", "영상 보기 ▶")</f>
        <v/>
      </c>
    </row>
    <row r="43" ht="26" customHeight="1">
      <c r="A43" s="6" t="n">
        <v>1842</v>
      </c>
      <c r="B43" s="7" t="inlineStr">
        <is>
          <t>실전회화/표현</t>
        </is>
      </c>
      <c r="C43" s="8" t="inlineStr">
        <is>
          <t>Do you have any idea ~?</t>
        </is>
      </c>
      <c r="D43" s="12" t="inlineStr">
        <is>
          <t>알기나 해?</t>
        </is>
      </c>
      <c r="E43" s="12" t="inlineStr">
        <is>
          <t>Do you have any idea who I am?</t>
        </is>
      </c>
      <c r="F43" s="12" t="inlineStr">
        <is>
          <t>내가 누군지 알기나 해?</t>
        </is>
      </c>
      <c r="G43" s="9">
        <f>HYPERLINK("https://www.youtube.com/watch?v=ExysckpNP9I", "영상 보기 ▶")</f>
        <v/>
      </c>
    </row>
    <row r="44" ht="26" customHeight="1">
      <c r="A44" s="2" t="n">
        <v>1843</v>
      </c>
      <c r="B44" s="3" t="inlineStr">
        <is>
          <t>실전회화/표현</t>
        </is>
      </c>
      <c r="C44" s="4" t="inlineStr">
        <is>
          <t>on a lighter note</t>
        </is>
      </c>
      <c r="D44" s="11" t="inlineStr">
        <is>
          <t>가벼운 얘기를 하자면</t>
        </is>
      </c>
      <c r="E44" s="11" t="inlineStr">
        <is>
          <t>On a lighter note, what do you wanna have for lunch?</t>
        </is>
      </c>
      <c r="F44" s="11" t="inlineStr">
        <is>
          <t>좀 더 가벼운 얘기로 점심에 뭐 먹을래?</t>
        </is>
      </c>
      <c r="G44" s="5">
        <f>HYPERLINK("https://www.youtube.com/watch?v=ExysckpNP9I", "영상 보기 ▶")</f>
        <v/>
      </c>
    </row>
    <row r="45" ht="26" customHeight="1">
      <c r="A45" s="6" t="n">
        <v>1844</v>
      </c>
      <c r="B45" s="7" t="inlineStr">
        <is>
          <t>실전회화/표현</t>
        </is>
      </c>
      <c r="C45" s="8" t="inlineStr">
        <is>
          <t>silver lining</t>
        </is>
      </c>
      <c r="D45" s="12" t="inlineStr">
        <is>
          <t>희망, 긍정적인 면</t>
        </is>
      </c>
      <c r="E45" s="12" t="inlineStr">
        <is>
          <t>Every cloud has a silver lining.</t>
        </is>
      </c>
      <c r="F45" s="12" t="inlineStr">
        <is>
          <t>힘든 일이 지나면 좋은 일이 있을 거야.</t>
        </is>
      </c>
      <c r="G45" s="9">
        <f>HYPERLINK("https://www.youtube.com/watch?v=ExysckpNP9I", "영상 보기 ▶")</f>
        <v/>
      </c>
    </row>
    <row r="46" ht="26" customHeight="1">
      <c r="A46" s="2" t="n">
        <v>1845</v>
      </c>
      <c r="B46" s="3" t="inlineStr">
        <is>
          <t>실전회화/표현</t>
        </is>
      </c>
      <c r="C46" s="4" t="inlineStr">
        <is>
          <t>It is what it is.</t>
        </is>
      </c>
      <c r="D46" s="11" t="inlineStr">
        <is>
          <t>어쩔 수 없지.</t>
        </is>
      </c>
      <c r="E46" s="11" t="inlineStr">
        <is>
          <t>It is what it is.</t>
        </is>
      </c>
      <c r="F46" s="11" t="inlineStr">
        <is>
          <t>어쩔 수 없지.</t>
        </is>
      </c>
      <c r="G46" s="5">
        <f>HYPERLINK("https://www.youtube.com/watch?v=ExysckpNP9I", "영상 보기 ▶")</f>
        <v/>
      </c>
    </row>
    <row r="47" ht="26" customHeight="1">
      <c r="A47" s="6" t="n">
        <v>1846</v>
      </c>
      <c r="B47" s="7" t="inlineStr">
        <is>
          <t>실전회화/표현</t>
        </is>
      </c>
      <c r="C47" s="8" t="inlineStr">
        <is>
          <t>next level</t>
        </is>
      </c>
      <c r="D47" s="12" t="inlineStr">
        <is>
          <t>확연히 멋진</t>
        </is>
      </c>
      <c r="E47" s="12" t="inlineStr">
        <is>
          <t>Wow, this is next level.</t>
        </is>
      </c>
      <c r="F47" s="12" t="inlineStr">
        <is>
          <t>이건 진짜 확연히 좋은데.</t>
        </is>
      </c>
      <c r="G47" s="9">
        <f>HYPERLINK("https://www.youtube.com/watch?v=ExysckpNP9I", "영상 보기 ▶")</f>
        <v/>
      </c>
    </row>
    <row r="48" ht="26" customHeight="1">
      <c r="A48" s="2" t="n">
        <v>1847</v>
      </c>
      <c r="B48" s="3" t="inlineStr">
        <is>
          <t>실전회화/표현</t>
        </is>
      </c>
      <c r="C48" s="4" t="inlineStr">
        <is>
          <t>​a whole new level</t>
        </is>
      </c>
      <c r="D48" s="11" t="inlineStr">
        <is>
          <t>완전히 다른 차원의</t>
        </is>
      </c>
      <c r="E48" s="11" t="inlineStr">
        <is>
          <t>They took the quality to a whole new level.</t>
        </is>
      </c>
      <c r="F48" s="11" t="inlineStr">
        <is>
          <t>그들이 제품의 품질을 새로운 차원으로 끌어올렸어.</t>
        </is>
      </c>
      <c r="G48" s="5">
        <f>HYPERLINK("https://www.youtube.com/watch?v=ExysckpNP9I", "영상 보기 ▶")</f>
        <v/>
      </c>
    </row>
    <row r="49" ht="26" customHeight="1">
      <c r="A49" s="6" t="n">
        <v>1848</v>
      </c>
      <c r="B49" s="7" t="inlineStr">
        <is>
          <t>실전회화/표현</t>
        </is>
      </c>
      <c r="C49" s="8" t="inlineStr">
        <is>
          <t>Don’t be shy.</t>
        </is>
      </c>
      <c r="D49" s="12" t="inlineStr">
        <is>
          <t>눈지 보지 마.</t>
        </is>
      </c>
      <c r="E49" s="12" t="inlineStr">
        <is>
          <t>Don’t be shy. Take as much as you want.</t>
        </is>
      </c>
      <c r="F49" s="12" t="inlineStr">
        <is>
          <t>눈치보지 말고 원하는 만큼 가져가.</t>
        </is>
      </c>
      <c r="G49" s="9">
        <f>HYPERLINK("https://www.youtube.com/watch?v=ExysckpNP9I", "영상 보기 ▶")</f>
        <v/>
      </c>
    </row>
    <row r="50" ht="26" customHeight="1">
      <c r="A50" s="2" t="n">
        <v>1849</v>
      </c>
      <c r="B50" s="3" t="inlineStr">
        <is>
          <t>실전회화/표현</t>
        </is>
      </c>
      <c r="C50" s="4" t="inlineStr">
        <is>
          <t>getaway</t>
        </is>
      </c>
      <c r="D50" s="11" t="inlineStr">
        <is>
          <t>짧은 휴가, 여행</t>
        </is>
      </c>
      <c r="E50" s="11" t="inlineStr">
        <is>
          <t>I could really use a weekend getaway.</t>
        </is>
      </c>
      <c r="F50" s="11" t="inlineStr">
        <is>
          <t>주말에 어딘가로 떠나면 정말 좋겠다.</t>
        </is>
      </c>
      <c r="G50" s="5">
        <f>HYPERLINK("https://www.youtube.com/watch?v=ExysckpNP9I", "영상 보기 ▶")</f>
        <v/>
      </c>
    </row>
    <row r="51" ht="26" customHeight="1">
      <c r="A51" s="6" t="n">
        <v>1850</v>
      </c>
      <c r="B51" s="7" t="inlineStr">
        <is>
          <t>실전회화/표현</t>
        </is>
      </c>
      <c r="C51" s="8" t="inlineStr">
        <is>
          <t>bring to the table</t>
        </is>
      </c>
      <c r="D51" s="12" t="inlineStr">
        <is>
          <t>이익을 제공하다, 기여하다</t>
        </is>
      </c>
      <c r="E51" s="12" t="inlineStr">
        <is>
          <t>She can bring a lot to the table.</t>
        </is>
      </c>
      <c r="F51" s="12" t="inlineStr">
        <is>
          <t>그녀가 많은 도움을 줄 수 있어.</t>
        </is>
      </c>
      <c r="G51" s="9">
        <f>HYPERLINK("https://www.youtube.com/watch?v=ExysckpNP9I", "영상 보기 ▶")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1" customWidth="1" min="3" max="3"/>
    <col width="38.9" customWidth="1" min="4" max="4"/>
    <col width="73" customWidth="1" min="5" max="5"/>
    <col width="55.2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1851</v>
      </c>
      <c r="B2" s="3" t="inlineStr">
        <is>
          <t>실전회화/표현</t>
        </is>
      </c>
      <c r="C2" s="4" t="inlineStr">
        <is>
          <t>biased</t>
        </is>
      </c>
      <c r="D2" s="11" t="inlineStr">
        <is>
          <t>편향된, 선입견이 있는</t>
        </is>
      </c>
      <c r="E2" s="11" t="inlineStr">
        <is>
          <t>He's my son. Of course, I'm biased.</t>
        </is>
      </c>
      <c r="F2" s="11" t="inlineStr">
        <is>
          <t>고슴도치도 자기 자식은 예쁘다는데 당연히 내 아들이니 예쁘지.</t>
        </is>
      </c>
      <c r="G2" s="5">
        <f>HYPERLINK("https://www.youtube.com/watch?v=WM60HyfMDss", "영상 보기 ▶")</f>
        <v/>
      </c>
    </row>
    <row r="3" ht="26" customHeight="1">
      <c r="A3" s="6" t="n">
        <v>1852</v>
      </c>
      <c r="B3" s="7" t="inlineStr">
        <is>
          <t>공감/감정</t>
        </is>
      </c>
      <c r="C3" s="8" t="inlineStr">
        <is>
          <t>mixed feelings</t>
        </is>
      </c>
      <c r="D3" s="12" t="inlineStr">
        <is>
          <t>복잡한 감정, 착잡한 느낌</t>
        </is>
      </c>
      <c r="E3" s="12" t="inlineStr">
        <is>
          <t>I have mixed feelings about this.</t>
        </is>
      </c>
      <c r="F3" s="12" t="inlineStr">
        <is>
          <t>정말 만감이 교차하네요.</t>
        </is>
      </c>
      <c r="G3" s="9">
        <f>HYPERLINK("https://www.youtube.com/watch?v=WM60HyfMDss", "영상 보기 ▶")</f>
        <v/>
      </c>
    </row>
    <row r="4" ht="26" customHeight="1">
      <c r="A4" s="2" t="n">
        <v>1853</v>
      </c>
      <c r="B4" s="3" t="inlineStr">
        <is>
          <t>실전회화/표현</t>
        </is>
      </c>
      <c r="C4" s="4" t="inlineStr">
        <is>
          <t>particular</t>
        </is>
      </c>
      <c r="D4" s="11" t="inlineStr">
        <is>
          <t>까다로운</t>
        </is>
      </c>
      <c r="E4" s="11" t="inlineStr">
        <is>
          <t>He's particular.</t>
        </is>
      </c>
      <c r="F4" s="11" t="inlineStr">
        <is>
          <t>그는 까다로워.</t>
        </is>
      </c>
      <c r="G4" s="5">
        <f>HYPERLINK("https://www.youtube.com/watch?v=WM60HyfMDss", "영상 보기 ▶")</f>
        <v/>
      </c>
    </row>
    <row r="5" ht="26" customHeight="1">
      <c r="A5" s="6" t="n">
        <v>1854</v>
      </c>
      <c r="B5" s="7" t="inlineStr">
        <is>
          <t>실전회화/표현</t>
        </is>
      </c>
      <c r="C5" s="8" t="inlineStr">
        <is>
          <t>for ~</t>
        </is>
      </c>
      <c r="D5" s="12" t="inlineStr">
        <is>
          <t>치곤, ~에 비해</t>
        </is>
      </c>
      <c r="E5" s="12" t="inlineStr">
        <is>
          <t>It's warm for February.</t>
        </is>
      </c>
      <c r="F5" s="12" t="inlineStr">
        <is>
          <t>2월치고는 따뜻해.</t>
        </is>
      </c>
      <c r="G5" s="9">
        <f>HYPERLINK("https://www.youtube.com/watch?v=WM60HyfMDss", "영상 보기 ▶")</f>
        <v/>
      </c>
    </row>
    <row r="6" ht="26" customHeight="1">
      <c r="A6" s="2" t="n">
        <v>1855</v>
      </c>
      <c r="B6" s="3" t="inlineStr">
        <is>
          <t>실전회화/표현</t>
        </is>
      </c>
      <c r="C6" s="4" t="inlineStr">
        <is>
          <t>have a way with ~</t>
        </is>
      </c>
      <c r="D6" s="11" t="inlineStr">
        <is>
          <t>를 잘 다루다, 특별한 재능이 있다</t>
        </is>
      </c>
      <c r="E6" s="11" t="inlineStr">
        <is>
          <t>She has a way with children.</t>
        </is>
      </c>
      <c r="F6" s="11" t="inlineStr">
        <is>
          <t>그녀는 아이들을 정말 잘 다뤄요.</t>
        </is>
      </c>
      <c r="G6" s="5">
        <f>HYPERLINK("https://www.youtube.com/watch?v=WM60HyfMDss", "영상 보기 ▶")</f>
        <v/>
      </c>
    </row>
    <row r="7" ht="26" customHeight="1">
      <c r="A7" s="6" t="n">
        <v>1856</v>
      </c>
      <c r="B7" s="7" t="inlineStr">
        <is>
          <t>실전회화/표현</t>
        </is>
      </c>
      <c r="C7" s="8" t="inlineStr">
        <is>
          <t>care for</t>
        </is>
      </c>
      <c r="D7" s="12" t="inlineStr">
        <is>
          <t>좋아하다</t>
        </is>
      </c>
      <c r="E7" s="12" t="inlineStr">
        <is>
          <t>Would you care for another drink?</t>
        </is>
      </c>
      <c r="F7" s="12" t="inlineStr">
        <is>
          <t>한잔 더 마실래?</t>
        </is>
      </c>
      <c r="G7" s="9">
        <f>HYPERLINK("https://www.youtube.com/watch?v=WM60HyfMDss", "영상 보기 ▶")</f>
        <v/>
      </c>
    </row>
    <row r="8" ht="26" customHeight="1">
      <c r="A8" s="2" t="n">
        <v>1857</v>
      </c>
      <c r="B8" s="3" t="inlineStr">
        <is>
          <t>실전회화/표현</t>
        </is>
      </c>
      <c r="C8" s="4" t="inlineStr">
        <is>
          <t>I don’t care for ~</t>
        </is>
      </c>
      <c r="D8" s="11" t="inlineStr">
        <is>
          <t>를 안 좋아해</t>
        </is>
      </c>
      <c r="E8" s="11" t="inlineStr">
        <is>
          <t>I don’t care for it.</t>
        </is>
      </c>
      <c r="F8" s="11" t="inlineStr">
        <is>
          <t>난 그거 안 좋아해.</t>
        </is>
      </c>
      <c r="G8" s="5">
        <f>HYPERLINK("https://www.youtube.com/watch?v=WM60HyfMDss", "영상 보기 ▶")</f>
        <v/>
      </c>
    </row>
    <row r="9" ht="26" customHeight="1">
      <c r="A9" s="6" t="n">
        <v>1858</v>
      </c>
      <c r="B9" s="7" t="inlineStr">
        <is>
          <t>실전회화/표현</t>
        </is>
      </c>
      <c r="C9" s="8" t="inlineStr">
        <is>
          <t>nail down</t>
        </is>
      </c>
      <c r="D9" s="12" t="inlineStr">
        <is>
          <t>확정짓다, 명확히 하다</t>
        </is>
      </c>
      <c r="E9" s="12" t="inlineStr">
        <is>
          <t>We can’t nail everything down today.</t>
        </is>
      </c>
      <c r="F9" s="12" t="inlineStr">
        <is>
          <t>오늘 모든걸 다 확정지을 수는 없어요.</t>
        </is>
      </c>
      <c r="G9" s="9">
        <f>HYPERLINK("https://www.youtube.com/watch?v=WM60HyfMDss", "영상 보기 ▶")</f>
        <v/>
      </c>
    </row>
    <row r="10" ht="26" customHeight="1">
      <c r="A10" s="2" t="n">
        <v>1859</v>
      </c>
      <c r="B10" s="3" t="inlineStr">
        <is>
          <t>실전회화/표현</t>
        </is>
      </c>
      <c r="C10" s="4" t="inlineStr">
        <is>
          <t>get in the way</t>
        </is>
      </c>
      <c r="D10" s="11" t="inlineStr">
        <is>
          <t>방해되다, 걸림돌이 되다</t>
        </is>
      </c>
      <c r="E10" s="11" t="inlineStr">
        <is>
          <t>If things get in the way, no worries.</t>
        </is>
      </c>
      <c r="F10" s="11" t="inlineStr">
        <is>
          <t>무슨 일이 생기면 걱정말고 말해줘.</t>
        </is>
      </c>
      <c r="G10" s="5">
        <f>HYPERLINK("https://www.youtube.com/watch?v=WM60HyfMDss", "영상 보기 ▶")</f>
        <v/>
      </c>
    </row>
    <row r="11" ht="26" customHeight="1">
      <c r="A11" s="6" t="n">
        <v>1860</v>
      </c>
      <c r="B11" s="7" t="inlineStr">
        <is>
          <t>실전회화/표현</t>
        </is>
      </c>
      <c r="C11" s="8" t="inlineStr">
        <is>
          <t>I heard mixed things about ~</t>
        </is>
      </c>
      <c r="D11" s="12" t="inlineStr">
        <is>
          <t>에 대해 상반된 얘기를 들었어</t>
        </is>
      </c>
      <c r="E11" s="12" t="inlineStr">
        <is>
          <t>I’ve heard mixed thingsa about that restaurant.</t>
        </is>
      </c>
      <c r="F11" s="12" t="inlineStr">
        <is>
          <t>그 레스토랑에 대해 상반된 얘기를 들었어.</t>
        </is>
      </c>
      <c r="G11" s="9">
        <f>HYPERLINK("https://www.youtube.com/watch?v=WM60HyfMDss", "영상 보기 ▶")</f>
        <v/>
      </c>
    </row>
    <row r="12" ht="26" customHeight="1">
      <c r="A12" s="2" t="n">
        <v>1861</v>
      </c>
      <c r="B12" s="3" t="inlineStr">
        <is>
          <t>실전회화/표현</t>
        </is>
      </c>
      <c r="C12" s="4" t="inlineStr">
        <is>
          <t>clear the air</t>
        </is>
      </c>
      <c r="D12" s="11" t="inlineStr">
        <is>
          <t>상황을 개선하다</t>
        </is>
      </c>
      <c r="E12" s="11" t="inlineStr">
        <is>
          <t>I wanna clear the air about yesterday.</t>
        </is>
      </c>
      <c r="F12" s="11" t="inlineStr">
        <is>
          <t>어제 일에 대해 오해를 풀고 싶어.</t>
        </is>
      </c>
      <c r="G12" s="5">
        <f>HYPERLINK("https://www.youtube.com/watch?v=WM60HyfMDss", "영상 보기 ▶")</f>
        <v/>
      </c>
    </row>
    <row r="13" ht="26" customHeight="1">
      <c r="A13" s="6" t="n">
        <v>1862</v>
      </c>
      <c r="B13" s="7" t="inlineStr">
        <is>
          <t>실전회화/표현</t>
        </is>
      </c>
      <c r="C13" s="8" t="inlineStr">
        <is>
          <t>for a reason</t>
        </is>
      </c>
      <c r="D13" s="12" t="inlineStr">
        <is>
          <t>이유가 있다</t>
        </is>
      </c>
      <c r="E13" s="12" t="inlineStr">
        <is>
          <t>Everything happens for a reason.</t>
        </is>
      </c>
      <c r="F13" s="12" t="inlineStr">
        <is>
          <t>모든 일엔 다 이유가 있는 거야.</t>
        </is>
      </c>
      <c r="G13" s="9">
        <f>HYPERLINK("https://www.youtube.com/watch?v=WM60HyfMDss", "영상 보기 ▶")</f>
        <v/>
      </c>
    </row>
    <row r="14" ht="26" customHeight="1">
      <c r="A14" s="2" t="n">
        <v>1863</v>
      </c>
      <c r="B14" s="3" t="inlineStr">
        <is>
          <t>실전회화/표현</t>
        </is>
      </c>
      <c r="C14" s="4" t="inlineStr">
        <is>
          <t>for some reason</t>
        </is>
      </c>
      <c r="D14" s="11" t="inlineStr">
        <is>
          <t>무슨 이유에선지, 왠지 모르게</t>
        </is>
      </c>
      <c r="E14" s="11" t="inlineStr">
        <is>
          <t>For some reason, I’ve been craving pizza all day.</t>
        </is>
      </c>
      <c r="F14" s="11" t="inlineStr">
        <is>
          <t>왠지 모르게 하루 종일 피자가 땡기네.</t>
        </is>
      </c>
      <c r="G14" s="5">
        <f>HYPERLINK("https://www.youtube.com/watch?v=WM60HyfMDss", "영상 보기 ▶")</f>
        <v/>
      </c>
    </row>
    <row r="15" ht="26" customHeight="1">
      <c r="A15" s="6" t="n">
        <v>1864</v>
      </c>
      <c r="B15" s="7" t="inlineStr">
        <is>
          <t>실전회화/표현</t>
        </is>
      </c>
      <c r="C15" s="8" t="inlineStr">
        <is>
          <t>follow through</t>
        </is>
      </c>
      <c r="D15" s="12" t="inlineStr">
        <is>
          <t>이행/완수하다, 끝까지 해내다</t>
        </is>
      </c>
      <c r="E15" s="12" t="inlineStr">
        <is>
          <t>He’s all talk. He never follows through.</t>
        </is>
      </c>
      <c r="F15" s="12" t="inlineStr">
        <is>
          <t>걔는 말만 잘하지 행동으로 옮기진 않아.</t>
        </is>
      </c>
      <c r="G15" s="9">
        <f>HYPERLINK("https://www.youtube.com/watch?v=WM60HyfMDss", "영상 보기 ▶")</f>
        <v/>
      </c>
    </row>
    <row r="16" ht="26" customHeight="1">
      <c r="A16" s="2" t="n">
        <v>1865</v>
      </c>
      <c r="B16" s="3" t="inlineStr">
        <is>
          <t>실전회화/표현</t>
        </is>
      </c>
      <c r="C16" s="4" t="inlineStr">
        <is>
          <t>so far</t>
        </is>
      </c>
      <c r="D16" s="11" t="inlineStr">
        <is>
          <t>지금까지</t>
        </is>
      </c>
      <c r="E16" s="11" t="inlineStr">
        <is>
          <t>How’s it going so far?</t>
        </is>
      </c>
      <c r="F16" s="11" t="inlineStr">
        <is>
          <t>지금까지 진행상태는 어때?</t>
        </is>
      </c>
      <c r="G16" s="5">
        <f>HYPERLINK("https://www.youtube.com/watch?v=WM60HyfMDss", "영상 보기 ▶")</f>
        <v/>
      </c>
    </row>
    <row r="17" ht="26" customHeight="1">
      <c r="A17" s="6" t="n">
        <v>1866</v>
      </c>
      <c r="B17" s="7" t="inlineStr">
        <is>
          <t>실전회화/표현</t>
        </is>
      </c>
      <c r="C17" s="8" t="inlineStr">
        <is>
          <t>by far</t>
        </is>
      </c>
      <c r="D17" s="12" t="inlineStr">
        <is>
          <t>단연코, 훨씬, 압도적으로</t>
        </is>
      </c>
      <c r="E17" s="12" t="inlineStr">
        <is>
          <t>This is by far the best.</t>
        </is>
      </c>
      <c r="F17" s="12" t="inlineStr">
        <is>
          <t>이게 단연 최고야.</t>
        </is>
      </c>
      <c r="G17" s="9">
        <f>HYPERLINK("https://www.youtube.com/watch?v=WM60HyfMDss", "영상 보기 ▶")</f>
        <v/>
      </c>
    </row>
    <row r="18" ht="26" customHeight="1">
      <c r="A18" s="2" t="n">
        <v>1867</v>
      </c>
      <c r="B18" s="3" t="inlineStr">
        <is>
          <t>실전회화/표현</t>
        </is>
      </c>
      <c r="C18" s="4" t="inlineStr">
        <is>
          <t>far from ~</t>
        </is>
      </c>
      <c r="D18" s="11" t="inlineStr">
        <is>
          <t>와 거리가 먼, 전혀 아닌</t>
        </is>
      </c>
      <c r="E18" s="11" t="inlineStr">
        <is>
          <t>It’s far from done.</t>
        </is>
      </c>
      <c r="F18" s="11" t="inlineStr">
        <is>
          <t>아직 다 하려면 멀었어.</t>
        </is>
      </c>
      <c r="G18" s="5">
        <f>HYPERLINK("https://www.youtube.com/watch?v=WM60HyfMDss", "영상 보기 ▶")</f>
        <v/>
      </c>
    </row>
    <row r="19" ht="26" customHeight="1">
      <c r="A19" s="6" t="n">
        <v>1868</v>
      </c>
      <c r="B19" s="7" t="inlineStr">
        <is>
          <t>실전회화/표현</t>
        </is>
      </c>
      <c r="C19" s="8" t="inlineStr">
        <is>
          <t>check with ~</t>
        </is>
      </c>
      <c r="D19" s="12" t="inlineStr">
        <is>
          <t>와 확인해보다, 확인차 문의하다</t>
        </is>
      </c>
      <c r="E19" s="12" t="inlineStr">
        <is>
          <t>Let me check with my team and get back to you.</t>
        </is>
      </c>
      <c r="F19" s="12" t="inlineStr">
        <is>
          <t>팀에게 괜찮은지 물어보고 다시 연락드릴게요.</t>
        </is>
      </c>
      <c r="G19" s="9">
        <f>HYPERLINK("https://www.youtube.com/watch?v=WM60HyfMDss", "영상 보기 ▶")</f>
        <v/>
      </c>
    </row>
    <row r="20" ht="26" customHeight="1">
      <c r="A20" s="2" t="n">
        <v>1869</v>
      </c>
      <c r="B20" s="3" t="inlineStr">
        <is>
          <t>실전회화/표현</t>
        </is>
      </c>
      <c r="C20" s="4" t="inlineStr">
        <is>
          <t>be good to go</t>
        </is>
      </c>
      <c r="D20" s="11" t="inlineStr">
        <is>
          <t>준비가 된</t>
        </is>
      </c>
      <c r="E20" s="11" t="inlineStr">
        <is>
          <t>Everything looks good. It’s good to go.</t>
        </is>
      </c>
      <c r="F20" s="11" t="inlineStr">
        <is>
          <t>다 괜찮네. 이대로 하면 되겠어.</t>
        </is>
      </c>
      <c r="G20" s="5">
        <f>HYPERLINK("https://www.youtube.com/watch?v=WM60HyfMDss", "영상 보기 ▶")</f>
        <v/>
      </c>
    </row>
    <row r="21" ht="26" customHeight="1">
      <c r="A21" s="6" t="n">
        <v>1870</v>
      </c>
      <c r="B21" s="7" t="inlineStr">
        <is>
          <t>실전회화/표현</t>
        </is>
      </c>
      <c r="C21" s="8" t="inlineStr">
        <is>
          <t>for good</t>
        </is>
      </c>
      <c r="D21" s="12" t="inlineStr">
        <is>
          <t>영원히, 영구적으로</t>
        </is>
      </c>
      <c r="E21" s="12" t="inlineStr">
        <is>
          <t>Is this change for good?</t>
        </is>
      </c>
      <c r="F21" s="12" t="inlineStr">
        <is>
          <t>이 변화는 앞으로 계속 지속되는 건가요?</t>
        </is>
      </c>
      <c r="G21" s="9">
        <f>HYPERLINK("https://www.youtube.com/watch?v=WM60HyfMDss", "영상 보기 ▶")</f>
        <v/>
      </c>
    </row>
    <row r="22" ht="26" customHeight="1">
      <c r="A22" s="2" t="n">
        <v>1871</v>
      </c>
      <c r="B22" s="3" t="inlineStr">
        <is>
          <t>실전회화/표현</t>
        </is>
      </c>
      <c r="C22" s="4" t="inlineStr">
        <is>
          <t>start with a clean slate</t>
        </is>
      </c>
      <c r="D22" s="11" t="inlineStr">
        <is>
          <t>새출발 하다, 과거는 잊고 다시 시작하다</t>
        </is>
      </c>
      <c r="E22" s="11" t="inlineStr">
        <is>
          <t>Let’s start this year with a clean slate.</t>
        </is>
      </c>
      <c r="F22" s="11" t="inlineStr">
        <is>
          <t>안 좋은건 잊고 새롭게 시작하자.</t>
        </is>
      </c>
      <c r="G22" s="5">
        <f>HYPERLINK("https://www.youtube.com/watch?v=WM60HyfMDss", "영상 보기 ▶")</f>
        <v/>
      </c>
    </row>
    <row r="23" ht="26" customHeight="1">
      <c r="A23" s="6" t="n">
        <v>1872</v>
      </c>
      <c r="B23" s="7" t="inlineStr">
        <is>
          <t>실전회화/표현</t>
        </is>
      </c>
      <c r="C23" s="8" t="inlineStr">
        <is>
          <t>be determined to ~</t>
        </is>
      </c>
      <c r="D23" s="12" t="inlineStr">
        <is>
          <t>하기로 결심/다짐하다</t>
        </is>
      </c>
      <c r="E23" s="12" t="inlineStr">
        <is>
          <t>I’m determined to lose weight.</t>
        </is>
      </c>
      <c r="F23" s="12" t="inlineStr">
        <is>
          <t>살을 빼기로 단단히 결심했어.</t>
        </is>
      </c>
      <c r="G23" s="9">
        <f>HYPERLINK("https://www.youtube.com/watch?v=WM60HyfMDss", "영상 보기 ▶")</f>
        <v/>
      </c>
    </row>
    <row r="24" ht="26" customHeight="1">
      <c r="A24" s="2" t="n">
        <v>1873</v>
      </c>
      <c r="B24" s="3" t="inlineStr">
        <is>
          <t>실전회화/표현</t>
        </is>
      </c>
      <c r="C24" s="4" t="inlineStr">
        <is>
          <t>incorporate ~</t>
        </is>
      </c>
      <c r="D24" s="11" t="inlineStr">
        <is>
          <t>를 포함시키다</t>
        </is>
      </c>
      <c r="E24" s="11" t="inlineStr">
        <is>
          <t>Thank you for the feedback. I’ll incorporate it into the presentation.</t>
        </is>
      </c>
      <c r="F24" s="11" t="inlineStr">
        <is>
          <t>피드백 감사합니다. 프레젠테이션에 반영할게요.</t>
        </is>
      </c>
      <c r="G24" s="5">
        <f>HYPERLINK("https://www.youtube.com/watch?v=WM60HyfMDss", "영상 보기 ▶")</f>
        <v/>
      </c>
    </row>
    <row r="25" ht="26" customHeight="1">
      <c r="A25" s="6" t="n">
        <v>1874</v>
      </c>
      <c r="B25" s="7" t="inlineStr">
        <is>
          <t>실전회화/표현</t>
        </is>
      </c>
      <c r="C25" s="8" t="inlineStr">
        <is>
          <t>No news is good news</t>
        </is>
      </c>
      <c r="D25" s="12" t="inlineStr">
        <is>
          <t>무소식이 희소식</t>
        </is>
      </c>
      <c r="E25" s="12" t="inlineStr">
        <is>
          <t>A: Have you heard anything from Ted?</t>
        </is>
      </c>
      <c r="F25" s="12" t="inlineStr">
        <is>
          <t>Ted한테 뭐 들은거 없어?</t>
        </is>
      </c>
      <c r="G25" s="9">
        <f>HYPERLINK("https://www.youtube.com/watch?v=WM60HyfMDss", "영상 보기 ▶")</f>
        <v/>
      </c>
    </row>
    <row r="26" ht="26" customHeight="1">
      <c r="A26" s="2" t="n">
        <v>1875</v>
      </c>
      <c r="B26" s="3" t="inlineStr">
        <is>
          <t>실전회화/표현</t>
        </is>
      </c>
      <c r="C26" s="4" t="inlineStr">
        <is>
          <t>in over one’s head</t>
        </is>
      </c>
      <c r="D26" s="11" t="inlineStr">
        <is>
          <t>감당하기 힘든, 버거운</t>
        </is>
      </c>
      <c r="E26" s="11" t="inlineStr">
        <is>
          <t>I’m in over my head.</t>
        </is>
      </c>
      <c r="F26" s="11" t="inlineStr">
        <is>
          <t>감당하기 힘들어.</t>
        </is>
      </c>
      <c r="G26" s="5">
        <f>HYPERLINK("https://www.youtube.com/watch?v=WM60HyfMDss", "영상 보기 ▶")</f>
        <v/>
      </c>
    </row>
    <row r="27" ht="26" customHeight="1">
      <c r="A27" s="6" t="n">
        <v>1876</v>
      </c>
      <c r="B27" s="7" t="inlineStr">
        <is>
          <t>의견/의사결정</t>
        </is>
      </c>
      <c r="C27" s="8" t="inlineStr">
        <is>
          <t>pitch</t>
        </is>
      </c>
      <c r="D27" s="12" t="inlineStr">
        <is>
          <t>제안하다</t>
        </is>
      </c>
      <c r="E27" s="12" t="inlineStr">
        <is>
          <t>I’ll pitch it to her over lunch.</t>
        </is>
      </c>
      <c r="F27" s="12" t="inlineStr">
        <is>
          <t>점심 먹으면서 그녀에게 제안해볼게.</t>
        </is>
      </c>
      <c r="G27" s="9">
        <f>HYPERLINK("https://www.youtube.com/watch?v=WM60HyfMDss", "영상 보기 ▶")</f>
        <v/>
      </c>
    </row>
    <row r="28" ht="26" customHeight="1">
      <c r="A28" s="2" t="n">
        <v>1877</v>
      </c>
      <c r="B28" s="3" t="inlineStr">
        <is>
          <t>실전회화/표현</t>
        </is>
      </c>
      <c r="C28" s="4" t="inlineStr">
        <is>
          <t>disciplined</t>
        </is>
      </c>
      <c r="D28" s="11" t="inlineStr">
        <is>
          <t>절제력 있는, 자기 관리가 철저한</t>
        </is>
      </c>
      <c r="E28" s="11" t="inlineStr">
        <is>
          <t>She’s very disciplined.</t>
        </is>
      </c>
      <c r="F28" s="11" t="inlineStr">
        <is>
          <t>그녀는 자기 관리가 철저해.</t>
        </is>
      </c>
      <c r="G28" s="5">
        <f>HYPERLINK("https://www.youtube.com/watch?v=WM60HyfMDss", "영상 보기 ▶")</f>
        <v/>
      </c>
    </row>
    <row r="29" ht="26" customHeight="1">
      <c r="A29" s="6" t="n">
        <v>1878</v>
      </c>
      <c r="B29" s="7" t="inlineStr">
        <is>
          <t>실전회화/표현</t>
        </is>
      </c>
      <c r="C29" s="8" t="inlineStr">
        <is>
          <t>for once</t>
        </is>
      </c>
      <c r="D29" s="12" t="inlineStr">
        <is>
          <t>이번 한 번만은</t>
        </is>
      </c>
      <c r="E29" s="12" t="inlineStr">
        <is>
          <t>For once, everything is going according to plan.</t>
        </is>
      </c>
      <c r="F29" s="12" t="inlineStr">
        <is>
          <t>이번만큼은 모든게 계획대로 진행되고 있어.</t>
        </is>
      </c>
      <c r="G29" s="9">
        <f>HYPERLINK("https://www.youtube.com/watch?v=WM60HyfMDss", "영상 보기 ▶")</f>
        <v/>
      </c>
    </row>
    <row r="30" ht="26" customHeight="1">
      <c r="A30" s="2" t="n">
        <v>1879</v>
      </c>
      <c r="B30" s="3" t="inlineStr">
        <is>
          <t>실전회화/표현</t>
        </is>
      </c>
      <c r="C30" s="4" t="inlineStr">
        <is>
          <t>at once</t>
        </is>
      </c>
      <c r="D30" s="11" t="inlineStr">
        <is>
          <t>바로, 지체없이</t>
        </is>
      </c>
      <c r="E30" s="11" t="inlineStr">
        <is>
          <t>We need to stop this at once.</t>
        </is>
      </c>
      <c r="F30" s="11" t="inlineStr">
        <is>
          <t>지금 당장 이걸 멈춰야 해.</t>
        </is>
      </c>
      <c r="G30" s="5">
        <f>HYPERLINK("https://www.youtube.com/watch?v=WM60HyfMDss", "영상 보기 ▶")</f>
        <v/>
      </c>
    </row>
    <row r="31" ht="26" customHeight="1">
      <c r="A31" s="6" t="n">
        <v>1880</v>
      </c>
      <c r="B31" s="7" t="inlineStr">
        <is>
          <t>실전회화/표현</t>
        </is>
      </c>
      <c r="C31" s="8" t="inlineStr">
        <is>
          <t>at once</t>
        </is>
      </c>
      <c r="D31" s="12" t="inlineStr">
        <is>
          <t>동시에</t>
        </is>
      </c>
      <c r="E31" s="12" t="inlineStr">
        <is>
          <t>I can’t be in two places at once.</t>
        </is>
      </c>
      <c r="F31" s="12" t="inlineStr">
        <is>
          <t>내가 몸이 두개가 아니잖아.</t>
        </is>
      </c>
      <c r="G31" s="9">
        <f>HYPERLINK("https://www.youtube.com/watch?v=WM60HyfMDss", "영상 보기 ▶")</f>
        <v/>
      </c>
    </row>
    <row r="32" ht="26" customHeight="1">
      <c r="A32" s="2" t="n">
        <v>1881</v>
      </c>
      <c r="B32" s="3" t="inlineStr">
        <is>
          <t>실전회화/표현</t>
        </is>
      </c>
      <c r="C32" s="4" t="inlineStr">
        <is>
          <t>(every) once in a while</t>
        </is>
      </c>
      <c r="D32" s="11" t="inlineStr">
        <is>
          <t>어쩌다 한번, 가끔 한번</t>
        </is>
      </c>
      <c r="E32" s="11" t="inlineStr">
        <is>
          <t>We hang out once in a while.</t>
        </is>
      </c>
      <c r="F32" s="11" t="inlineStr">
        <is>
          <t>우린 가끔 한번씩 만나.</t>
        </is>
      </c>
      <c r="G32" s="5">
        <f>HYPERLINK("https://www.youtube.com/watch?v=WM60HyfMDss", "영상 보기 ▶")</f>
        <v/>
      </c>
    </row>
    <row r="33" ht="26" customHeight="1">
      <c r="A33" s="6" t="n">
        <v>1882</v>
      </c>
      <c r="B33" s="7" t="inlineStr">
        <is>
          <t>실전회화/표현</t>
        </is>
      </c>
      <c r="C33" s="8" t="inlineStr">
        <is>
          <t>bark up the wrong tree</t>
        </is>
      </c>
      <c r="D33" s="12" t="inlineStr">
        <is>
          <t>잘못 짚다</t>
        </is>
      </c>
      <c r="E33" s="12" t="inlineStr">
        <is>
          <t>Maybe we’re barking up the wrong tree.</t>
        </is>
      </c>
      <c r="F33" s="12" t="inlineStr">
        <is>
          <t>우리가 잘못 파악한 걸지도 몰라.</t>
        </is>
      </c>
      <c r="G33" s="9">
        <f>HYPERLINK("https://www.youtube.com/watch?v=WM60HyfMDss", "영상 보기 ▶")</f>
        <v/>
      </c>
    </row>
    <row r="34" ht="26" customHeight="1">
      <c r="A34" s="2" t="n">
        <v>1883</v>
      </c>
      <c r="B34" s="3" t="inlineStr">
        <is>
          <t>실전회화/표현</t>
        </is>
      </c>
      <c r="C34" s="4" t="inlineStr">
        <is>
          <t>ahead of the curve</t>
        </is>
      </c>
      <c r="D34" s="11" t="inlineStr">
        <is>
          <t>앞서가는</t>
        </is>
      </c>
      <c r="E34" s="11" t="inlineStr">
        <is>
          <t>They always try to stay ahead of the curve.</t>
        </is>
      </c>
      <c r="F34" s="11" t="inlineStr">
        <is>
          <t>그들은 항상 앞서나가려 노력해.</t>
        </is>
      </c>
      <c r="G34" s="5">
        <f>HYPERLINK("https://www.youtube.com/watch?v=WM60HyfMDss", "영상 보기 ▶")</f>
        <v/>
      </c>
    </row>
    <row r="35" ht="26" customHeight="1">
      <c r="A35" s="6" t="n">
        <v>1884</v>
      </c>
      <c r="B35" s="7" t="inlineStr">
        <is>
          <t>실전회화/표현</t>
        </is>
      </c>
      <c r="C35" s="8" t="inlineStr">
        <is>
          <t>bite the bullet (</t>
        </is>
      </c>
      <c r="D35" s="12" t="inlineStr">
        <is>
          <t>하기 싫지만 해야하는 일을) 이 악물고 하다</t>
        </is>
      </c>
      <c r="E35" s="12" t="inlineStr">
        <is>
          <t>I’m just gonna bite the bullet and do it.</t>
        </is>
      </c>
      <c r="F35" s="12" t="inlineStr">
        <is>
          <t>그냥 결단을 내리고 해야겠어.</t>
        </is>
      </c>
      <c r="G35" s="9">
        <f>HYPERLINK("https://www.youtube.com/watch?v=WM60HyfMDss", "영상 보기 ▶")</f>
        <v/>
      </c>
    </row>
    <row r="36" ht="26" customHeight="1">
      <c r="A36" s="2" t="n">
        <v>1885</v>
      </c>
      <c r="B36" s="3" t="inlineStr">
        <is>
          <t>실전회화/표현</t>
        </is>
      </c>
      <c r="C36" s="4" t="inlineStr">
        <is>
          <t>brush off ~</t>
        </is>
      </c>
      <c r="D36" s="11" t="inlineStr">
        <is>
          <t>을 무시하다</t>
        </is>
      </c>
      <c r="E36" s="11" t="inlineStr">
        <is>
          <t>Don’t let it get to you. Jusy brush it off.</t>
        </is>
      </c>
      <c r="F36" s="11" t="inlineStr">
        <is>
          <t>그 말에 영향받지 말고 그냥 무시해.</t>
        </is>
      </c>
      <c r="G36" s="5">
        <f>HYPERLINK("https://www.youtube.com/watch?v=WM60HyfMDss", "영상 보기 ▶")</f>
        <v/>
      </c>
    </row>
    <row r="37" ht="26" customHeight="1">
      <c r="A37" s="6" t="n">
        <v>1886</v>
      </c>
      <c r="B37" s="7" t="inlineStr">
        <is>
          <t>실전회화/표현</t>
        </is>
      </c>
      <c r="C37" s="8" t="inlineStr">
        <is>
          <t>Did you always want to</t>
        </is>
      </c>
      <c r="D37" s="12" t="inlineStr">
        <is>
          <t>원래 ~가 하고 싶었어?</t>
        </is>
      </c>
      <c r="E37" s="12" t="inlineStr">
        <is>
          <t>Did you always wanna be a teacher?</t>
        </is>
      </c>
      <c r="F37" s="12" t="inlineStr">
        <is>
          <t>원래부터 선생님이 꿈이었어?</t>
        </is>
      </c>
      <c r="G37" s="9">
        <f>HYPERLINK("https://www.youtube.com/watch?v=WM60HyfMDss", "영상 보기 ▶")</f>
        <v/>
      </c>
    </row>
    <row r="38" ht="26" customHeight="1">
      <c r="A38" s="2" t="n">
        <v>1887</v>
      </c>
      <c r="B38" s="3" t="inlineStr">
        <is>
          <t>실전회화/표현</t>
        </is>
      </c>
      <c r="C38" s="4" t="inlineStr">
        <is>
          <t>be into ~</t>
        </is>
      </c>
      <c r="D38" s="11" t="inlineStr">
        <is>
          <t>을 무척 좋아하다, 관심이 있다</t>
        </is>
      </c>
      <c r="E38" s="11" t="inlineStr">
        <is>
          <t>What are you into these days?</t>
        </is>
      </c>
      <c r="F38" s="11" t="inlineStr">
        <is>
          <t>요즘 뭐하는거 좋아해?</t>
        </is>
      </c>
      <c r="G38" s="5">
        <f>HYPERLINK("https://www.youtube.com/watch?v=WM60HyfMDss", "영상 보기 ▶")</f>
        <v/>
      </c>
    </row>
    <row r="39" ht="26" customHeight="1">
      <c r="A39" s="6" t="n">
        <v>1888</v>
      </c>
      <c r="B39" s="7" t="inlineStr">
        <is>
          <t>실전회화/표현</t>
        </is>
      </c>
      <c r="C39" s="8" t="inlineStr">
        <is>
          <t>carry oneself</t>
        </is>
      </c>
      <c r="D39" s="12" t="inlineStr">
        <is>
          <t>행동하다, 처신하다</t>
        </is>
      </c>
      <c r="E39" s="12" t="inlineStr">
        <is>
          <t>She carries herself well.</t>
        </is>
      </c>
      <c r="F39" s="12" t="inlineStr">
        <is>
          <t>그녀는 정말 침착하게 잘 처신해.</t>
        </is>
      </c>
      <c r="G39" s="9">
        <f>HYPERLINK("https://www.youtube.com/watch?v=WM60HyfMDss", "영상 보기 ▶")</f>
        <v/>
      </c>
    </row>
    <row r="40" ht="26" customHeight="1">
      <c r="A40" s="2" t="n">
        <v>1889</v>
      </c>
      <c r="B40" s="3" t="inlineStr">
        <is>
          <t>실전회화/표현</t>
        </is>
      </c>
      <c r="C40" s="4" t="inlineStr">
        <is>
          <t>hype</t>
        </is>
      </c>
      <c r="D40" s="11" t="inlineStr">
        <is>
          <t>과대광고, 큰 기대감</t>
        </is>
      </c>
      <c r="E40" s="11" t="inlineStr">
        <is>
          <t>It’s worth the hype.</t>
        </is>
      </c>
      <c r="F40" s="11" t="inlineStr">
        <is>
          <t>소문대로 좋더라, 기대할만 하더라.</t>
        </is>
      </c>
      <c r="G40" s="5">
        <f>HYPERLINK("https://www.youtube.com/watch?v=WM60HyfMDss", "영상 보기 ▶")</f>
        <v/>
      </c>
    </row>
    <row r="41" ht="26" customHeight="1">
      <c r="A41" s="6" t="n">
        <v>1890</v>
      </c>
      <c r="B41" s="7" t="inlineStr">
        <is>
          <t>실전회화/표현</t>
        </is>
      </c>
      <c r="C41" s="8" t="inlineStr">
        <is>
          <t>to die for</t>
        </is>
      </c>
      <c r="D41" s="12" t="inlineStr">
        <is>
          <t>정말 훌륭한, 탐다는</t>
        </is>
      </c>
      <c r="E41" s="12" t="inlineStr">
        <is>
          <t>Save room for dessert. The cheesecake here is to die for.</t>
        </is>
      </c>
      <c r="F41" s="12" t="inlineStr">
        <is>
          <t>여기 치즈케이크 엄청 맛있으니 디저트 배는 남겨놔.</t>
        </is>
      </c>
      <c r="G41" s="9">
        <f>HYPERLINK("https://www.youtube.com/watch?v=WM60HyfMDss", "영상 보기 ▶")</f>
        <v/>
      </c>
    </row>
    <row r="42" ht="26" customHeight="1">
      <c r="A42" s="2" t="n">
        <v>1891</v>
      </c>
      <c r="B42" s="3" t="inlineStr">
        <is>
          <t>실전회화/표현</t>
        </is>
      </c>
      <c r="C42" s="4" t="inlineStr">
        <is>
          <t>in a bind</t>
        </is>
      </c>
      <c r="D42" s="11" t="inlineStr">
        <is>
          <t>곤경에 처한, 난처한</t>
        </is>
      </c>
      <c r="E42" s="11" t="inlineStr">
        <is>
          <t>I’m in a bind.</t>
        </is>
      </c>
      <c r="F42" s="11" t="inlineStr">
        <is>
          <t>좀 곤란한 상황이야.</t>
        </is>
      </c>
      <c r="G42" s="5">
        <f>HYPERLINK("https://www.youtube.com/watch?v=WM60HyfMDss", "영상 보기 ▶")</f>
        <v/>
      </c>
    </row>
    <row r="43" ht="26" customHeight="1">
      <c r="A43" s="6" t="n">
        <v>1892</v>
      </c>
      <c r="B43" s="7" t="inlineStr">
        <is>
          <t>실전회화/표현</t>
        </is>
      </c>
      <c r="C43" s="8" t="inlineStr">
        <is>
          <t>I’m not feeling it.</t>
        </is>
      </c>
      <c r="D43" s="12" t="inlineStr">
        <is>
          <t>별로 안 내켜, 느낌이 안 와</t>
        </is>
      </c>
      <c r="E43" s="12" t="inlineStr">
        <is>
          <t>A: Let’s go out for a drink.</t>
        </is>
      </c>
      <c r="F43" s="12" t="inlineStr">
        <is>
          <t>술 한잔 하러 가자.</t>
        </is>
      </c>
      <c r="G43" s="9">
        <f>HYPERLINK("https://www.youtube.com/watch?v=WM60HyfMDss", "영상 보기 ▶")</f>
        <v/>
      </c>
    </row>
    <row r="44" ht="26" customHeight="1">
      <c r="A44" s="2" t="n">
        <v>1893</v>
      </c>
      <c r="B44" s="3" t="inlineStr">
        <is>
          <t>실전회화/표현</t>
        </is>
      </c>
      <c r="C44" s="4" t="inlineStr">
        <is>
          <t>get over</t>
        </is>
      </c>
      <c r="D44" s="11" t="inlineStr">
        <is>
          <t>극복하다</t>
        </is>
      </c>
      <c r="E44" s="11" t="inlineStr">
        <is>
          <t>He’ll get over it.</t>
        </is>
      </c>
      <c r="F44" s="11" t="inlineStr">
        <is>
          <t>이겨낼거야.</t>
        </is>
      </c>
      <c r="G44" s="5">
        <f>HYPERLINK("https://www.youtube.com/watch?v=WM60HyfMDss", "영상 보기 ▶")</f>
        <v/>
      </c>
    </row>
    <row r="45" ht="26" customHeight="1">
      <c r="A45" s="6" t="n">
        <v>1894</v>
      </c>
      <c r="B45" s="7" t="inlineStr">
        <is>
          <t>실전회화/표현</t>
        </is>
      </c>
      <c r="C45" s="8" t="inlineStr">
        <is>
          <t>can’t get over</t>
        </is>
      </c>
      <c r="D45" s="12" t="inlineStr">
        <is>
          <t>잊지 못하다, 믿기지 않다, 놀라다</t>
        </is>
      </c>
      <c r="E45" s="12" t="inlineStr">
        <is>
          <t>I can’t get over this view.</t>
        </is>
      </c>
      <c r="F45" s="12" t="inlineStr">
        <is>
          <t>경치가 너무 멋져서 계속 감탄하게 돼.</t>
        </is>
      </c>
      <c r="G45" s="9">
        <f>HYPERLINK("https://www.youtube.com/watch?v=WM60HyfMDss", "영상 보기 ▶")</f>
        <v/>
      </c>
    </row>
    <row r="46" ht="26" customHeight="1">
      <c r="A46" s="2" t="n">
        <v>1895</v>
      </c>
      <c r="B46" s="3" t="inlineStr">
        <is>
          <t>실전회화/표현</t>
        </is>
      </c>
      <c r="C46" s="4" t="inlineStr">
        <is>
          <t>natural (</t>
        </is>
      </c>
      <c r="D46" s="11" t="inlineStr">
        <is>
          <t>재능을) 타고난</t>
        </is>
      </c>
      <c r="E46" s="11" t="inlineStr">
        <is>
          <t>You’re a natural.</t>
        </is>
      </c>
      <c r="F46" s="11" t="inlineStr">
        <is>
          <t>넌 타고 났구나.</t>
        </is>
      </c>
      <c r="G46" s="5">
        <f>HYPERLINK("https://www.youtube.com/watch?v=WM60HyfMDss", "영상 보기 ▶")</f>
        <v/>
      </c>
    </row>
    <row r="47" ht="26" customHeight="1">
      <c r="A47" s="6" t="n">
        <v>1896</v>
      </c>
      <c r="B47" s="7" t="inlineStr">
        <is>
          <t>실전회화/표현</t>
        </is>
      </c>
      <c r="C47" s="8" t="inlineStr">
        <is>
          <t>sentimental value</t>
        </is>
      </c>
      <c r="D47" s="12" t="inlineStr">
        <is>
          <t>정서적 가치가 있는</t>
        </is>
      </c>
      <c r="E47" s="12" t="inlineStr">
        <is>
          <t>It’s not expensive, but it has sentimental value.</t>
        </is>
      </c>
      <c r="F47" s="12" t="inlineStr">
        <is>
          <t>비싸진 않지만, 추억이 담긴 물건이야.</t>
        </is>
      </c>
      <c r="G47" s="9">
        <f>HYPERLINK("https://www.youtube.com/watch?v=WM60HyfMDss", "영상 보기 ▶")</f>
        <v/>
      </c>
    </row>
    <row r="48" ht="26" customHeight="1">
      <c r="A48" s="2" t="n">
        <v>1897</v>
      </c>
      <c r="B48" s="3" t="inlineStr">
        <is>
          <t>실전회화/표현</t>
        </is>
      </c>
      <c r="C48" s="4" t="inlineStr">
        <is>
          <t>Be yourself.</t>
        </is>
      </c>
      <c r="D48" s="11" t="inlineStr">
        <is>
          <t>너답게 행동해</t>
        </is>
      </c>
      <c r="E48" s="11" t="inlineStr">
        <is>
          <t>You’ll be fine. Just be yourself.</t>
        </is>
      </c>
      <c r="F48" s="11" t="inlineStr">
        <is>
          <t>괜찮을 거야. 평소처럼 행동해.</t>
        </is>
      </c>
      <c r="G48" s="5">
        <f>HYPERLINK("https://www.youtube.com/watch?v=WM60HyfMDss", "영상 보기 ▶")</f>
        <v/>
      </c>
    </row>
    <row r="49" ht="26" customHeight="1">
      <c r="A49" s="6" t="n">
        <v>1898</v>
      </c>
      <c r="B49" s="7" t="inlineStr">
        <is>
          <t>실전회화/표현</t>
        </is>
      </c>
      <c r="C49" s="8" t="inlineStr">
        <is>
          <t>past</t>
        </is>
      </c>
      <c r="D49" s="12" t="inlineStr">
        <is>
          <t>지나서</t>
        </is>
      </c>
      <c r="E49" s="12" t="inlineStr">
        <is>
          <t>It’s half past three.</t>
        </is>
      </c>
      <c r="F49" s="12" t="inlineStr">
        <is>
          <t>세시 반이야.</t>
        </is>
      </c>
      <c r="G49" s="9">
        <f>HYPERLINK("https://www.youtube.com/watch?v=WM60HyfMDss", "영상 보기 ▶")</f>
        <v/>
      </c>
    </row>
    <row r="50" ht="26" customHeight="1">
      <c r="A50" s="2" t="n">
        <v>1899</v>
      </c>
      <c r="B50" s="3" t="inlineStr">
        <is>
          <t>의견/의사결정</t>
        </is>
      </c>
      <c r="C50" s="4" t="inlineStr">
        <is>
          <t>tough sell</t>
        </is>
      </c>
      <c r="D50" s="11" t="inlineStr">
        <is>
          <t>힘든 설득</t>
        </is>
      </c>
      <c r="E50" s="11" t="inlineStr">
        <is>
          <t>It’s a win-win situation. It shouldn’t be a touch sell.</t>
        </is>
      </c>
      <c r="F50" s="11" t="inlineStr">
        <is>
          <t>양쪽 다 이득인 상황이니 설득하기 어렵진 않을 거야.</t>
        </is>
      </c>
      <c r="G50" s="5">
        <f>HYPERLINK("https://www.youtube.com/watch?v=WM60HyfMDss", "영상 보기 ▶")</f>
        <v/>
      </c>
    </row>
    <row r="51" ht="26" customHeight="1">
      <c r="A51" s="6" t="n">
        <v>1900</v>
      </c>
      <c r="B51" s="7" t="inlineStr">
        <is>
          <t>실전회화/표현</t>
        </is>
      </c>
      <c r="C51" s="8" t="inlineStr">
        <is>
          <t>sell oneself short</t>
        </is>
      </c>
      <c r="D51" s="12" t="inlineStr">
        <is>
          <t>스스로를 과소평가하다</t>
        </is>
      </c>
      <c r="E51" s="12" t="inlineStr">
        <is>
          <t>Don’t sell yourself short.</t>
        </is>
      </c>
      <c r="F51" s="12" t="inlineStr">
        <is>
          <t>에이, 왜그래.</t>
        </is>
      </c>
      <c r="G51" s="9">
        <f>HYPERLINK("https://www.youtube.com/watch?v=WM60HyfMDss", "영상 보기 ▶")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3" customWidth="1" min="3" max="3"/>
    <col width="46" customWidth="1" min="4" max="4"/>
    <col width="70" customWidth="1" min="5" max="5"/>
    <col width="64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1901</v>
      </c>
      <c r="B2" s="3" t="inlineStr">
        <is>
          <t>실전회화/표현</t>
        </is>
      </c>
      <c r="C2" s="4" t="inlineStr">
        <is>
          <t>​as it is</t>
        </is>
      </c>
      <c r="D2" s="11" t="inlineStr">
        <is>
          <t>있는 그대로, 현재 상태 그대로</t>
        </is>
      </c>
      <c r="E2" s="11" t="inlineStr">
        <is>
          <t>Let’s keep the design as it is.</t>
        </is>
      </c>
      <c r="F2" s="11" t="inlineStr">
        <is>
          <t>디자인은 그대로 유지하자.</t>
        </is>
      </c>
      <c r="G2" s="5">
        <f>HYPERLINK("https://www.youtube.com/watch?v=3BnJMcgFObE", "영상 보기 ▶")</f>
        <v/>
      </c>
    </row>
    <row r="3" ht="26" customHeight="1">
      <c r="A3" s="6" t="n">
        <v>1902</v>
      </c>
      <c r="B3" s="7" t="inlineStr">
        <is>
          <t>실전회화/표현</t>
        </is>
      </c>
      <c r="C3" s="8" t="inlineStr">
        <is>
          <t>fizzle out</t>
        </is>
      </c>
      <c r="D3" s="12" t="inlineStr">
        <is>
          <t>흐지부지 되다, 사그라들다</t>
        </is>
      </c>
      <c r="E3" s="12" t="inlineStr">
        <is>
          <t>A: Are you still seeing her?</t>
        </is>
      </c>
      <c r="F3" s="12" t="inlineStr">
        <is>
          <t>아직 잘 만나고 있어?</t>
        </is>
      </c>
      <c r="G3" s="9">
        <f>HYPERLINK("https://www.youtube.com/watch?v=3BnJMcgFObE", "영상 보기 ▶")</f>
        <v/>
      </c>
    </row>
    <row r="4" ht="26" customHeight="1">
      <c r="A4" s="2" t="n">
        <v>1903</v>
      </c>
      <c r="B4" s="3" t="inlineStr">
        <is>
          <t>실전회화/표현</t>
        </is>
      </c>
      <c r="C4" s="4" t="inlineStr">
        <is>
          <t>keep up</t>
        </is>
      </c>
      <c r="D4" s="11" t="inlineStr">
        <is>
          <t>따라가다, 유지하다</t>
        </is>
      </c>
      <c r="E4" s="11" t="inlineStr">
        <is>
          <t>Could you slow down a bit? It’s hard to keep up.</t>
        </is>
      </c>
      <c r="F4" s="11" t="inlineStr">
        <is>
          <t>조금만 천천히 말씀해주실래요? 따라가기가 힘들어서요.</t>
        </is>
      </c>
      <c r="G4" s="5">
        <f>HYPERLINK("https://www.youtube.com/watch?v=3BnJMcgFObE", "영상 보기 ▶")</f>
        <v/>
      </c>
    </row>
    <row r="5" ht="26" customHeight="1">
      <c r="A5" s="6" t="n">
        <v>1904</v>
      </c>
      <c r="B5" s="7" t="inlineStr">
        <is>
          <t>실전회화/표현</t>
        </is>
      </c>
      <c r="C5" s="8" t="inlineStr">
        <is>
          <t>​It goes without saying</t>
        </is>
      </c>
      <c r="D5" s="12" t="inlineStr">
        <is>
          <t>두말하면 잔소리야</t>
        </is>
      </c>
      <c r="E5" s="12" t="inlineStr">
        <is>
          <t>A: This has to be our top priority.</t>
        </is>
      </c>
      <c r="F5" s="12" t="inlineStr">
        <is>
          <t>이걸 우선적으로 처리해야 해.</t>
        </is>
      </c>
      <c r="G5" s="9">
        <f>HYPERLINK("https://www.youtube.com/watch?v=3BnJMcgFObE", "영상 보기 ▶")</f>
        <v/>
      </c>
    </row>
    <row r="6" ht="26" customHeight="1">
      <c r="A6" s="2" t="n">
        <v>1905</v>
      </c>
      <c r="B6" s="3" t="inlineStr">
        <is>
          <t>실전회화/표현</t>
        </is>
      </c>
      <c r="C6" s="4" t="inlineStr">
        <is>
          <t>head out</t>
        </is>
      </c>
      <c r="D6" s="11" t="inlineStr">
        <is>
          <t>나가다</t>
        </is>
      </c>
      <c r="E6" s="11" t="inlineStr">
        <is>
          <t>I’m heading out now.</t>
        </is>
      </c>
      <c r="F6" s="11" t="inlineStr">
        <is>
          <t>지금 나가는 중이야.</t>
        </is>
      </c>
      <c r="G6" s="5">
        <f>HYPERLINK("https://www.youtube.com/watch?v=3BnJMcgFObE", "영상 보기 ▶")</f>
        <v/>
      </c>
    </row>
    <row r="7" ht="26" customHeight="1">
      <c r="A7" s="6" t="n">
        <v>1906</v>
      </c>
      <c r="B7" s="7" t="inlineStr">
        <is>
          <t>실전회화/표현</t>
        </is>
      </c>
      <c r="C7" s="8" t="inlineStr">
        <is>
          <t>head</t>
        </is>
      </c>
      <c r="D7" s="12" t="inlineStr">
        <is>
          <t>향하다</t>
        </is>
      </c>
      <c r="E7" s="12" t="inlineStr">
        <is>
          <t>We’re headed in the right direction.</t>
        </is>
      </c>
      <c r="F7" s="12" t="inlineStr">
        <is>
          <t>우린 옳은 방향으로 잘 나아가고 있어.</t>
        </is>
      </c>
      <c r="G7" s="9">
        <f>HYPERLINK("https://www.youtube.com/watch?v=3BnJMcgFObE", "영상 보기 ▶")</f>
        <v/>
      </c>
    </row>
    <row r="8" ht="26" customHeight="1">
      <c r="A8" s="2" t="n">
        <v>1907</v>
      </c>
      <c r="B8" s="3" t="inlineStr">
        <is>
          <t>실전회화/표현</t>
        </is>
      </c>
      <c r="C8" s="4" t="inlineStr">
        <is>
          <t>for the most part</t>
        </is>
      </c>
      <c r="D8" s="11" t="inlineStr">
        <is>
          <t>대체로, 대개, 보통</t>
        </is>
      </c>
      <c r="E8" s="11" t="inlineStr">
        <is>
          <t>It was good for the most part.</t>
        </is>
      </c>
      <c r="F8" s="11" t="inlineStr">
        <is>
          <t>대체적으로 괜찮았어.</t>
        </is>
      </c>
      <c r="G8" s="5">
        <f>HYPERLINK("https://www.youtube.com/watch?v=3BnJMcgFObE", "영상 보기 ▶")</f>
        <v/>
      </c>
    </row>
    <row r="9" ht="26" customHeight="1">
      <c r="A9" s="6" t="n">
        <v>1908</v>
      </c>
      <c r="B9" s="7" t="inlineStr">
        <is>
          <t>실전회화/표현</t>
        </is>
      </c>
      <c r="C9" s="8" t="inlineStr">
        <is>
          <t>engaging</t>
        </is>
      </c>
      <c r="D9" s="12" t="inlineStr">
        <is>
          <t>관심을 끄는</t>
        </is>
      </c>
      <c r="E9" s="12" t="inlineStr">
        <is>
          <t>I binge-watched the whole season. It was very engaging.</t>
        </is>
      </c>
      <c r="F9" s="12" t="inlineStr">
        <is>
          <t>시즌 전체를 정주행했어. 정말 몰입되더라.</t>
        </is>
      </c>
      <c r="G9" s="9">
        <f>HYPERLINK("https://www.youtube.com/watch?v=3BnJMcgFObE", "영상 보기 ▶")</f>
        <v/>
      </c>
    </row>
    <row r="10" ht="26" customHeight="1">
      <c r="A10" s="2" t="n">
        <v>1909</v>
      </c>
      <c r="B10" s="3" t="inlineStr">
        <is>
          <t>실전회화/표현</t>
        </is>
      </c>
      <c r="C10" s="4" t="inlineStr">
        <is>
          <t>entertain</t>
        </is>
      </c>
      <c r="D10" s="11" t="inlineStr">
        <is>
          <t>즐겁게 하다</t>
        </is>
      </c>
      <c r="E10" s="11" t="inlineStr">
        <is>
          <t>I find it entertaining.</t>
        </is>
      </c>
      <c r="F10" s="11" t="inlineStr">
        <is>
          <t>전 그게 흥미롭다고 생각해요.</t>
        </is>
      </c>
      <c r="G10" s="5">
        <f>HYPERLINK("https://www.youtube.com/watch?v=3BnJMcgFObE", "영상 보기 ▶")</f>
        <v/>
      </c>
    </row>
    <row r="11" ht="26" customHeight="1">
      <c r="A11" s="6" t="n">
        <v>1910</v>
      </c>
      <c r="B11" s="7" t="inlineStr">
        <is>
          <t>실전회화/표현</t>
        </is>
      </c>
      <c r="C11" s="8" t="inlineStr">
        <is>
          <t>entertain</t>
        </is>
      </c>
      <c r="D11" s="12" t="inlineStr">
        <is>
          <t>품다, 고려하다</t>
        </is>
      </c>
      <c r="E11" s="12" t="inlineStr">
        <is>
          <t>I’m willing to entertain the idea.</t>
        </is>
      </c>
      <c r="F11" s="12" t="inlineStr">
        <is>
          <t>한 번 생각해볼 마음이 있어.</t>
        </is>
      </c>
      <c r="G11" s="9">
        <f>HYPERLINK("https://www.youtube.com/watch?v=3BnJMcgFObE", "영상 보기 ▶")</f>
        <v/>
      </c>
    </row>
    <row r="12" ht="26" customHeight="1">
      <c r="A12" s="2" t="n">
        <v>1911</v>
      </c>
      <c r="B12" s="3" t="inlineStr">
        <is>
          <t>실전회화/표현</t>
        </is>
      </c>
      <c r="C12" s="4" t="inlineStr">
        <is>
          <t>get</t>
        </is>
      </c>
      <c r="D12" s="11" t="inlineStr">
        <is>
          <t>듣다</t>
        </is>
      </c>
      <c r="E12" s="11" t="inlineStr">
        <is>
          <t>A: You look just like your dad.</t>
        </is>
      </c>
      <c r="F12" s="11" t="inlineStr">
        <is>
          <t>아버님과 똑 닮으셨네요.</t>
        </is>
      </c>
      <c r="G12" s="5">
        <f>HYPERLINK("https://www.youtube.com/watch?v=3BnJMcgFObE", "영상 보기 ▶")</f>
        <v/>
      </c>
    </row>
    <row r="13" ht="26" customHeight="1">
      <c r="A13" s="6" t="n">
        <v>1912</v>
      </c>
      <c r="B13" s="7" t="inlineStr">
        <is>
          <t>실전회화/표현</t>
        </is>
      </c>
      <c r="C13" s="8" t="inlineStr">
        <is>
          <t>That's a given.</t>
        </is>
      </c>
      <c r="D13" s="12" t="inlineStr">
        <is>
          <t>그건 당연한거야.</t>
        </is>
      </c>
      <c r="E13" s="12" t="inlineStr">
        <is>
          <t>A: Wow, this view is to die for.</t>
        </is>
      </c>
      <c r="F13" s="12" t="inlineStr">
        <is>
          <t>와, 정말 뷰가 끝내준다.</t>
        </is>
      </c>
      <c r="G13" s="9">
        <f>HYPERLINK("https://www.youtube.com/watch?v=3BnJMcgFObE", "영상 보기 ▶")</f>
        <v/>
      </c>
    </row>
    <row r="14" ht="26" customHeight="1">
      <c r="A14" s="2" t="n">
        <v>1913</v>
      </c>
      <c r="B14" s="3" t="inlineStr">
        <is>
          <t>의견/의사결정</t>
        </is>
      </c>
      <c r="C14" s="4" t="inlineStr">
        <is>
          <t>depend on ~</t>
        </is>
      </c>
      <c r="D14" s="11" t="inlineStr">
        <is>
          <t>에 달려있다, 결정되다</t>
        </is>
      </c>
      <c r="E14" s="11" t="inlineStr">
        <is>
          <t>It depends on how much it is.</t>
        </is>
      </c>
      <c r="F14" s="11" t="inlineStr">
        <is>
          <t>얼마인지에 따라 다르지.</t>
        </is>
      </c>
      <c r="G14" s="5">
        <f>HYPERLINK("https://www.youtube.com/watch?v=3BnJMcgFObE", "영상 보기 ▶")</f>
        <v/>
      </c>
    </row>
    <row r="15" ht="26" customHeight="1">
      <c r="A15" s="6" t="n">
        <v>1914</v>
      </c>
      <c r="B15" s="7" t="inlineStr">
        <is>
          <t>실전회화/표현</t>
        </is>
      </c>
      <c r="C15" s="8" t="inlineStr">
        <is>
          <t>be up to ~</t>
        </is>
      </c>
      <c r="D15" s="12" t="inlineStr">
        <is>
          <t>를 해낼 수 있다, 감당할 수 있다</t>
        </is>
      </c>
      <c r="E15" s="12" t="inlineStr">
        <is>
          <t>I know I'm up to the job. I'm just not up for it.</t>
        </is>
      </c>
      <c r="F15" s="12" t="inlineStr">
        <is>
          <t>내가 해낼 수 있다는 건 알지만 하고 싶지 않을 뿐이야.</t>
        </is>
      </c>
      <c r="G15" s="9">
        <f>HYPERLINK("https://www.youtube.com/watch?v=3BnJMcgFObE", "영상 보기 ▶")</f>
        <v/>
      </c>
    </row>
    <row r="16" ht="26" customHeight="1">
      <c r="A16" s="2" t="n">
        <v>1915</v>
      </c>
      <c r="B16" s="3" t="inlineStr">
        <is>
          <t>실전회화/표현</t>
        </is>
      </c>
      <c r="C16" s="4" t="inlineStr">
        <is>
          <t>What's there to ~? ~</t>
        </is>
      </c>
      <c r="D16" s="11" t="inlineStr">
        <is>
          <t>할게 뭐 있어?</t>
        </is>
      </c>
      <c r="E16" s="11" t="inlineStr">
        <is>
          <t>What's there to think about?</t>
        </is>
      </c>
      <c r="F16" s="11" t="inlineStr">
        <is>
          <t>생각해볼게 뭐 있어?</t>
        </is>
      </c>
      <c r="G16" s="5">
        <f>HYPERLINK("https://www.youtube.com/watch?v=3BnJMcgFObE", "영상 보기 ▶")</f>
        <v/>
      </c>
    </row>
    <row r="17" ht="26" customHeight="1">
      <c r="A17" s="6" t="n">
        <v>1916</v>
      </c>
      <c r="B17" s="7" t="inlineStr">
        <is>
          <t>실전회화/표현</t>
        </is>
      </c>
      <c r="C17" s="8" t="inlineStr">
        <is>
          <t>given ~</t>
        </is>
      </c>
      <c r="D17" s="12" t="inlineStr">
        <is>
          <t>를 고려하면</t>
        </is>
      </c>
      <c r="E17" s="12" t="inlineStr">
        <is>
          <t>Given the circumstances, we should extend the deadline.</t>
        </is>
      </c>
      <c r="F17" s="12" t="inlineStr">
        <is>
          <t>상황을 고려했을 때, 마감일을 연장하는게 좋겠어.</t>
        </is>
      </c>
      <c r="G17" s="9">
        <f>HYPERLINK("https://www.youtube.com/watch?v=3BnJMcgFObE", "영상 보기 ▶")</f>
        <v/>
      </c>
    </row>
    <row r="18" ht="26" customHeight="1">
      <c r="A18" s="2" t="n">
        <v>1917</v>
      </c>
      <c r="B18" s="3" t="inlineStr">
        <is>
          <t>실전회화/표현</t>
        </is>
      </c>
      <c r="C18" s="4" t="inlineStr">
        <is>
          <t>given</t>
        </is>
      </c>
      <c r="D18" s="11" t="inlineStr">
        <is>
          <t>특정한, 정해진</t>
        </is>
      </c>
      <c r="E18" s="11" t="inlineStr">
        <is>
          <t>I can only spend a given amount of money.</t>
        </is>
      </c>
      <c r="F18" s="11" t="inlineStr">
        <is>
          <t>딱 정해진 금액만 쓸 수 있어.</t>
        </is>
      </c>
      <c r="G18" s="5">
        <f>HYPERLINK("https://www.youtube.com/watch?v=3BnJMcgFObE", "영상 보기 ▶")</f>
        <v/>
      </c>
    </row>
    <row r="19" ht="26" customHeight="1">
      <c r="A19" s="6" t="n">
        <v>1918</v>
      </c>
      <c r="B19" s="7" t="inlineStr">
        <is>
          <t>의견/의사결정</t>
        </is>
      </c>
      <c r="C19" s="8" t="inlineStr">
        <is>
          <t>go along with ~</t>
        </is>
      </c>
      <c r="D19" s="12" t="inlineStr">
        <is>
          <t>에 찬성/동의하다, 동조하다</t>
        </is>
      </c>
      <c r="E19" s="12" t="inlineStr">
        <is>
          <t>He brought up the idea, and we went along with it.</t>
        </is>
      </c>
      <c r="F19" s="12" t="inlineStr">
        <is>
          <t>그가 그 아이디어를 꺼내서 그냥 우리가 따른거야.</t>
        </is>
      </c>
      <c r="G19" s="9">
        <f>HYPERLINK("https://www.youtube.com/watch?v=3BnJMcgFObE", "영상 보기 ▶")</f>
        <v/>
      </c>
    </row>
    <row r="20" ht="26" customHeight="1">
      <c r="A20" s="2" t="n">
        <v>1919</v>
      </c>
      <c r="B20" s="3" t="inlineStr">
        <is>
          <t>실전회화/표현</t>
        </is>
      </c>
      <c r="C20" s="4" t="inlineStr">
        <is>
          <t>I got you.</t>
        </is>
      </c>
      <c r="D20" s="11" t="inlineStr">
        <is>
          <t>내가 도와줄게, 걱정 마</t>
        </is>
      </c>
      <c r="E20" s="11" t="inlineStr">
        <is>
          <t>A: I forgot to bring my wallet.</t>
        </is>
      </c>
      <c r="F20" s="11" t="inlineStr">
        <is>
          <t>지갑을 깜빡했네.</t>
        </is>
      </c>
      <c r="G20" s="5">
        <f>HYPERLINK("https://www.youtube.com/watch?v=3BnJMcgFObE", "영상 보기 ▶")</f>
        <v/>
      </c>
    </row>
    <row r="21" ht="26" customHeight="1">
      <c r="A21" s="6" t="n">
        <v>1920</v>
      </c>
      <c r="B21" s="7" t="inlineStr">
        <is>
          <t>실전회화/표현</t>
        </is>
      </c>
      <c r="C21" s="8" t="inlineStr">
        <is>
          <t>engagement</t>
        </is>
      </c>
      <c r="D21" s="12" t="inlineStr">
        <is>
          <t>약속</t>
        </is>
      </c>
      <c r="E21" s="12" t="inlineStr">
        <is>
          <t>I have a prior engagement.</t>
        </is>
      </c>
      <c r="F21" s="12" t="inlineStr">
        <is>
          <t>선약이 있어.</t>
        </is>
      </c>
      <c r="G21" s="9">
        <f>HYPERLINK("https://www.youtube.com/watch?v=3BnJMcgFObE", "영상 보기 ▶")</f>
        <v/>
      </c>
    </row>
    <row r="22" ht="26" customHeight="1">
      <c r="A22" s="2" t="n">
        <v>1921</v>
      </c>
      <c r="B22" s="3" t="inlineStr">
        <is>
          <t>공감/감정</t>
        </is>
      </c>
      <c r="C22" s="4" t="inlineStr">
        <is>
          <t>escalate</t>
        </is>
      </c>
      <c r="D22" s="11" t="inlineStr">
        <is>
          <t>확대/악화되다, 심각해지다</t>
        </is>
      </c>
      <c r="E22" s="11" t="inlineStr">
        <is>
          <t>I'm trying not to escalate the situation. It's bad enough as it is.</t>
        </is>
      </c>
      <c r="F22" s="11" t="inlineStr">
        <is>
          <t>지금 이대로도 상황이 충분이 안 좋아서 더 악화시키지 않으려 노력중이야.</t>
        </is>
      </c>
      <c r="G22" s="5">
        <f>HYPERLINK("https://www.youtube.com/watch?v=3BnJMcgFObE", "영상 보기 ▶")</f>
        <v/>
      </c>
    </row>
    <row r="23" ht="26" customHeight="1">
      <c r="A23" s="6" t="n">
        <v>1922</v>
      </c>
      <c r="B23" s="7" t="inlineStr">
        <is>
          <t>비즈니스/업무</t>
        </is>
      </c>
      <c r="C23" s="8" t="inlineStr">
        <is>
          <t>escalate</t>
        </is>
      </c>
      <c r="D23" s="12" t="inlineStr">
        <is>
          <t>더 높은 사람에게 넘기다, 보고하다</t>
        </is>
      </c>
      <c r="E23" s="12" t="inlineStr">
        <is>
          <t>We should escalate this issue to the manager.</t>
        </is>
      </c>
      <c r="F23" s="12" t="inlineStr">
        <is>
          <t>이 문제는 매니저에게 얘기하는게 좋겠어.</t>
        </is>
      </c>
      <c r="G23" s="9">
        <f>HYPERLINK("https://www.youtube.com/watch?v=3BnJMcgFObE", "영상 보기 ▶")</f>
        <v/>
      </c>
    </row>
    <row r="24" ht="26" customHeight="1">
      <c r="A24" s="2" t="n">
        <v>1923</v>
      </c>
      <c r="B24" s="3" t="inlineStr">
        <is>
          <t>실전회화/표현</t>
        </is>
      </c>
      <c r="C24" s="4" t="inlineStr">
        <is>
          <t>drop</t>
        </is>
      </c>
      <c r="D24" s="11" t="inlineStr">
        <is>
          <t>그만하다, 넘어가다</t>
        </is>
      </c>
      <c r="E24" s="11" t="inlineStr">
        <is>
          <t>I can't just drop everything and start working on this.</t>
        </is>
      </c>
      <c r="F24" s="11" t="inlineStr">
        <is>
          <t>모든 걸 다 중단하고 이걸 시작할 수는 없어.</t>
        </is>
      </c>
      <c r="G24" s="5">
        <f>HYPERLINK("https://www.youtube.com/watch?v=3BnJMcgFObE", "영상 보기 ▶")</f>
        <v/>
      </c>
    </row>
    <row r="25" ht="26" customHeight="1">
      <c r="A25" s="6" t="n">
        <v>1924</v>
      </c>
      <c r="B25" s="7" t="inlineStr">
        <is>
          <t>실전회화/표현</t>
        </is>
      </c>
      <c r="C25" s="8" t="inlineStr">
        <is>
          <t>drop a hint</t>
        </is>
      </c>
      <c r="D25" s="12" t="inlineStr">
        <is>
          <t>힌트를 주다, 간접적으로 말하다</t>
        </is>
      </c>
      <c r="E25" s="12" t="inlineStr">
        <is>
          <t>I tried to drop a hint, but he didn't notice.</t>
        </is>
      </c>
      <c r="F25" s="12" t="inlineStr">
        <is>
          <t>힌트를 주려고 했는데 눈치를 못 채더라고.</t>
        </is>
      </c>
      <c r="G25" s="9">
        <f>HYPERLINK("https://www.youtube.com/watch?v=3BnJMcgFObE", "영상 보기 ▶")</f>
        <v/>
      </c>
    </row>
    <row r="26" ht="26" customHeight="1">
      <c r="A26" s="2" t="n">
        <v>1925</v>
      </c>
      <c r="B26" s="3" t="inlineStr">
        <is>
          <t>실전회화/표현</t>
        </is>
      </c>
      <c r="C26" s="4" t="inlineStr">
        <is>
          <t>intrigue</t>
        </is>
      </c>
      <c r="D26" s="11" t="inlineStr">
        <is>
          <t>강한 흥미/호기심을 불러일으키다</t>
        </is>
      </c>
      <c r="E26" s="11" t="inlineStr">
        <is>
          <t>I wasn't expecting that. I'm intrigued.</t>
        </is>
      </c>
      <c r="F26" s="11" t="inlineStr">
        <is>
          <t>그건 기대 안했는데 흥미롭네요.</t>
        </is>
      </c>
      <c r="G26" s="5">
        <f>HYPERLINK("https://www.youtube.com/watch?v=3BnJMcgFObE", "영상 보기 ▶")</f>
        <v/>
      </c>
    </row>
    <row r="27" ht="26" customHeight="1">
      <c r="A27" s="6" t="n">
        <v>1926</v>
      </c>
      <c r="B27" s="7" t="inlineStr">
        <is>
          <t>실전회화/표현</t>
        </is>
      </c>
      <c r="C27" s="8" t="inlineStr">
        <is>
          <t>We go way back.</t>
        </is>
      </c>
      <c r="D27" s="12" t="inlineStr">
        <is>
          <t>우리 알고 지낸 지 정말 오래됐어 (오랜 죽마고우야)</t>
        </is>
      </c>
      <c r="E27" s="12" t="inlineStr">
        <is>
          <t>John and I go way back; we went to elementary school together.</t>
        </is>
      </c>
      <c r="F27" s="12" t="inlineStr">
        <is>
          <t>존과 나는 알고 지낸 지 정말 오래됐어, 초등학교 동창이거든.</t>
        </is>
      </c>
      <c r="G27" s="9">
        <f>HYPERLINK("https://www.youtube.com/watch?v=3BnJMcgFObE", "영상 보기 ▶")</f>
        <v/>
      </c>
    </row>
    <row r="28" ht="26" customHeight="1">
      <c r="A28" s="2" t="n">
        <v>1927</v>
      </c>
      <c r="B28" s="3" t="inlineStr">
        <is>
          <t>의견/의사결정</t>
        </is>
      </c>
      <c r="C28" s="4" t="inlineStr">
        <is>
          <t>take someone back</t>
        </is>
      </c>
      <c r="D28" s="11" t="inlineStr">
        <is>
          <t>옛날 생각이 나게 하다</t>
        </is>
      </c>
      <c r="E28" s="11" t="inlineStr">
        <is>
          <t>This song really takes me back.</t>
        </is>
      </c>
      <c r="F28" s="11" t="inlineStr">
        <is>
          <t>이 노래를 들으니 옛날 생각이 난다.</t>
        </is>
      </c>
      <c r="G28" s="5">
        <f>HYPERLINK("https://www.youtube.com/watch?v=3BnJMcgFObE", "영상 보기 ▶")</f>
        <v/>
      </c>
    </row>
    <row r="29" ht="26" customHeight="1">
      <c r="A29" s="6" t="n">
        <v>1928</v>
      </c>
      <c r="B29" s="7" t="inlineStr">
        <is>
          <t>실전회화/표현</t>
        </is>
      </c>
      <c r="C29" s="8" t="inlineStr">
        <is>
          <t>take back</t>
        </is>
      </c>
      <c r="D29" s="12" t="inlineStr">
        <is>
          <t>취소/철회하다</t>
        </is>
      </c>
      <c r="E29" s="12" t="inlineStr">
        <is>
          <t>Take it back.</t>
        </is>
      </c>
      <c r="F29" s="12" t="inlineStr">
        <is>
          <t>그 말 취소해.</t>
        </is>
      </c>
      <c r="G29" s="9">
        <f>HYPERLINK("https://www.youtube.com/watch?v=3BnJMcgFObE", "영상 보기 ▶")</f>
        <v/>
      </c>
    </row>
    <row r="30" ht="26" customHeight="1">
      <c r="A30" s="2" t="n">
        <v>1929</v>
      </c>
      <c r="B30" s="3" t="inlineStr">
        <is>
          <t>실전회화/표현</t>
        </is>
      </c>
      <c r="C30" s="4" t="inlineStr">
        <is>
          <t>shy</t>
        </is>
      </c>
      <c r="D30" s="11" t="inlineStr">
        <is>
          <t>부끄러운</t>
        </is>
      </c>
      <c r="E30" s="11" t="inlineStr">
        <is>
          <t>I tend to be shy when I first meet people.</t>
        </is>
      </c>
      <c r="F30" s="11" t="inlineStr">
        <is>
          <t>저는 낯을 가리는 편이에요.</t>
        </is>
      </c>
      <c r="G30" s="5">
        <f>HYPERLINK("https://www.youtube.com/watch?v=3BnJMcgFObE", "영상 보기 ▶")</f>
        <v/>
      </c>
    </row>
    <row r="31" ht="26" customHeight="1">
      <c r="A31" s="6" t="n">
        <v>1930</v>
      </c>
      <c r="B31" s="7" t="inlineStr">
        <is>
          <t>실전회화/표현</t>
        </is>
      </c>
      <c r="C31" s="8" t="inlineStr">
        <is>
          <t>shy of</t>
        </is>
      </c>
      <c r="D31" s="12" t="inlineStr">
        <is>
          <t>부족한, 모자라는</t>
        </is>
      </c>
      <c r="E31" s="12" t="inlineStr">
        <is>
          <t>A: Did she pass the test?</t>
        </is>
      </c>
      <c r="F31" s="12" t="inlineStr">
        <is>
          <t>걔 시험 통과했어?</t>
        </is>
      </c>
      <c r="G31" s="9">
        <f>HYPERLINK("https://www.youtube.com/watch?v=3BnJMcgFObE", "영상 보기 ▶")</f>
        <v/>
      </c>
    </row>
    <row r="32" ht="26" customHeight="1">
      <c r="A32" s="2" t="n">
        <v>1931</v>
      </c>
      <c r="B32" s="3" t="inlineStr">
        <is>
          <t>실전회화/표현</t>
        </is>
      </c>
      <c r="C32" s="4" t="inlineStr">
        <is>
          <t>reassuring</t>
        </is>
      </c>
      <c r="D32" s="11" t="inlineStr">
        <is>
          <t>안심시키는, 걱정/불안감을 없애주는</t>
        </is>
      </c>
      <c r="E32" s="11" t="inlineStr">
        <is>
          <t>Thank you. That's very reassuring.</t>
        </is>
      </c>
      <c r="F32" s="11" t="inlineStr">
        <is>
          <t>고마워. 그 말을 들으니 안심이 된다.</t>
        </is>
      </c>
      <c r="G32" s="5">
        <f>HYPERLINK("https://www.youtube.com/watch?v=3BnJMcgFObE", "영상 보기 ▶")</f>
        <v/>
      </c>
    </row>
    <row r="33" ht="26" customHeight="1">
      <c r="A33" s="6" t="n">
        <v>1932</v>
      </c>
      <c r="B33" s="7" t="inlineStr">
        <is>
          <t>실전회화/표현</t>
        </is>
      </c>
      <c r="C33" s="8" t="inlineStr">
        <is>
          <t>handpick</t>
        </is>
      </c>
      <c r="D33" s="12" t="inlineStr">
        <is>
          <t>엄선하다, 직접 고르다</t>
        </is>
      </c>
      <c r="E33" s="12" t="inlineStr">
        <is>
          <t>A: He handpicked his team.</t>
        </is>
      </c>
      <c r="F33" s="12" t="inlineStr">
        <is>
          <t>그가 팀원 한명 한명 직접 뽑았어.</t>
        </is>
      </c>
      <c r="G33" s="9">
        <f>HYPERLINK("https://www.youtube.com/watch?v=3BnJMcgFObE", "영상 보기 ▶")</f>
        <v/>
      </c>
    </row>
    <row r="34" ht="26" customHeight="1">
      <c r="A34" s="2" t="n">
        <v>1933</v>
      </c>
      <c r="B34" s="3" t="inlineStr">
        <is>
          <t>실전회화/표현</t>
        </is>
      </c>
      <c r="C34" s="4" t="inlineStr">
        <is>
          <t>It speaks volumes.</t>
        </is>
      </c>
      <c r="D34" s="11" t="inlineStr">
        <is>
          <t>그건 많은 걸 말해줘.</t>
        </is>
      </c>
      <c r="E34" s="11" t="inlineStr">
        <is>
          <t>A: Have you heard from him?</t>
        </is>
      </c>
      <c r="F34" s="11" t="inlineStr">
        <is>
          <t>그에게 연락온거 있어?</t>
        </is>
      </c>
      <c r="G34" s="5">
        <f>HYPERLINK("https://www.youtube.com/watch?v=3BnJMcgFObE", "영상 보기 ▶")</f>
        <v/>
      </c>
    </row>
    <row r="35" ht="26" customHeight="1">
      <c r="A35" s="6" t="n">
        <v>1934</v>
      </c>
      <c r="B35" s="7" t="inlineStr">
        <is>
          <t>공감/감정</t>
        </is>
      </c>
      <c r="C35" s="8" t="inlineStr">
        <is>
          <t>give you a better idea of ~</t>
        </is>
      </c>
      <c r="D35" s="12" t="inlineStr">
        <is>
          <t>에 대해 더 잘 이해/파악하게 해주다</t>
        </is>
      </c>
      <c r="E35" s="12" t="inlineStr">
        <is>
          <t>This video will give you a better idea of what I mean.</t>
        </is>
      </c>
      <c r="F35" s="12" t="inlineStr">
        <is>
          <t>이 영상을 보시면 제가 말하고자 하는 바를 더 잘 이해하실 겁니다.</t>
        </is>
      </c>
      <c r="G35" s="9">
        <f>HYPERLINK("https://www.youtube.com/watch?v=3BnJMcgFObE", "영상 보기 ▶")</f>
        <v/>
      </c>
    </row>
    <row r="36" ht="26" customHeight="1">
      <c r="A36" s="2" t="n">
        <v>1935</v>
      </c>
      <c r="B36" s="3" t="inlineStr">
        <is>
          <t>실전회화/표현</t>
        </is>
      </c>
      <c r="C36" s="4" t="inlineStr">
        <is>
          <t>stock up</t>
        </is>
      </c>
      <c r="D36" s="11" t="inlineStr">
        <is>
          <t>쟁이다</t>
        </is>
      </c>
      <c r="E36" s="11" t="inlineStr">
        <is>
          <t>We should stock up. I mean, it's a steal.</t>
        </is>
      </c>
      <c r="F36" s="11" t="inlineStr">
        <is>
          <t>쟁여 놔야지. 완전 싸잖아.</t>
        </is>
      </c>
      <c r="G36" s="5">
        <f>HYPERLINK("https://www.youtube.com/watch?v=3BnJMcgFObE", "영상 보기 ▶")</f>
        <v/>
      </c>
    </row>
    <row r="37" ht="26" customHeight="1">
      <c r="A37" s="6" t="n">
        <v>1936</v>
      </c>
      <c r="B37" s="7" t="inlineStr">
        <is>
          <t>실전회화/표현</t>
        </is>
      </c>
      <c r="C37" s="8" t="inlineStr">
        <is>
          <t>on the spot</t>
        </is>
      </c>
      <c r="D37" s="12" t="inlineStr">
        <is>
          <t>즉석에서, 그 자리에서 바로</t>
        </is>
      </c>
      <c r="E37" s="12" t="inlineStr">
        <is>
          <t>It was on sale, so I bought it on the spot.</t>
        </is>
      </c>
      <c r="F37" s="12" t="inlineStr">
        <is>
          <t>세일하길래 바로 샀지.</t>
        </is>
      </c>
      <c r="G37" s="9">
        <f>HYPERLINK("https://www.youtube.com/watch?v=3BnJMcgFObE", "영상 보기 ▶")</f>
        <v/>
      </c>
    </row>
    <row r="38" ht="26" customHeight="1">
      <c r="A38" s="2" t="n">
        <v>1937</v>
      </c>
      <c r="B38" s="3" t="inlineStr">
        <is>
          <t>실전회화/표현</t>
        </is>
      </c>
      <c r="C38" s="4" t="inlineStr">
        <is>
          <t>spot on</t>
        </is>
      </c>
      <c r="D38" s="11" t="inlineStr">
        <is>
          <t>딱 맞는, 정확한</t>
        </is>
      </c>
      <c r="E38" s="11" t="inlineStr">
        <is>
          <t>Your advice was spot on.</t>
        </is>
      </c>
      <c r="F38" s="11" t="inlineStr">
        <is>
          <t>네 충고가 정말 완벽했어.</t>
        </is>
      </c>
      <c r="G38" s="5">
        <f>HYPERLINK("https://www.youtube.com/watch?v=3BnJMcgFObE", "영상 보기 ▶")</f>
        <v/>
      </c>
    </row>
    <row r="39" ht="26" customHeight="1">
      <c r="A39" s="6" t="n">
        <v>1938</v>
      </c>
      <c r="B39" s="7" t="inlineStr">
        <is>
          <t>실전회화/표현</t>
        </is>
      </c>
      <c r="C39" s="8" t="inlineStr">
        <is>
          <t>obvious</t>
        </is>
      </c>
      <c r="D39" s="12" t="inlineStr">
        <is>
          <t>분명한, 알기 쉬운</t>
        </is>
      </c>
      <c r="E39" s="12" t="inlineStr">
        <is>
          <t>He made it obvious that he was not happy.</t>
        </is>
      </c>
      <c r="F39" s="12" t="inlineStr">
        <is>
          <t>그가 불만족스럽다는 걸 확실히 드러내더라고.</t>
        </is>
      </c>
      <c r="G39" s="9">
        <f>HYPERLINK("https://www.youtube.com/watch?v=3BnJMcgFObE", "영상 보기 ▶")</f>
        <v/>
      </c>
    </row>
    <row r="40" ht="26" customHeight="1">
      <c r="A40" s="2" t="n">
        <v>1939</v>
      </c>
      <c r="B40" s="3" t="inlineStr">
        <is>
          <t>실전회화/표현</t>
        </is>
      </c>
      <c r="C40" s="4" t="inlineStr">
        <is>
          <t>obvious</t>
        </is>
      </c>
      <c r="D40" s="11" t="inlineStr">
        <is>
          <t>확실한, 당연한</t>
        </is>
      </c>
      <c r="E40" s="11" t="inlineStr">
        <is>
          <t>Mark is the obvious choice for the job.</t>
        </is>
      </c>
      <c r="F40" s="11" t="inlineStr">
        <is>
          <t>누가 생각해도 그 자리엔 Mark가 적임자야.</t>
        </is>
      </c>
      <c r="G40" s="5">
        <f>HYPERLINK("https://www.youtube.com/watch?v=3BnJMcgFObE", "영상 보기 ▶")</f>
        <v/>
      </c>
    </row>
    <row r="41" ht="26" customHeight="1">
      <c r="A41" s="6" t="n">
        <v>1940</v>
      </c>
      <c r="B41" s="7" t="inlineStr">
        <is>
          <t>실전회화/표현</t>
        </is>
      </c>
      <c r="C41" s="8" t="inlineStr">
        <is>
          <t>crystal clear</t>
        </is>
      </c>
      <c r="D41" s="12" t="inlineStr">
        <is>
          <t>분명한, 명백한</t>
        </is>
      </c>
      <c r="E41" s="12" t="inlineStr">
        <is>
          <t>My memory is crystal clear.</t>
        </is>
      </c>
      <c r="F41" s="12" t="inlineStr">
        <is>
          <t>난 똑똑히 기억해.</t>
        </is>
      </c>
      <c r="G41" s="9">
        <f>HYPERLINK("https://www.youtube.com/watch?v=3BnJMcgFObE", "영상 보기 ▶")</f>
        <v/>
      </c>
    </row>
    <row r="42" ht="26" customHeight="1">
      <c r="A42" s="2" t="n">
        <v>1941</v>
      </c>
      <c r="B42" s="3" t="inlineStr">
        <is>
          <t>실전회화/표현</t>
        </is>
      </c>
      <c r="C42" s="4" t="inlineStr">
        <is>
          <t>It was a steal.</t>
        </is>
      </c>
      <c r="D42" s="11" t="inlineStr">
        <is>
          <t>완전 거저나 다름없었어, 엄청 싸게 거저 샀어</t>
        </is>
      </c>
      <c r="E42" s="11" t="inlineStr">
        <is>
          <t>I got this laptop on Black Friday; it was an absolute steal!</t>
        </is>
      </c>
      <c r="F42" s="11" t="inlineStr">
        <is>
          <t>블랙프라이데이에 이 노트북 샀는데, 정말 완전 거저 주운 격이었어!</t>
        </is>
      </c>
      <c r="G42" s="5">
        <f>HYPERLINK("https://www.youtube.com/watch?v=3BnJMcgFObE", "영상 보기 ▶")</f>
        <v/>
      </c>
    </row>
    <row r="43" ht="26" customHeight="1">
      <c r="A43" s="6" t="n">
        <v>1942</v>
      </c>
      <c r="B43" s="7" t="inlineStr">
        <is>
          <t>실전회화/표현</t>
        </is>
      </c>
      <c r="C43" s="8" t="inlineStr">
        <is>
          <t>hunch</t>
        </is>
      </c>
      <c r="D43" s="12" t="inlineStr">
        <is>
          <t>예감, 직감</t>
        </is>
      </c>
      <c r="E43" s="12" t="inlineStr">
        <is>
          <t>A: What makes you say that?</t>
        </is>
      </c>
      <c r="F43" s="12" t="inlineStr">
        <is>
          <t>왜 그렇게 말하는 거야?</t>
        </is>
      </c>
      <c r="G43" s="9">
        <f>HYPERLINK("https://www.youtube.com/watch?v=3BnJMcgFObE", "영상 보기 ▶")</f>
        <v/>
      </c>
    </row>
    <row r="44" ht="26" customHeight="1">
      <c r="A44" s="2" t="n">
        <v>1943</v>
      </c>
      <c r="B44" s="3" t="inlineStr">
        <is>
          <t>실전회화/표현</t>
        </is>
      </c>
      <c r="C44" s="4" t="inlineStr">
        <is>
          <t>gut</t>
        </is>
      </c>
      <c r="D44" s="11" t="inlineStr">
        <is>
          <t>직감 (hunch보다 강한 느낌)</t>
        </is>
      </c>
      <c r="E44" s="11" t="inlineStr">
        <is>
          <t>What does your gut say?</t>
        </is>
      </c>
      <c r="F44" s="11" t="inlineStr">
        <is>
          <t>네 느낌상 어떻게 해야할 것 같아?</t>
        </is>
      </c>
      <c r="G44" s="5">
        <f>HYPERLINK("https://www.youtube.com/watch?v=3BnJMcgFObE", "영상 보기 ▶")</f>
        <v/>
      </c>
    </row>
    <row r="45" ht="26" customHeight="1">
      <c r="A45" s="6" t="n">
        <v>1944</v>
      </c>
      <c r="B45" s="7" t="inlineStr">
        <is>
          <t>실전회화/표현</t>
        </is>
      </c>
      <c r="C45" s="8" t="inlineStr">
        <is>
          <t>guts</t>
        </is>
      </c>
      <c r="D45" s="12" t="inlineStr">
        <is>
          <t>배짱</t>
        </is>
      </c>
      <c r="E45" s="12" t="inlineStr">
        <is>
          <t>He doesn't have the guts to do that.</t>
        </is>
      </c>
      <c r="F45" s="12" t="inlineStr">
        <is>
          <t>걘 그럴 배짱이 없어.</t>
        </is>
      </c>
      <c r="G45" s="9">
        <f>HYPERLINK("https://www.youtube.com/watch?v=3BnJMcgFObE", "영상 보기 ▶")</f>
        <v/>
      </c>
    </row>
    <row r="46" ht="26" customHeight="1">
      <c r="A46" s="2" t="n">
        <v>1945</v>
      </c>
      <c r="B46" s="3" t="inlineStr">
        <is>
          <t>실전회화/표현</t>
        </is>
      </c>
      <c r="C46" s="4" t="inlineStr">
        <is>
          <t>step back</t>
        </is>
      </c>
      <c r="D46" s="11" t="inlineStr">
        <is>
          <t>잠시 나가다</t>
        </is>
      </c>
      <c r="E46" s="11" t="inlineStr">
        <is>
          <t>He just stepped out. May I take a message?</t>
        </is>
      </c>
      <c r="F46" s="11" t="inlineStr">
        <is>
          <t>방금 나가셨는데, 말씀 전달해드릴까요?</t>
        </is>
      </c>
      <c r="G46" s="5">
        <f>HYPERLINK("https://www.youtube.com/watch?v=3BnJMcgFObE", "영상 보기 ▶")</f>
        <v/>
      </c>
    </row>
    <row r="47" ht="26" customHeight="1">
      <c r="A47" s="6" t="n">
        <v>1946</v>
      </c>
      <c r="B47" s="7" t="inlineStr">
        <is>
          <t>실전회화/표현</t>
        </is>
      </c>
      <c r="C47" s="8" t="inlineStr">
        <is>
          <t>step out of one's comfort zone</t>
        </is>
      </c>
      <c r="D47" s="12" t="inlineStr">
        <is>
          <t>안전지대에서 벗어나다</t>
        </is>
      </c>
      <c r="E47" s="12" t="inlineStr">
        <is>
          <t>You gotta step out of your comfort zone.</t>
        </is>
      </c>
      <c r="F47" s="12" t="inlineStr">
        <is>
          <t>용기내어 도전해야 해.</t>
        </is>
      </c>
      <c r="G47" s="9">
        <f>HYPERLINK("https://www.youtube.com/watch?v=3BnJMcgFObE", "영상 보기 ▶")</f>
        <v/>
      </c>
    </row>
    <row r="48" ht="26" customHeight="1">
      <c r="A48" s="2" t="n">
        <v>1947</v>
      </c>
      <c r="B48" s="3" t="inlineStr">
        <is>
          <t>실전회화/표현</t>
        </is>
      </c>
      <c r="C48" s="4" t="inlineStr">
        <is>
          <t>rhetorical question</t>
        </is>
      </c>
      <c r="D48" s="11" t="inlineStr">
        <is>
          <t>수사 의문문</t>
        </is>
      </c>
      <c r="E48" s="11" t="inlineStr">
        <is>
          <t>It's not a rhetorical question.</t>
        </is>
      </c>
      <c r="F48" s="11" t="inlineStr">
        <is>
          <t>대답들으려고 물어보는 거야.</t>
        </is>
      </c>
      <c r="G48" s="5">
        <f>HYPERLINK("https://www.youtube.com/watch?v=3BnJMcgFObE", "영상 보기 ▶")</f>
        <v/>
      </c>
    </row>
    <row r="49" ht="26" customHeight="1">
      <c r="A49" s="6" t="n">
        <v>1948</v>
      </c>
      <c r="B49" s="7" t="inlineStr">
        <is>
          <t>실전회화/표현</t>
        </is>
      </c>
      <c r="C49" s="8" t="inlineStr">
        <is>
          <t>step in</t>
        </is>
      </c>
      <c r="D49" s="12" t="inlineStr">
        <is>
          <t>개입하다, 나서다</t>
        </is>
      </c>
      <c r="E49" s="12" t="inlineStr">
        <is>
          <t>If you want me to step in, just let me know.</t>
        </is>
      </c>
      <c r="F49" s="12" t="inlineStr">
        <is>
          <t>내가 나서길 원한다면 알려줘.</t>
        </is>
      </c>
      <c r="G49" s="9">
        <f>HYPERLINK("https://www.youtube.com/watch?v=3BnJMcgFObE", "영상 보기 ▶")</f>
        <v/>
      </c>
    </row>
    <row r="50" ht="26" customHeight="1">
      <c r="A50" s="2" t="n">
        <v>1949</v>
      </c>
      <c r="B50" s="3" t="inlineStr">
        <is>
          <t>실전회화/표현</t>
        </is>
      </c>
      <c r="C50" s="4" t="inlineStr">
        <is>
          <t>step up</t>
        </is>
      </c>
      <c r="D50" s="11" t="inlineStr">
        <is>
          <t>더 적극적으로 나서다, 책임을 다하다</t>
        </is>
      </c>
      <c r="E50" s="11" t="inlineStr">
        <is>
          <t>This is a huge opportunity. We need to step up.</t>
        </is>
      </c>
      <c r="F50" s="11" t="inlineStr">
        <is>
          <t>진짜 큰 기회야. 적극적으로 나서야 해.</t>
        </is>
      </c>
      <c r="G50" s="5">
        <f>HYPERLINK("https://www.youtube.com/watch?v=3BnJMcgFObE", "영상 보기 ▶")</f>
        <v/>
      </c>
    </row>
    <row r="51" ht="26" customHeight="1">
      <c r="A51" s="6" t="n">
        <v>1950</v>
      </c>
      <c r="B51" s="7" t="inlineStr">
        <is>
          <t>실전회화/표현</t>
        </is>
      </c>
      <c r="C51" s="8" t="inlineStr">
        <is>
          <t>baby step</t>
        </is>
      </c>
      <c r="D51" s="12" t="inlineStr">
        <is>
          <t>작은 시작/발걸음</t>
        </is>
      </c>
      <c r="E51" s="12" t="inlineStr">
        <is>
          <t>No rush. Baby steps are fine.</t>
        </is>
      </c>
      <c r="F51" s="12" t="inlineStr">
        <is>
          <t>천천히 차근차근 괜찮아.</t>
        </is>
      </c>
      <c r="G51" s="9">
        <f>HYPERLINK("https://www.youtube.com/watch?v=3BnJMcgFObE", "영상 보기 ▶")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8" customWidth="1" min="3" max="3"/>
    <col width="44.3" customWidth="1" min="4" max="4"/>
    <col width="69" customWidth="1" min="5" max="5"/>
    <col width="57.5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1951</v>
      </c>
      <c r="B2" s="3" t="inlineStr">
        <is>
          <t>공감/감정</t>
        </is>
      </c>
      <c r="C2" s="4" t="inlineStr">
        <is>
          <t>grasp</t>
        </is>
      </c>
      <c r="D2" s="11" t="inlineStr">
        <is>
          <t>이해하다, 파악하다</t>
        </is>
      </c>
      <c r="E2" s="11" t="inlineStr">
        <is>
          <t>It’s hard to grasp why he did that.</t>
        </is>
      </c>
      <c r="F2" s="11" t="inlineStr">
        <is>
          <t>걔가 왜 그랬는지 이해하기 힘들어.</t>
        </is>
      </c>
      <c r="G2" s="5">
        <f>HYPERLINK("https://www.youtube.com/watch?v=PsBVUFrTv8Y", "영상 보기 ▶")</f>
        <v/>
      </c>
    </row>
    <row r="3" ht="26" customHeight="1">
      <c r="A3" s="6" t="n">
        <v>1952</v>
      </c>
      <c r="B3" s="7" t="inlineStr">
        <is>
          <t>실전회화/표현</t>
        </is>
      </c>
      <c r="C3" s="8" t="inlineStr">
        <is>
          <t>get by</t>
        </is>
      </c>
      <c r="D3" s="12" t="inlineStr">
        <is>
          <t>그럭저럭 해나가다</t>
        </is>
      </c>
      <c r="E3" s="12" t="inlineStr">
        <is>
          <t>It's challenging, but we'll get by.</t>
        </is>
      </c>
      <c r="F3" s="12" t="inlineStr">
        <is>
          <t>힘들지만 어떻게든 해낼거야.</t>
        </is>
      </c>
      <c r="G3" s="9">
        <f>HYPERLINK("https://www.youtube.com/watch?v=PsBVUFrTv8Y", "영상 보기 ▶")</f>
        <v/>
      </c>
    </row>
    <row r="4" ht="26" customHeight="1">
      <c r="A4" s="2" t="n">
        <v>1953</v>
      </c>
      <c r="B4" s="3" t="inlineStr">
        <is>
          <t>실전회화/표현</t>
        </is>
      </c>
      <c r="C4" s="4" t="inlineStr">
        <is>
          <t>leverage</t>
        </is>
      </c>
      <c r="D4" s="11" t="inlineStr">
        <is>
          <t>유리한 위치, 영향력</t>
        </is>
      </c>
      <c r="E4" s="11" t="inlineStr">
        <is>
          <t>We have a lot of leverage.</t>
        </is>
      </c>
      <c r="F4" s="11" t="inlineStr">
        <is>
          <t>지금 우리에게 유리한 상황이야.</t>
        </is>
      </c>
      <c r="G4" s="5">
        <f>HYPERLINK("https://www.youtube.com/watch?v=PsBVUFrTv8Y", "영상 보기 ▶")</f>
        <v/>
      </c>
    </row>
    <row r="5" ht="26" customHeight="1">
      <c r="A5" s="6" t="n">
        <v>1954</v>
      </c>
      <c r="B5" s="7" t="inlineStr">
        <is>
          <t>실전회화/표현</t>
        </is>
      </c>
      <c r="C5" s="8" t="inlineStr">
        <is>
          <t>leverage</t>
        </is>
      </c>
      <c r="D5" s="12" t="inlineStr">
        <is>
          <t>유리하게 잘 활용하다, 영향을 주다</t>
        </is>
      </c>
      <c r="E5" s="12" t="inlineStr">
        <is>
          <t>We should leverage this technology.</t>
        </is>
      </c>
      <c r="F5" s="12" t="inlineStr">
        <is>
          <t>이 기술을 잘 활용해야해.</t>
        </is>
      </c>
      <c r="G5" s="9">
        <f>HYPERLINK("https://www.youtube.com/watch?v=PsBVUFrTv8Y", "영상 보기 ▶")</f>
        <v/>
      </c>
    </row>
    <row r="6" ht="26" customHeight="1">
      <c r="A6" s="2" t="n">
        <v>1955</v>
      </c>
      <c r="B6" s="3" t="inlineStr">
        <is>
          <t>실전회화/표현</t>
        </is>
      </c>
      <c r="C6" s="4" t="inlineStr">
        <is>
          <t>for a change</t>
        </is>
      </c>
      <c r="D6" s="11" t="inlineStr">
        <is>
          <t>평소와 달리, 이번에는</t>
        </is>
      </c>
      <c r="E6" s="11" t="inlineStr">
        <is>
          <t>I'm gonna get a latte for a change.</t>
        </is>
      </c>
      <c r="F6" s="11" t="inlineStr">
        <is>
          <t>오늘은 라떼로 마셔볼래.</t>
        </is>
      </c>
      <c r="G6" s="5">
        <f>HYPERLINK("https://www.youtube.com/watch?v=PsBVUFrTv8Y", "영상 보기 ▶")</f>
        <v/>
      </c>
    </row>
    <row r="7" ht="26" customHeight="1">
      <c r="A7" s="6" t="n">
        <v>1956</v>
      </c>
      <c r="B7" s="7" t="inlineStr">
        <is>
          <t>실전회화/표현</t>
        </is>
      </c>
      <c r="C7" s="8" t="inlineStr">
        <is>
          <t>There you go!</t>
        </is>
      </c>
      <c r="D7" s="12" t="inlineStr">
        <is>
          <t>잘 했어, 바로 그거야</t>
        </is>
      </c>
      <c r="E7" s="12" t="inlineStr">
        <is>
          <t>There you go! You’ve got the hang of it.</t>
        </is>
      </c>
      <c r="F7" s="12" t="inlineStr">
        <is>
          <t>그렇지, 바로 그거야!</t>
        </is>
      </c>
      <c r="G7" s="9">
        <f>HYPERLINK("https://www.youtube.com/watch?v=PsBVUFrTv8Y", "영상 보기 ▶")</f>
        <v/>
      </c>
    </row>
    <row r="8" ht="26" customHeight="1">
      <c r="A8" s="2" t="n">
        <v>1957</v>
      </c>
      <c r="B8" s="3" t="inlineStr">
        <is>
          <t>실전회화/표현</t>
        </is>
      </c>
      <c r="C8" s="4" t="inlineStr">
        <is>
          <t>along the way</t>
        </is>
      </c>
      <c r="D8" s="11" t="inlineStr">
        <is>
          <t>그 과정에서</t>
        </is>
      </c>
      <c r="E8" s="11" t="inlineStr">
        <is>
          <t>We used to work together and got close along the way.</t>
        </is>
      </c>
      <c r="F8" s="11" t="inlineStr">
        <is>
          <t>같이 일하는 과정에서 친해졌어.</t>
        </is>
      </c>
      <c r="G8" s="5">
        <f>HYPERLINK("https://www.youtube.com/watch?v=PsBVUFrTv8Y", "영상 보기 ▶")</f>
        <v/>
      </c>
    </row>
    <row r="9" ht="26" customHeight="1">
      <c r="A9" s="6" t="n">
        <v>1958</v>
      </c>
      <c r="B9" s="7" t="inlineStr">
        <is>
          <t>실전회화/표현</t>
        </is>
      </c>
      <c r="C9" s="8" t="inlineStr">
        <is>
          <t>not even close</t>
        </is>
      </c>
      <c r="D9" s="12" t="inlineStr">
        <is>
          <t>전혀 아닌</t>
        </is>
      </c>
      <c r="E9" s="12" t="inlineStr">
        <is>
          <t>A: Are you almost done?</t>
        </is>
      </c>
      <c r="F9" s="12" t="inlineStr">
        <is>
          <t>다 끝나가?</t>
        </is>
      </c>
      <c r="G9" s="9">
        <f>HYPERLINK("https://www.youtube.com/watch?v=PsBVUFrTv8Y", "영상 보기 ▶")</f>
        <v/>
      </c>
    </row>
    <row r="10" ht="26" customHeight="1">
      <c r="A10" s="2" t="n">
        <v>1959</v>
      </c>
      <c r="B10" s="3" t="inlineStr">
        <is>
          <t>실전회화/표현</t>
        </is>
      </c>
      <c r="C10" s="4" t="inlineStr">
        <is>
          <t>even +</t>
        </is>
      </c>
      <c r="D10" s="11" t="inlineStr">
        <is>
          <t>비교급 한층 더, 더더욱</t>
        </is>
      </c>
      <c r="E10" s="11" t="inlineStr">
        <is>
          <t>This is even better than the last one.</t>
        </is>
      </c>
      <c r="F10" s="11" t="inlineStr">
        <is>
          <t>이게 심지어 더 좋은데.</t>
        </is>
      </c>
      <c r="G10" s="5">
        <f>HYPERLINK("https://www.youtube.com/watch?v=PsBVUFrTv8Y", "영상 보기 ▶")</f>
        <v/>
      </c>
    </row>
    <row r="11" ht="26" customHeight="1">
      <c r="A11" s="6" t="n">
        <v>1960</v>
      </c>
      <c r="B11" s="7" t="inlineStr">
        <is>
          <t>실전회화/표현</t>
        </is>
      </c>
      <c r="C11" s="8" t="inlineStr">
        <is>
          <t>get off work</t>
        </is>
      </c>
      <c r="D11" s="12" t="inlineStr">
        <is>
          <t>퇴근하다</t>
        </is>
      </c>
      <c r="E11" s="12" t="inlineStr">
        <is>
          <t>What time do you get off work?</t>
        </is>
      </c>
      <c r="F11" s="12" t="inlineStr">
        <is>
          <t>몇시에 퇴근해?</t>
        </is>
      </c>
      <c r="G11" s="9">
        <f>HYPERLINK("https://www.youtube.com/watch?v=PsBVUFrTv8Y", "영상 보기 ▶")</f>
        <v/>
      </c>
    </row>
    <row r="12" ht="26" customHeight="1">
      <c r="A12" s="2" t="n">
        <v>1961</v>
      </c>
      <c r="B12" s="3" t="inlineStr">
        <is>
          <t>공감/감정</t>
        </is>
      </c>
      <c r="C12" s="4" t="inlineStr">
        <is>
          <t>get off the phone</t>
        </is>
      </c>
      <c r="D12" s="11" t="inlineStr">
        <is>
          <t>전화를 끊다</t>
        </is>
      </c>
      <c r="E12" s="11" t="inlineStr">
        <is>
          <t>I just got off the phone with Mark.</t>
        </is>
      </c>
      <c r="F12" s="11" t="inlineStr">
        <is>
          <t>방금 Mark와 통화를 끝냈어요.</t>
        </is>
      </c>
      <c r="G12" s="5">
        <f>HYPERLINK("https://www.youtube.com/watch?v=PsBVUFrTv8Y", "영상 보기 ▶")</f>
        <v/>
      </c>
    </row>
    <row r="13" ht="26" customHeight="1">
      <c r="A13" s="6" t="n">
        <v>1962</v>
      </c>
      <c r="B13" s="7" t="inlineStr">
        <is>
          <t>실전회화/표현</t>
        </is>
      </c>
      <c r="C13" s="8" t="inlineStr">
        <is>
          <t>lay out</t>
        </is>
      </c>
      <c r="D13" s="12" t="inlineStr">
        <is>
          <t>펼치다, 제시/설계하다</t>
        </is>
      </c>
      <c r="E13" s="12" t="inlineStr">
        <is>
          <t>Everything’s laid out in this document.</t>
        </is>
      </c>
      <c r="F13" s="12" t="inlineStr">
        <is>
          <t>이 서류안에 모든 내용들이 다 정리되어 있어.</t>
        </is>
      </c>
      <c r="G13" s="9">
        <f>HYPERLINK("https://www.youtube.com/watch?v=PsBVUFrTv8Y", "영상 보기 ▶")</f>
        <v/>
      </c>
    </row>
    <row r="14" ht="26" customHeight="1">
      <c r="A14" s="2" t="n">
        <v>1963</v>
      </c>
      <c r="B14" s="3" t="inlineStr">
        <is>
          <t>실전회화/표현</t>
        </is>
      </c>
      <c r="C14" s="4" t="inlineStr">
        <is>
          <t>relish ~</t>
        </is>
      </c>
      <c r="D14" s="11" t="inlineStr">
        <is>
          <t>를 대단히 즐기다, 좋아하다</t>
        </is>
      </c>
      <c r="E14" s="11" t="inlineStr">
        <is>
          <t>I’d relish the opportunity.</t>
        </is>
      </c>
      <c r="F14" s="11" t="inlineStr">
        <is>
          <t>기회가 주어진다면 정말 좋을 것 같아요.</t>
        </is>
      </c>
      <c r="G14" s="5">
        <f>HYPERLINK("https://www.youtube.com/watch?v=PsBVUFrTv8Y", "영상 보기 ▶")</f>
        <v/>
      </c>
    </row>
    <row r="15" ht="26" customHeight="1">
      <c r="A15" s="6" t="n">
        <v>1964</v>
      </c>
      <c r="B15" s="7" t="inlineStr">
        <is>
          <t>실전회화/표현</t>
        </is>
      </c>
      <c r="C15" s="8" t="inlineStr">
        <is>
          <t>miss out</t>
        </is>
      </c>
      <c r="D15" s="12" t="inlineStr">
        <is>
          <t>놓치다</t>
        </is>
      </c>
      <c r="E15" s="12" t="inlineStr">
        <is>
          <t>I don’t wanna miss out on this opportunity.</t>
        </is>
      </c>
      <c r="F15" s="12" t="inlineStr">
        <is>
          <t>이 기회를 놓치고 싶지 않아.</t>
        </is>
      </c>
      <c r="G15" s="9">
        <f>HYPERLINK("https://www.youtube.com/watch?v=PsBVUFrTv8Y", "영상 보기 ▶")</f>
        <v/>
      </c>
    </row>
    <row r="16" ht="26" customHeight="1">
      <c r="A16" s="2" t="n">
        <v>1965</v>
      </c>
      <c r="B16" s="3" t="inlineStr">
        <is>
          <t>실전회화/표현</t>
        </is>
      </c>
      <c r="C16" s="4" t="inlineStr">
        <is>
          <t>rewarding</t>
        </is>
      </c>
      <c r="D16" s="11" t="inlineStr">
        <is>
          <t>보람있는, ~할 가치가 있는</t>
        </is>
      </c>
      <c r="E16" s="11" t="inlineStr">
        <is>
          <t>It’s challenging, but rewarding.</t>
        </is>
      </c>
      <c r="F16" s="11" t="inlineStr">
        <is>
          <t>힘들긴 하지만 보람있어.</t>
        </is>
      </c>
      <c r="G16" s="5">
        <f>HYPERLINK("https://www.youtube.com/watch?v=PsBVUFrTv8Y", "영상 보기 ▶")</f>
        <v/>
      </c>
    </row>
    <row r="17" ht="26" customHeight="1">
      <c r="A17" s="6" t="n">
        <v>1966</v>
      </c>
      <c r="B17" s="7" t="inlineStr">
        <is>
          <t>실전회화/표현</t>
        </is>
      </c>
      <c r="C17" s="8" t="inlineStr">
        <is>
          <t>bring out</t>
        </is>
      </c>
      <c r="D17" s="12" t="inlineStr">
        <is>
          <t>끌어내다, 드러내다</t>
        </is>
      </c>
      <c r="E17" s="12" t="inlineStr">
        <is>
          <t>Competition brings out the best in me.</t>
        </is>
      </c>
      <c r="F17" s="12" t="inlineStr">
        <is>
          <t>난 경쟁하면 더 잘해.</t>
        </is>
      </c>
      <c r="G17" s="9">
        <f>HYPERLINK("https://www.youtube.com/watch?v=PsBVUFrTv8Y", "영상 보기 ▶")</f>
        <v/>
      </c>
    </row>
    <row r="18" ht="26" customHeight="1">
      <c r="A18" s="2" t="n">
        <v>1967</v>
      </c>
      <c r="B18" s="3" t="inlineStr">
        <is>
          <t>실전회화/표현</t>
        </is>
      </c>
      <c r="C18" s="4" t="inlineStr">
        <is>
          <t>Nothing beats ~</t>
        </is>
      </c>
      <c r="D18" s="11" t="inlineStr">
        <is>
          <t>가 최고야/가장 중요해</t>
        </is>
      </c>
      <c r="E18" s="11" t="inlineStr">
        <is>
          <t>Nothing beats the original.</t>
        </is>
      </c>
      <c r="F18" s="11" t="inlineStr">
        <is>
          <t>원조가 최고야.</t>
        </is>
      </c>
      <c r="G18" s="5">
        <f>HYPERLINK("https://www.youtube.com/watch?v=PsBVUFrTv8Y", "영상 보기 ▶")</f>
        <v/>
      </c>
    </row>
    <row r="19" ht="26" customHeight="1">
      <c r="A19" s="6" t="n">
        <v>1968</v>
      </c>
      <c r="B19" s="7" t="inlineStr">
        <is>
          <t>실전회화/표현</t>
        </is>
      </c>
      <c r="C19" s="8" t="inlineStr">
        <is>
          <t>even</t>
        </is>
      </c>
      <c r="D19" s="12" t="inlineStr">
        <is>
          <t>평평한, 고른/ 동일한</t>
        </is>
      </c>
      <c r="E19" s="12" t="inlineStr">
        <is>
          <t>Is it even now?</t>
        </is>
      </c>
      <c r="F19" s="12" t="inlineStr">
        <is>
          <t>이제 균형이 맞아?</t>
        </is>
      </c>
      <c r="G19" s="9">
        <f>HYPERLINK("https://www.youtube.com/watch?v=PsBVUFrTv8Y", "영상 보기 ▶")</f>
        <v/>
      </c>
    </row>
    <row r="20" ht="26" customHeight="1">
      <c r="A20" s="2" t="n">
        <v>1969</v>
      </c>
      <c r="B20" s="3" t="inlineStr">
        <is>
          <t>실전회화/표현</t>
        </is>
      </c>
      <c r="C20" s="4" t="inlineStr">
        <is>
          <t>even out (</t>
        </is>
      </c>
      <c r="D20" s="11" t="inlineStr">
        <is>
          <t>차이, 격차 등이) 줄어들다, 균등해지다</t>
        </is>
      </c>
      <c r="E20" s="11" t="inlineStr">
        <is>
          <t>We saved on the hotels, so it evens out.</t>
        </is>
      </c>
      <c r="F20" s="11" t="inlineStr">
        <is>
          <t>호텔에서 돈을 아꼈으니 퉁 치는거야.</t>
        </is>
      </c>
      <c r="G20" s="5">
        <f>HYPERLINK("https://www.youtube.com/watch?v=PsBVUFrTv8Y", "영상 보기 ▶")</f>
        <v/>
      </c>
    </row>
    <row r="21" ht="26" customHeight="1">
      <c r="A21" s="6" t="n">
        <v>1970</v>
      </c>
      <c r="B21" s="7" t="inlineStr">
        <is>
          <t>실전회화/표현</t>
        </is>
      </c>
      <c r="C21" s="8" t="inlineStr">
        <is>
          <t>tempting</t>
        </is>
      </c>
      <c r="D21" s="12" t="inlineStr">
        <is>
          <t>솔깃한, 구미가 당기는</t>
        </is>
      </c>
      <c r="E21" s="12" t="inlineStr">
        <is>
          <t>It’s tempting, but I’ll pass.</t>
        </is>
      </c>
      <c r="F21" s="12" t="inlineStr">
        <is>
          <t>솔깃하긴 한데 난 패스할게.</t>
        </is>
      </c>
      <c r="G21" s="9">
        <f>HYPERLINK("https://www.youtube.com/watch?v=PsBVUFrTv8Y", "영상 보기 ▶")</f>
        <v/>
      </c>
    </row>
    <row r="22" ht="26" customHeight="1">
      <c r="A22" s="2" t="n">
        <v>1971</v>
      </c>
      <c r="B22" s="3" t="inlineStr">
        <is>
          <t>실전회화/표현</t>
        </is>
      </c>
      <c r="C22" s="4" t="inlineStr">
        <is>
          <t>to this day</t>
        </is>
      </c>
      <c r="D22" s="11" t="inlineStr">
        <is>
          <t>지금까지</t>
        </is>
      </c>
      <c r="E22" s="11" t="inlineStr">
        <is>
          <t>I’m still grateful to this day.</t>
        </is>
      </c>
      <c r="F22" s="11" t="inlineStr">
        <is>
          <t>지금까지도 감사해.</t>
        </is>
      </c>
      <c r="G22" s="5">
        <f>HYPERLINK("https://www.youtube.com/watch?v=PsBVUFrTv8Y", "영상 보기 ▶")</f>
        <v/>
      </c>
    </row>
    <row r="23" ht="26" customHeight="1">
      <c r="A23" s="6" t="n">
        <v>1972</v>
      </c>
      <c r="B23" s="7" t="inlineStr">
        <is>
          <t>실전회화/표현</t>
        </is>
      </c>
      <c r="C23" s="8" t="inlineStr">
        <is>
          <t>It happens to the best of us.</t>
        </is>
      </c>
      <c r="D23" s="12" t="inlineStr">
        <is>
          <t>누구에게나 일어날 수 있는 일이야.</t>
        </is>
      </c>
      <c r="E23" s="12" t="inlineStr">
        <is>
          <t>A: Sorry. I accidentally forgot the attachment.</t>
        </is>
      </c>
      <c r="F23" s="12" t="inlineStr">
        <is>
          <t>죄송해요. 실수로 첨부 파일을 안 보냈어요.</t>
        </is>
      </c>
      <c r="G23" s="9">
        <f>HYPERLINK("https://www.youtube.com/watch?v=PsBVUFrTv8Y", "영상 보기 ▶")</f>
        <v/>
      </c>
    </row>
    <row r="24" ht="26" customHeight="1">
      <c r="A24" s="2" t="n">
        <v>1973</v>
      </c>
      <c r="B24" s="3" t="inlineStr">
        <is>
          <t>실전회화/표현</t>
        </is>
      </c>
      <c r="C24" s="4" t="inlineStr">
        <is>
          <t>relatively</t>
        </is>
      </c>
      <c r="D24" s="11" t="inlineStr">
        <is>
          <t>비교적, 상대적으로</t>
        </is>
      </c>
      <c r="E24" s="11" t="inlineStr">
        <is>
          <t>It’s relatively easy.</t>
        </is>
      </c>
      <c r="F24" s="11" t="inlineStr">
        <is>
          <t>비교적 쉬워.</t>
        </is>
      </c>
      <c r="G24" s="5">
        <f>HYPERLINK("https://www.youtube.com/watch?v=PsBVUFrTv8Y", "영상 보기 ▶")</f>
        <v/>
      </c>
    </row>
    <row r="25" ht="26" customHeight="1">
      <c r="A25" s="6" t="n">
        <v>1974</v>
      </c>
      <c r="B25" s="7" t="inlineStr">
        <is>
          <t>실전회화/표현</t>
        </is>
      </c>
      <c r="C25" s="8" t="inlineStr">
        <is>
          <t>I can’t even imagine.</t>
        </is>
      </c>
      <c r="D25" s="12" t="inlineStr">
        <is>
          <t>상상조차 안돼.</t>
        </is>
      </c>
      <c r="E25" s="12" t="inlineStr">
        <is>
          <t>I can’t even imaging what you’re going through.</t>
        </is>
      </c>
      <c r="F25" s="12" t="inlineStr">
        <is>
          <t>네가 얼마나 힘들지 감히 상상조차 안되네.</t>
        </is>
      </c>
      <c r="G25" s="9">
        <f>HYPERLINK("https://www.youtube.com/watch?v=PsBVUFrTv8Y", "영상 보기 ▶")</f>
        <v/>
      </c>
    </row>
    <row r="26" ht="26" customHeight="1">
      <c r="A26" s="2" t="n">
        <v>1975</v>
      </c>
      <c r="B26" s="3" t="inlineStr">
        <is>
          <t>실전회화/표현</t>
        </is>
      </c>
      <c r="C26" s="4" t="inlineStr">
        <is>
          <t>enjoy oneself</t>
        </is>
      </c>
      <c r="D26" s="11" t="inlineStr">
        <is>
          <t>좋은 시간을 보내다</t>
        </is>
      </c>
      <c r="E26" s="11" t="inlineStr">
        <is>
          <t>Are you enjoyinh yourself?</t>
        </is>
      </c>
      <c r="F26" s="11" t="inlineStr">
        <is>
          <t>좋은 시간 보내고 있어?</t>
        </is>
      </c>
      <c r="G26" s="5">
        <f>HYPERLINK("https://www.youtube.com/watch?v=PsBVUFrTv8Y", "영상 보기 ▶")</f>
        <v/>
      </c>
    </row>
    <row r="27" ht="26" customHeight="1">
      <c r="A27" s="6" t="n">
        <v>1976</v>
      </c>
      <c r="B27" s="7" t="inlineStr">
        <is>
          <t>실전회화/표현</t>
        </is>
      </c>
      <c r="C27" s="8" t="inlineStr">
        <is>
          <t>be thrilled</t>
        </is>
      </c>
      <c r="D27" s="12" t="inlineStr">
        <is>
          <t>정말 기쁜, 신난, 대단히 만족스러운</t>
        </is>
      </c>
      <c r="E27" s="12" t="inlineStr">
        <is>
          <t>I'm thrilled to work with you on this project.</t>
        </is>
      </c>
      <c r="F27" s="12" t="inlineStr">
        <is>
          <t>이 프로젝트에서 당신과 함께 일하게 되어 정말 기쁩니다.</t>
        </is>
      </c>
      <c r="G27" s="9">
        <f>HYPERLINK("https://www.youtube.com/watch?v=PsBVUFrTv8Y", "영상 보기 ▶")</f>
        <v/>
      </c>
    </row>
    <row r="28" ht="26" customHeight="1">
      <c r="A28" s="2" t="n">
        <v>1977</v>
      </c>
      <c r="B28" s="3" t="inlineStr">
        <is>
          <t>실전회화/표현</t>
        </is>
      </c>
      <c r="C28" s="4" t="inlineStr">
        <is>
          <t>thrilled for you / thrilled to pieces</t>
        </is>
      </c>
      <c r="D28" s="11" t="inlineStr">
        <is>
          <t>너 일처럼 너무너무 기쁘고 잘됐다 / 뛸 듯이 기쁜</t>
        </is>
      </c>
      <c r="E28" s="11" t="inlineStr">
        <is>
          <t>Congratulations on the promotion! I'm so thrilled for you!</t>
        </is>
      </c>
      <c r="F28" s="11" t="inlineStr">
        <is>
          <t>승진 진심으로 축하해! 내 일처럼 너무너무 기쁘고 잘됐다!</t>
        </is>
      </c>
      <c r="G28" s="5">
        <f>HYPERLINK("https://www.youtube.com/watch?v=PsBVUFrTv8Y", "영상 보기 ▶")</f>
        <v/>
      </c>
    </row>
    <row r="29" ht="26" customHeight="1">
      <c r="A29" s="6" t="n">
        <v>1978</v>
      </c>
      <c r="B29" s="7" t="inlineStr">
        <is>
          <t>실전회화/표현</t>
        </is>
      </c>
      <c r="C29" s="8" t="inlineStr">
        <is>
          <t>sense</t>
        </is>
      </c>
      <c r="D29" s="12" t="inlineStr">
        <is>
          <t>느끼다, 감지하다</t>
        </is>
      </c>
      <c r="E29" s="12" t="inlineStr">
        <is>
          <t>I’m sensing tension. What’s going on?</t>
        </is>
      </c>
      <c r="F29" s="12" t="inlineStr">
        <is>
          <t>긴강감이 느껴지는데 무슨 일이야?</t>
        </is>
      </c>
      <c r="G29" s="9">
        <f>HYPERLINK("https://www.youtube.com/watch?v=PsBVUFrTv8Y", "영상 보기 ▶")</f>
        <v/>
      </c>
    </row>
    <row r="30" ht="26" customHeight="1">
      <c r="A30" s="2" t="n">
        <v>1979</v>
      </c>
      <c r="B30" s="3" t="inlineStr">
        <is>
          <t>실전회화/표현</t>
        </is>
      </c>
      <c r="C30" s="4" t="inlineStr">
        <is>
          <t>hostility</t>
        </is>
      </c>
      <c r="D30" s="11" t="inlineStr">
        <is>
          <t>적의, 적대감</t>
        </is>
      </c>
      <c r="E30" s="11" t="inlineStr">
        <is>
          <t>I’m sensing some hostility here.</t>
        </is>
      </c>
      <c r="F30" s="11" t="inlineStr">
        <is>
          <t>적대감이 서있는게 느껴지네요.</t>
        </is>
      </c>
      <c r="G30" s="5">
        <f>HYPERLINK("https://www.youtube.com/watch?v=PsBVUFrTv8Y", "영상 보기 ▶")</f>
        <v/>
      </c>
    </row>
    <row r="31" ht="26" customHeight="1">
      <c r="A31" s="6" t="n">
        <v>1980</v>
      </c>
      <c r="B31" s="7" t="inlineStr">
        <is>
          <t>실전회화/표현</t>
        </is>
      </c>
      <c r="C31" s="8" t="inlineStr">
        <is>
          <t>hospitality</t>
        </is>
      </c>
      <c r="D31" s="12" t="inlineStr">
        <is>
          <t>환대, 접대</t>
        </is>
      </c>
      <c r="E31" s="12" t="inlineStr">
        <is>
          <t>Thank you for your hospitality.</t>
        </is>
      </c>
      <c r="F31" s="12" t="inlineStr">
        <is>
          <t>환대해 주셔서 정말 감사합니다.</t>
        </is>
      </c>
      <c r="G31" s="9">
        <f>HYPERLINK("https://www.youtube.com/watch?v=PsBVUFrTv8Y", "영상 보기 ▶")</f>
        <v/>
      </c>
    </row>
    <row r="32" ht="26" customHeight="1">
      <c r="A32" s="2" t="n">
        <v>1981</v>
      </c>
      <c r="B32" s="3" t="inlineStr">
        <is>
          <t>실전회화/표현</t>
        </is>
      </c>
      <c r="C32" s="4" t="inlineStr">
        <is>
          <t>turn down</t>
        </is>
      </c>
      <c r="D32" s="11" t="inlineStr">
        <is>
          <t>거절하다</t>
        </is>
      </c>
      <c r="E32" s="11" t="inlineStr">
        <is>
          <t>Before you turn me down, please hear me out.</t>
        </is>
      </c>
      <c r="F32" s="11" t="inlineStr">
        <is>
          <t>거절하기 전에 내 말을 끝까지 들어줘.</t>
        </is>
      </c>
      <c r="G32" s="5">
        <f>HYPERLINK("https://www.youtube.com/watch?v=PsBVUFrTv8Y", "영상 보기 ▶")</f>
        <v/>
      </c>
    </row>
    <row r="33" ht="26" customHeight="1">
      <c r="A33" s="6" t="n">
        <v>1982</v>
      </c>
      <c r="B33" s="7" t="inlineStr">
        <is>
          <t>실전회화/표현</t>
        </is>
      </c>
      <c r="C33" s="8" t="inlineStr">
        <is>
          <t>hats off to ~</t>
        </is>
      </c>
      <c r="D33" s="12" t="inlineStr">
        <is>
          <t>에게 경의를 표하다</t>
        </is>
      </c>
      <c r="E33" s="12" t="inlineStr">
        <is>
          <t>Hats off to you! I’m impressed.</t>
        </is>
      </c>
      <c r="F33" s="12" t="inlineStr">
        <is>
          <t>정말 잘했어. 대단한걸.</t>
        </is>
      </c>
      <c r="G33" s="9">
        <f>HYPERLINK("https://www.youtube.com/watch?v=PsBVUFrTv8Y", "영상 보기 ▶")</f>
        <v/>
      </c>
    </row>
    <row r="34" ht="26" customHeight="1">
      <c r="A34" s="2" t="n">
        <v>1983</v>
      </c>
      <c r="B34" s="3" t="inlineStr">
        <is>
          <t>실전회화/표현</t>
        </is>
      </c>
      <c r="C34" s="4" t="inlineStr">
        <is>
          <t>pull off</t>
        </is>
      </c>
      <c r="D34" s="11" t="inlineStr">
        <is>
          <t>(어려운 일을 훌륭하게) 성사시키다, 해내다</t>
        </is>
      </c>
      <c r="E34" s="11" t="inlineStr">
        <is>
          <t>I don't know how Mike pulled that off. Hats off to him.</t>
        </is>
      </c>
      <c r="F34" s="11" t="inlineStr">
        <is>
          <t>마이크가 어떻게 그걸 해냈는지 모르겠네, 그에게 경의를 표해.</t>
        </is>
      </c>
      <c r="G34" s="5">
        <f>HYPERLINK("https://www.youtube.com/watch?v=PsBVUFrTv8Y", "영상 보기 ▶")</f>
        <v/>
      </c>
    </row>
    <row r="35" ht="26" customHeight="1">
      <c r="A35" s="6" t="n">
        <v>1984</v>
      </c>
      <c r="B35" s="7" t="inlineStr">
        <is>
          <t>실전회화/표현</t>
        </is>
      </c>
      <c r="C35" s="8" t="inlineStr">
        <is>
          <t>pull through</t>
        </is>
      </c>
      <c r="D35" s="12" t="inlineStr">
        <is>
          <t>(위기/부상/난관을) 끝내 이겨내다, 회복하다</t>
        </is>
      </c>
      <c r="E35" s="12" t="inlineStr">
        <is>
          <t>It was a critical crisis, but our team managed to pull through.</t>
        </is>
      </c>
      <c r="F35" s="12" t="inlineStr">
        <is>
          <t>중대한 위기였지만 우리 팀은 끝내 꿋꿋이 잘 이겨냈습니다.</t>
        </is>
      </c>
      <c r="G35" s="9">
        <f>HYPERLINK("https://www.youtube.com/watch?v=PsBVUFrTv8Y", "영상 보기 ▶")</f>
        <v/>
      </c>
    </row>
    <row r="36" ht="26" customHeight="1">
      <c r="A36" s="2" t="n">
        <v>1985</v>
      </c>
      <c r="B36" s="3" t="inlineStr">
        <is>
          <t>실전회화/표현</t>
        </is>
      </c>
      <c r="C36" s="4" t="inlineStr">
        <is>
          <t>loyal</t>
        </is>
      </c>
      <c r="D36" s="11" t="inlineStr">
        <is>
          <t>충실한, 변함없는</t>
        </is>
      </c>
      <c r="E36" s="11" t="inlineStr">
        <is>
          <t>I’m loyal.</t>
        </is>
      </c>
      <c r="F36" s="11" t="inlineStr">
        <is>
          <t>난 의리있어.</t>
        </is>
      </c>
      <c r="G36" s="5">
        <f>HYPERLINK("https://www.youtube.com/watch?v=PsBVUFrTv8Y", "영상 보기 ▶")</f>
        <v/>
      </c>
    </row>
    <row r="37" ht="26" customHeight="1">
      <c r="A37" s="6" t="n">
        <v>1986</v>
      </c>
      <c r="B37" s="7" t="inlineStr">
        <is>
          <t>실전회화/표현</t>
        </is>
      </c>
      <c r="C37" s="8" t="inlineStr">
        <is>
          <t>have something to do with ~</t>
        </is>
      </c>
      <c r="D37" s="12" t="inlineStr">
        <is>
          <t>와 관련이 있다</t>
        </is>
      </c>
      <c r="E37" s="12" t="inlineStr">
        <is>
          <t>A: Why is he upset?</t>
        </is>
      </c>
      <c r="F37" s="12" t="inlineStr">
        <is>
          <t>쟤 왜저래?</t>
        </is>
      </c>
      <c r="G37" s="9">
        <f>HYPERLINK("https://www.youtube.com/watch?v=PsBVUFrTv8Y", "영상 보기 ▶")</f>
        <v/>
      </c>
    </row>
    <row r="38" ht="26" customHeight="1">
      <c r="A38" s="2" t="n">
        <v>1987</v>
      </c>
      <c r="B38" s="3" t="inlineStr">
        <is>
          <t>실전회화/표현</t>
        </is>
      </c>
      <c r="C38" s="4" t="inlineStr">
        <is>
          <t>have nothing to do with it ~</t>
        </is>
      </c>
      <c r="D38" s="11" t="inlineStr">
        <is>
          <t>와 전혀 상관없다</t>
        </is>
      </c>
      <c r="E38" s="11" t="inlineStr">
        <is>
          <t>This has nothing to do with me. Don’t throw me under the bus.</t>
        </is>
      </c>
      <c r="F38" s="11" t="inlineStr">
        <is>
          <t>나랑은 전혀 상관없는 일이니까 날 끌어들이지 마.</t>
        </is>
      </c>
      <c r="G38" s="5">
        <f>HYPERLINK("https://www.youtube.com/watch?v=PsBVUFrTv8Y", "영상 보기 ▶")</f>
        <v/>
      </c>
    </row>
    <row r="39" ht="26" customHeight="1">
      <c r="A39" s="6" t="n">
        <v>1988</v>
      </c>
      <c r="B39" s="7" t="inlineStr">
        <is>
          <t>실전회화/표현</t>
        </is>
      </c>
      <c r="C39" s="8" t="inlineStr">
        <is>
          <t>hiccup</t>
        </is>
      </c>
      <c r="D39" s="12" t="inlineStr">
        <is>
          <t>문제, 차질</t>
        </is>
      </c>
      <c r="E39" s="12" t="inlineStr">
        <is>
          <t>There were a few hiccups along the way, but that’s to be expected.</t>
        </is>
      </c>
      <c r="F39" s="12" t="inlineStr">
        <is>
          <t>진행하면서 약간 문제가 있었지만 그건 당연한거야.</t>
        </is>
      </c>
      <c r="G39" s="9">
        <f>HYPERLINK("https://www.youtube.com/watch?v=PsBVUFrTv8Y", "영상 보기 ▶")</f>
        <v/>
      </c>
    </row>
    <row r="40" ht="26" customHeight="1">
      <c r="A40" s="2" t="n">
        <v>1989</v>
      </c>
      <c r="B40" s="3" t="inlineStr">
        <is>
          <t>실전회화/표현</t>
        </is>
      </c>
      <c r="C40" s="4" t="inlineStr">
        <is>
          <t>Kudos to you!</t>
        </is>
      </c>
      <c r="D40" s="11" t="inlineStr">
        <is>
          <t>정말 잘했네.</t>
        </is>
      </c>
      <c r="E40" s="11" t="inlineStr">
        <is>
          <t>Kudos to you!</t>
        </is>
      </c>
      <c r="F40" s="11" t="inlineStr">
        <is>
          <t>정말 잘했네.</t>
        </is>
      </c>
      <c r="G40" s="5">
        <f>HYPERLINK("https://www.youtube.com/watch?v=PsBVUFrTv8Y", "영상 보기 ▶")</f>
        <v/>
      </c>
    </row>
    <row r="41" ht="26" customHeight="1">
      <c r="A41" s="6" t="n">
        <v>1990</v>
      </c>
      <c r="B41" s="7" t="inlineStr">
        <is>
          <t>실전회화/표현</t>
        </is>
      </c>
      <c r="C41" s="8" t="inlineStr">
        <is>
          <t>wise ~</t>
        </is>
      </c>
      <c r="D41" s="12" t="inlineStr">
        <is>
          <t>에 관하여, 면에서는</t>
        </is>
      </c>
      <c r="E41" s="12" t="inlineStr">
        <is>
          <t>Things are great, business-wise.</t>
        </is>
      </c>
      <c r="F41" s="12" t="inlineStr">
        <is>
          <t>사업면에서 잘 되고 있어.</t>
        </is>
      </c>
      <c r="G41" s="9">
        <f>HYPERLINK("https://www.youtube.com/watch?v=PsBVUFrTv8Y", "영상 보기 ▶")</f>
        <v/>
      </c>
    </row>
    <row r="42" ht="26" customHeight="1">
      <c r="A42" s="2" t="n">
        <v>1991</v>
      </c>
      <c r="B42" s="3" t="inlineStr">
        <is>
          <t>실전회화/표현</t>
        </is>
      </c>
      <c r="C42" s="4" t="inlineStr">
        <is>
          <t>otherwise ~</t>
        </is>
      </c>
      <c r="D42" s="11" t="inlineStr">
        <is>
          <t>와는 다른 방식으로, 달리</t>
        </is>
      </c>
      <c r="E42" s="11" t="inlineStr">
        <is>
          <t>The instruction say otherwise.</t>
        </is>
      </c>
      <c r="F42" s="11" t="inlineStr">
        <is>
          <t>설명서에는 다르게 나와있는데.</t>
        </is>
      </c>
      <c r="G42" s="5">
        <f>HYPERLINK("https://www.youtube.com/watch?v=PsBVUFrTv8Y", "영상 보기 ▶")</f>
        <v/>
      </c>
    </row>
    <row r="43" ht="26" customHeight="1">
      <c r="A43" s="6" t="n">
        <v>1992</v>
      </c>
      <c r="B43" s="7" t="inlineStr">
        <is>
          <t>실전회화/표현</t>
        </is>
      </c>
      <c r="C43" s="8" t="inlineStr">
        <is>
          <t>have a chip on one’s shoulder</t>
        </is>
      </c>
      <c r="D43" s="12" t="inlineStr">
        <is>
          <t>예민하게 굴다</t>
        </is>
      </c>
      <c r="E43" s="12" t="inlineStr">
        <is>
          <t>Why do you have a chip on your shoulder?</t>
        </is>
      </c>
      <c r="F43" s="12" t="inlineStr">
        <is>
          <t>왜 그렇게 불평불만인거야?</t>
        </is>
      </c>
      <c r="G43" s="9">
        <f>HYPERLINK("https://www.youtube.com/watch?v=PsBVUFrTv8Y", "영상 보기 ▶")</f>
        <v/>
      </c>
    </row>
    <row r="44" ht="26" customHeight="1">
      <c r="A44" s="2" t="n">
        <v>1993</v>
      </c>
      <c r="B44" s="3" t="inlineStr">
        <is>
          <t>실전회화/표현</t>
        </is>
      </c>
      <c r="C44" s="4" t="inlineStr">
        <is>
          <t>reservations</t>
        </is>
      </c>
      <c r="D44" s="11" t="inlineStr">
        <is>
          <t>거리낌, 의구심</t>
        </is>
      </c>
      <c r="E44" s="11" t="inlineStr">
        <is>
          <t>I’m sensing some reservations here.</t>
        </is>
      </c>
      <c r="F44" s="11" t="inlineStr">
        <is>
          <t>주저하는게 느껴지네요.</t>
        </is>
      </c>
      <c r="G44" s="5">
        <f>HYPERLINK("https://www.youtube.com/watch?v=PsBVUFrTv8Y", "영상 보기 ▶")</f>
        <v/>
      </c>
    </row>
    <row r="45" ht="26" customHeight="1">
      <c r="A45" s="6" t="n">
        <v>1994</v>
      </c>
      <c r="B45" s="7" t="inlineStr">
        <is>
          <t>실전회화/표현</t>
        </is>
      </c>
      <c r="C45" s="8" t="inlineStr">
        <is>
          <t>to say the least</t>
        </is>
      </c>
      <c r="D45" s="12" t="inlineStr">
        <is>
          <t>좋게 말해서</t>
        </is>
      </c>
      <c r="E45" s="12" t="inlineStr">
        <is>
          <t>The food was disappointing, to say the least.</t>
        </is>
      </c>
      <c r="F45" s="12" t="inlineStr">
        <is>
          <t>정말 형편없었지만 이쯤할게.</t>
        </is>
      </c>
      <c r="G45" s="9">
        <f>HYPERLINK("https://www.youtube.com/watch?v=PsBVUFrTv8Y", "영상 보기 ▶")</f>
        <v/>
      </c>
    </row>
    <row r="46" ht="26" customHeight="1">
      <c r="A46" s="2" t="n">
        <v>1995</v>
      </c>
      <c r="B46" s="3" t="inlineStr">
        <is>
          <t>실전회화/표현</t>
        </is>
      </c>
      <c r="C46" s="4" t="inlineStr">
        <is>
          <t>relative</t>
        </is>
      </c>
      <c r="D46" s="11" t="inlineStr">
        <is>
          <t>상대적인, 비교적인</t>
        </is>
      </c>
      <c r="E46" s="11" t="inlineStr">
        <is>
          <t>A: It’s too expensive.</t>
        </is>
      </c>
      <c r="F46" s="11" t="inlineStr">
        <is>
          <t>너무 비싼데.</t>
        </is>
      </c>
      <c r="G46" s="5">
        <f>HYPERLINK("https://www.youtube.com/watch?v=PsBVUFrTv8Y", "영상 보기 ▶")</f>
        <v/>
      </c>
    </row>
    <row r="47" ht="26" customHeight="1">
      <c r="A47" s="6" t="n">
        <v>1996</v>
      </c>
      <c r="B47" s="7" t="inlineStr">
        <is>
          <t>실전회화/표현</t>
        </is>
      </c>
      <c r="C47" s="8" t="inlineStr">
        <is>
          <t>It’s a matter of ~ ~</t>
        </is>
      </c>
      <c r="D47" s="12" t="inlineStr">
        <is>
          <t>의 문제야.</t>
        </is>
      </c>
      <c r="E47" s="12" t="inlineStr">
        <is>
          <t>It’s a matter of perspective.</t>
        </is>
      </c>
      <c r="F47" s="12" t="inlineStr">
        <is>
          <t>관점에 따라 다르지.</t>
        </is>
      </c>
      <c r="G47" s="9">
        <f>HYPERLINK("https://www.youtube.com/watch?v=PsBVUFrTv8Y", "영상 보기 ▶")</f>
        <v/>
      </c>
    </row>
    <row r="48" ht="26" customHeight="1">
      <c r="A48" s="2" t="n">
        <v>1997</v>
      </c>
      <c r="B48" s="3" t="inlineStr">
        <is>
          <t>실전회화/표현</t>
        </is>
      </c>
      <c r="C48" s="4" t="inlineStr">
        <is>
          <t>rub off on ~</t>
        </is>
      </c>
      <c r="D48" s="11" t="inlineStr">
        <is>
          <t>에게 영향을 주다, 물들다</t>
        </is>
      </c>
      <c r="E48" s="11" t="inlineStr">
        <is>
          <t>You’re rubbing off on me.</t>
        </is>
      </c>
      <c r="F48" s="11" t="inlineStr">
        <is>
          <t>너한테 물들어가나봐.</t>
        </is>
      </c>
      <c r="G48" s="5">
        <f>HYPERLINK("https://www.youtube.com/watch?v=PsBVUFrTv8Y", "영상 보기 ▶")</f>
        <v/>
      </c>
    </row>
    <row r="49" ht="26" customHeight="1">
      <c r="A49" s="6" t="n">
        <v>1998</v>
      </c>
      <c r="B49" s="7" t="inlineStr">
        <is>
          <t>실전회화/표현</t>
        </is>
      </c>
      <c r="C49" s="8" t="inlineStr">
        <is>
          <t>contagious</t>
        </is>
      </c>
      <c r="D49" s="12" t="inlineStr">
        <is>
          <t>전염되는, 전염성의</t>
        </is>
      </c>
      <c r="E49" s="12" t="inlineStr">
        <is>
          <t>Your enthusiasm is contagious.</t>
        </is>
      </c>
      <c r="F49" s="12" t="inlineStr">
        <is>
          <t>네 열정이 모두를 열정적으로 만들어.</t>
        </is>
      </c>
      <c r="G49" s="9">
        <f>HYPERLINK("https://www.youtube.com/watch?v=PsBVUFrTv8Y", "영상 보기 ▶")</f>
        <v/>
      </c>
    </row>
    <row r="50" ht="26" customHeight="1">
      <c r="A50" s="2" t="n">
        <v>1999</v>
      </c>
      <c r="B50" s="3" t="inlineStr">
        <is>
          <t>실전회화/표현</t>
        </is>
      </c>
      <c r="C50" s="4" t="inlineStr">
        <is>
          <t>It’s been a while.</t>
        </is>
      </c>
      <c r="D50" s="11" t="inlineStr">
        <is>
          <t>오랜만이야.</t>
        </is>
      </c>
      <c r="E50" s="11" t="inlineStr">
        <is>
          <t>It’s been a while since our last meeting.</t>
        </is>
      </c>
      <c r="F50" s="11" t="inlineStr">
        <is>
          <t>지난 미팅 이후로 오랜만에 뵈어요.</t>
        </is>
      </c>
      <c r="G50" s="5">
        <f>HYPERLINK("https://www.youtube.com/watch?v=PsBVUFrTv8Y", "영상 보기 ▶")</f>
        <v/>
      </c>
    </row>
    <row r="51" ht="26" customHeight="1">
      <c r="A51" s="6" t="n">
        <v>2000</v>
      </c>
      <c r="B51" s="7" t="inlineStr">
        <is>
          <t>실전회화/표현</t>
        </is>
      </c>
      <c r="C51" s="8" t="inlineStr">
        <is>
          <t>It can’t be!</t>
        </is>
      </c>
      <c r="D51" s="12" t="inlineStr">
        <is>
          <t>말도 안 돼! 그럴 리가 없어!</t>
        </is>
      </c>
      <c r="E51" s="12" t="inlineStr">
        <is>
          <t>Did we really lose the contract? It can’t be!</t>
        </is>
      </c>
      <c r="F51" s="12" t="inlineStr">
        <is>
          <t>우리가 정말 계약을 놓쳤다고요? 말도 안 돼요, 그럴 리가 없어요!</t>
        </is>
      </c>
      <c r="G51" s="9">
        <f>HYPERLINK("https://www.youtube.com/watch?v=PsBVUFrTv8Y", "영상 보기 ▶")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8" customWidth="1" min="3" max="3"/>
    <col width="42" customWidth="1" min="4" max="4"/>
    <col width="75" customWidth="1" min="5" max="5"/>
    <col width="59.2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2001</v>
      </c>
      <c r="B2" s="3" t="inlineStr">
        <is>
          <t>실전회화/표현</t>
        </is>
      </c>
      <c r="C2" s="4" t="inlineStr">
        <is>
          <t>get the ball rolling</t>
        </is>
      </c>
      <c r="D2" s="11" t="inlineStr">
        <is>
          <t>일을 시작하다, 본격적으로 진행하다</t>
        </is>
      </c>
      <c r="E2" s="11" t="inlineStr">
        <is>
          <t>I’ll go first to get the ball rolling.</t>
        </is>
      </c>
      <c r="F2" s="11" t="inlineStr">
        <is>
          <t>그럼 일단 제가 먼저 할게요.</t>
        </is>
      </c>
      <c r="G2" s="5">
        <f>HYPERLINK("https://www.youtube.com/watch?v=ZLgM3yMlrCQ", "영상 보기 ▶")</f>
        <v/>
      </c>
    </row>
    <row r="3" ht="26" customHeight="1">
      <c r="A3" s="6" t="n">
        <v>2002</v>
      </c>
      <c r="B3" s="7" t="inlineStr">
        <is>
          <t>공감/감정</t>
        </is>
      </c>
      <c r="C3" s="8" t="inlineStr">
        <is>
          <t>luxury</t>
        </is>
      </c>
      <c r="D3" s="12" t="inlineStr">
        <is>
          <t>호화로움, 사치, 여유</t>
        </is>
      </c>
      <c r="E3" s="12" t="inlineStr">
        <is>
          <t>Wo don’t have that luxury.</t>
        </is>
      </c>
      <c r="F3" s="12" t="inlineStr">
        <is>
          <t>그럴 여유가 없어.</t>
        </is>
      </c>
      <c r="G3" s="9">
        <f>HYPERLINK("https://www.youtube.com/watch?v=ZLgM3yMlrCQ", "영상 보기 ▶")</f>
        <v/>
      </c>
    </row>
    <row r="4" ht="26" customHeight="1">
      <c r="A4" s="2" t="n">
        <v>2003</v>
      </c>
      <c r="B4" s="3" t="inlineStr">
        <is>
          <t>실전회화/표현</t>
        </is>
      </c>
      <c r="C4" s="4" t="inlineStr">
        <is>
          <t>bandwidth</t>
        </is>
      </c>
      <c r="D4" s="11" t="inlineStr">
        <is>
          <t>일을 감당할 수 있는 여력, 여유, 능력</t>
        </is>
      </c>
      <c r="E4" s="11" t="inlineStr">
        <is>
          <t>Do you have the bandwidth?</t>
        </is>
      </c>
      <c r="F4" s="11" t="inlineStr">
        <is>
          <t>이걸 할 여력이 있어?</t>
        </is>
      </c>
      <c r="G4" s="5">
        <f>HYPERLINK("https://www.youtube.com/watch?v=ZLgM3yMlrCQ", "영상 보기 ▶")</f>
        <v/>
      </c>
    </row>
    <row r="5" ht="26" customHeight="1">
      <c r="A5" s="6" t="n">
        <v>2004</v>
      </c>
      <c r="B5" s="7" t="inlineStr">
        <is>
          <t>실전회화/표현</t>
        </is>
      </c>
      <c r="C5" s="8" t="inlineStr">
        <is>
          <t>be prone to</t>
        </is>
      </c>
      <c r="D5" s="12" t="inlineStr">
        <is>
          <t>걸핏하면 ~해, ~하는 경향이 있어</t>
        </is>
      </c>
      <c r="E5" s="12" t="inlineStr">
        <is>
          <t>I’m prone to headaches.</t>
        </is>
      </c>
      <c r="F5" s="12" t="inlineStr">
        <is>
          <t>난 뭐만 하면 머리가 아파.</t>
        </is>
      </c>
      <c r="G5" s="9">
        <f>HYPERLINK("https://www.youtube.com/watch?v=ZLgM3yMlrCQ", "영상 보기 ▶")</f>
        <v/>
      </c>
    </row>
    <row r="6" ht="26" customHeight="1">
      <c r="A6" s="2" t="n">
        <v>2005</v>
      </c>
      <c r="B6" s="3" t="inlineStr">
        <is>
          <t>실전회화/표현</t>
        </is>
      </c>
      <c r="C6" s="4" t="inlineStr">
        <is>
          <t>take off (</t>
        </is>
      </c>
      <c r="D6" s="11" t="inlineStr">
        <is>
          <t>갑자기) 인기를 끌다, 유행하다, 성공하다</t>
        </is>
      </c>
      <c r="E6" s="11" t="inlineStr">
        <is>
          <t>It just took off.</t>
        </is>
      </c>
      <c r="F6" s="11" t="inlineStr">
        <is>
          <t>갑자기 확 성장했어.</t>
        </is>
      </c>
      <c r="G6" s="5">
        <f>HYPERLINK("https://www.youtube.com/watch?v=ZLgM3yMlrCQ", "영상 보기 ▶")</f>
        <v/>
      </c>
    </row>
    <row r="7" ht="26" customHeight="1">
      <c r="A7" s="6" t="n">
        <v>2006</v>
      </c>
      <c r="B7" s="7" t="inlineStr">
        <is>
          <t>실전회화/표현</t>
        </is>
      </c>
      <c r="C7" s="8" t="inlineStr">
        <is>
          <t>It’s about time.</t>
        </is>
      </c>
      <c r="D7" s="12" t="inlineStr">
        <is>
          <t>그럴 때가 됐지.</t>
        </is>
      </c>
      <c r="E7" s="12" t="inlineStr">
        <is>
          <t>It’s about time.</t>
        </is>
      </c>
      <c r="F7" s="12" t="inlineStr">
        <is>
          <t>그럴 때가 됐지.</t>
        </is>
      </c>
      <c r="G7" s="9">
        <f>HYPERLINK("https://www.youtube.com/watch?v=ZLgM3yMlrCQ", "영상 보기 ▶")</f>
        <v/>
      </c>
    </row>
    <row r="8" ht="26" customHeight="1">
      <c r="A8" s="2" t="n">
        <v>2007</v>
      </c>
      <c r="B8" s="3" t="inlineStr">
        <is>
          <t>실전회화/표현</t>
        </is>
      </c>
      <c r="C8" s="4" t="inlineStr">
        <is>
          <t>be about ~</t>
        </is>
      </c>
      <c r="D8" s="11" t="inlineStr">
        <is>
          <t>가 중요해, 핵심이야</t>
        </is>
      </c>
      <c r="E8" s="11" t="inlineStr">
        <is>
          <t>It’s about the journey, not the destination.</t>
        </is>
      </c>
      <c r="F8" s="11" t="inlineStr">
        <is>
          <t>결과보다 과정이 중요해.</t>
        </is>
      </c>
      <c r="G8" s="5">
        <f>HYPERLINK("https://www.youtube.com/watch?v=ZLgM3yMlrCQ", "영상 보기 ▶")</f>
        <v/>
      </c>
    </row>
    <row r="9" ht="26" customHeight="1">
      <c r="A9" s="6" t="n">
        <v>2008</v>
      </c>
      <c r="B9" s="7" t="inlineStr">
        <is>
          <t>의견/의사결정</t>
        </is>
      </c>
      <c r="C9" s="8" t="inlineStr">
        <is>
          <t>I’m all about ~</t>
        </is>
      </c>
      <c r="D9" s="12" t="inlineStr">
        <is>
          <t>를 가장 중요하게 생각해</t>
        </is>
      </c>
      <c r="E9" s="12" t="inlineStr">
        <is>
          <t>I’m all about family.</t>
        </is>
      </c>
      <c r="F9" s="12" t="inlineStr">
        <is>
          <t>난 가족이 항상 우선이야.</t>
        </is>
      </c>
      <c r="G9" s="9">
        <f>HYPERLINK("https://www.youtube.com/watch?v=ZLgM3yMlrCQ", "영상 보기 ▶")</f>
        <v/>
      </c>
    </row>
    <row r="10" ht="26" customHeight="1">
      <c r="A10" s="2" t="n">
        <v>2009</v>
      </c>
      <c r="B10" s="3" t="inlineStr">
        <is>
          <t>실전회화/표현</t>
        </is>
      </c>
      <c r="C10" s="4" t="inlineStr">
        <is>
          <t>settle</t>
        </is>
      </c>
      <c r="D10" s="11" t="inlineStr">
        <is>
          <t>합의하다, 해결하다, 끝내다</t>
        </is>
      </c>
      <c r="E10" s="11" t="inlineStr">
        <is>
          <t>We need to settle this.</t>
        </is>
      </c>
      <c r="F10" s="11" t="inlineStr">
        <is>
          <t>이 일을 끝내야해.</t>
        </is>
      </c>
      <c r="G10" s="5">
        <f>HYPERLINK("https://www.youtube.com/watch?v=ZLgM3yMlrCQ", "영상 보기 ▶")</f>
        <v/>
      </c>
    </row>
    <row r="11" ht="26" customHeight="1">
      <c r="A11" s="6" t="n">
        <v>2010</v>
      </c>
      <c r="B11" s="7" t="inlineStr">
        <is>
          <t>실전회화/표현</t>
        </is>
      </c>
      <c r="C11" s="8" t="inlineStr">
        <is>
          <t>slip out</t>
        </is>
      </c>
      <c r="D11" s="12" t="inlineStr">
        <is>
          <t>무심코 내뱉다</t>
        </is>
      </c>
      <c r="E11" s="12" t="inlineStr">
        <is>
          <t>I wasn’t supposed to say that. It just slipped out.</t>
        </is>
      </c>
      <c r="F11" s="12" t="inlineStr">
        <is>
          <t>그 얘기를 하면 안됐는데. 모르고 말 해버렸지 뭐야.</t>
        </is>
      </c>
      <c r="G11" s="9">
        <f>HYPERLINK("https://www.youtube.com/watch?v=ZLgM3yMlrCQ", "영상 보기 ▶")</f>
        <v/>
      </c>
    </row>
    <row r="12" ht="26" customHeight="1">
      <c r="A12" s="2" t="n">
        <v>2011</v>
      </c>
      <c r="B12" s="3" t="inlineStr">
        <is>
          <t>실전회화/표현</t>
        </is>
      </c>
      <c r="C12" s="4" t="inlineStr">
        <is>
          <t>It slipped my mind.</t>
        </is>
      </c>
      <c r="D12" s="11" t="inlineStr">
        <is>
          <t>깜빡했어.</t>
        </is>
      </c>
      <c r="E12" s="11" t="inlineStr">
        <is>
          <t>It slipped my mind.</t>
        </is>
      </c>
      <c r="F12" s="11" t="inlineStr">
        <is>
          <t>깜빡했어.</t>
        </is>
      </c>
      <c r="G12" s="5">
        <f>HYPERLINK("https://www.youtube.com/watch?v=ZLgM3yMlrCQ", "영상 보기 ▶")</f>
        <v/>
      </c>
    </row>
    <row r="13" ht="26" customHeight="1">
      <c r="A13" s="6" t="n">
        <v>2012</v>
      </c>
      <c r="B13" s="7" t="inlineStr">
        <is>
          <t>실전회화/표현</t>
        </is>
      </c>
      <c r="C13" s="8" t="inlineStr">
        <is>
          <t>as well</t>
        </is>
      </c>
      <c r="D13" s="12" t="inlineStr">
        <is>
          <t>또한, ~도</t>
        </is>
      </c>
      <c r="E13" s="12" t="inlineStr">
        <is>
          <t>I’ll have salad as well.</t>
        </is>
      </c>
      <c r="F13" s="12" t="inlineStr">
        <is>
          <t>저도 샐러드로 할게요.</t>
        </is>
      </c>
      <c r="G13" s="9">
        <f>HYPERLINK("https://www.youtube.com/watch?v=ZLgM3yMlrCQ", "영상 보기 ▶")</f>
        <v/>
      </c>
    </row>
    <row r="14" ht="26" customHeight="1">
      <c r="A14" s="2" t="n">
        <v>2013</v>
      </c>
      <c r="B14" s="3" t="inlineStr">
        <is>
          <t>실전회화/표현</t>
        </is>
      </c>
      <c r="C14" s="4" t="inlineStr">
        <is>
          <t>on my radar</t>
        </is>
      </c>
      <c r="D14" s="11" t="inlineStr">
        <is>
          <t>내 관심 대상인, 신경쓰고 있는</t>
        </is>
      </c>
      <c r="E14" s="11" t="inlineStr">
        <is>
          <t>A: We need to fix this ASAP.</t>
        </is>
      </c>
      <c r="F14" s="11" t="inlineStr">
        <is>
          <t>이거 최대한 빨리 고쳐야 해.</t>
        </is>
      </c>
      <c r="G14" s="5">
        <f>HYPERLINK("https://www.youtube.com/watch?v=ZLgM3yMlrCQ", "영상 보기 ▶")</f>
        <v/>
      </c>
    </row>
    <row r="15" ht="26" customHeight="1">
      <c r="A15" s="6" t="n">
        <v>2014</v>
      </c>
      <c r="B15" s="7" t="inlineStr">
        <is>
          <t>실전회화/표현</t>
        </is>
      </c>
      <c r="C15" s="8" t="inlineStr">
        <is>
          <t>under the radar</t>
        </is>
      </c>
      <c r="D15" s="12" t="inlineStr">
        <is>
          <t>눈에 띄지 않게, 조용히</t>
        </is>
      </c>
      <c r="E15" s="12" t="inlineStr">
        <is>
          <t>We need to keep this under the radar.</t>
        </is>
      </c>
      <c r="F15" s="12" t="inlineStr">
        <is>
          <t>눈에 띄지 않게 조용히 진행해야해.</t>
        </is>
      </c>
      <c r="G15" s="9">
        <f>HYPERLINK("https://www.youtube.com/watch?v=ZLgM3yMlrCQ", "영상 보기 ▶")</f>
        <v/>
      </c>
    </row>
    <row r="16" ht="26" customHeight="1">
      <c r="A16" s="2" t="n">
        <v>2015</v>
      </c>
      <c r="B16" s="3" t="inlineStr">
        <is>
          <t>공감/감정</t>
        </is>
      </c>
      <c r="C16" s="4" t="inlineStr">
        <is>
          <t>icing on the cake</t>
        </is>
      </c>
      <c r="D16" s="11" t="inlineStr">
        <is>
          <t>금상첨화</t>
        </is>
      </c>
      <c r="E16" s="11" t="inlineStr">
        <is>
          <t>It’s been a great year career-wise, and getting married was the icing on the cake.</t>
        </is>
      </c>
      <c r="F16" s="11" t="inlineStr">
        <is>
          <t>직장에서도 정말 좋은 한해였는데, 결혼까지 하니 더할나위 없어.</t>
        </is>
      </c>
      <c r="G16" s="5">
        <f>HYPERLINK("https://www.youtube.com/watch?v=ZLgM3yMlrCQ", "영상 보기 ▶")</f>
        <v/>
      </c>
    </row>
    <row r="17" ht="26" customHeight="1">
      <c r="A17" s="6" t="n">
        <v>2016</v>
      </c>
      <c r="B17" s="7" t="inlineStr">
        <is>
          <t>실전회화/표현</t>
        </is>
      </c>
      <c r="C17" s="8" t="inlineStr">
        <is>
          <t>uneasy</t>
        </is>
      </c>
      <c r="D17" s="12" t="inlineStr">
        <is>
          <t>불안한, 불편한</t>
        </is>
      </c>
      <c r="E17" s="12" t="inlineStr">
        <is>
          <t>I feel uneasy.</t>
        </is>
      </c>
      <c r="F17" s="12" t="inlineStr">
        <is>
          <t>마음이 불편해.</t>
        </is>
      </c>
      <c r="G17" s="9">
        <f>HYPERLINK("https://www.youtube.com/watch?v=ZLgM3yMlrCQ", "영상 보기 ▶")</f>
        <v/>
      </c>
    </row>
    <row r="18" ht="26" customHeight="1">
      <c r="A18" s="2" t="n">
        <v>2017</v>
      </c>
      <c r="B18" s="3" t="inlineStr">
        <is>
          <t>실전회화/표현</t>
        </is>
      </c>
      <c r="C18" s="4" t="inlineStr">
        <is>
          <t>settle down</t>
        </is>
      </c>
      <c r="D18" s="11" t="inlineStr">
        <is>
          <t>진정하다, 정착하다</t>
        </is>
      </c>
      <c r="E18" s="11" t="inlineStr">
        <is>
          <t>Let’s settle down.</t>
        </is>
      </c>
      <c r="F18" s="11" t="inlineStr">
        <is>
          <t>진정하자.</t>
        </is>
      </c>
      <c r="G18" s="5">
        <f>HYPERLINK("https://www.youtube.com/watch?v=ZLgM3yMlrCQ", "영상 보기 ▶")</f>
        <v/>
      </c>
    </row>
    <row r="19" ht="26" customHeight="1">
      <c r="A19" s="6" t="n">
        <v>2018</v>
      </c>
      <c r="B19" s="7" t="inlineStr">
        <is>
          <t>실전회화/표현</t>
        </is>
      </c>
      <c r="C19" s="8" t="inlineStr">
        <is>
          <t>settle for ~</t>
        </is>
      </c>
      <c r="D19" s="12" t="inlineStr">
        <is>
          <t>로 만족하다, 받아들이다</t>
        </is>
      </c>
      <c r="E19" s="12" t="inlineStr">
        <is>
          <t>Let’s settle for that for now.</t>
        </is>
      </c>
      <c r="F19" s="12" t="inlineStr">
        <is>
          <t>일단 그걸로 만족하자.</t>
        </is>
      </c>
      <c r="G19" s="9">
        <f>HYPERLINK("https://www.youtube.com/watch?v=ZLgM3yMlrCQ", "영상 보기 ▶")</f>
        <v/>
      </c>
    </row>
    <row r="20" ht="26" customHeight="1">
      <c r="A20" s="2" t="n">
        <v>2019</v>
      </c>
      <c r="B20" s="3" t="inlineStr">
        <is>
          <t>실전회화/표현</t>
        </is>
      </c>
      <c r="C20" s="4" t="inlineStr">
        <is>
          <t>Please take it away.</t>
        </is>
      </c>
      <c r="D20" s="11" t="inlineStr">
        <is>
          <t>진행해주세요.</t>
        </is>
      </c>
      <c r="E20" s="11" t="inlineStr">
        <is>
          <t>Please take it away.</t>
        </is>
      </c>
      <c r="F20" s="11" t="inlineStr">
        <is>
          <t>진행해주세요.</t>
        </is>
      </c>
      <c r="G20" s="5">
        <f>HYPERLINK("https://www.youtube.com/watch?v=ZLgM3yMlrCQ", "영상 보기 ▶")</f>
        <v/>
      </c>
    </row>
    <row r="21" ht="26" customHeight="1">
      <c r="A21" s="6" t="n">
        <v>2020</v>
      </c>
      <c r="B21" s="7" t="inlineStr">
        <is>
          <t>실전회화/표현</t>
        </is>
      </c>
      <c r="C21" s="8" t="inlineStr">
        <is>
          <t>at all</t>
        </is>
      </c>
      <c r="D21" s="12" t="inlineStr">
        <is>
          <t>조금이라도</t>
        </is>
      </c>
      <c r="E21" s="12" t="inlineStr">
        <is>
          <t>Do you like it at all?</t>
        </is>
      </c>
      <c r="F21" s="12" t="inlineStr">
        <is>
          <t>조금이라도 마음에 들어?</t>
        </is>
      </c>
      <c r="G21" s="9">
        <f>HYPERLINK("https://www.youtube.com/watch?v=ZLgM3yMlrCQ", "영상 보기 ▶")</f>
        <v/>
      </c>
    </row>
    <row r="22" ht="26" customHeight="1">
      <c r="A22" s="2" t="n">
        <v>2021</v>
      </c>
      <c r="B22" s="3" t="inlineStr">
        <is>
          <t>실전회화/표현</t>
        </is>
      </c>
      <c r="C22" s="4" t="inlineStr">
        <is>
          <t>not at all</t>
        </is>
      </c>
      <c r="D22" s="11" t="inlineStr">
        <is>
          <t>전혀 ~가 아닌</t>
        </is>
      </c>
      <c r="E22" s="11" t="inlineStr">
        <is>
          <t>It’s no problem at all.</t>
        </is>
      </c>
      <c r="F22" s="11" t="inlineStr">
        <is>
          <t>전혀 문제가 안돼.</t>
        </is>
      </c>
      <c r="G22" s="5">
        <f>HYPERLINK("https://www.youtube.com/watch?v=ZLgM3yMlrCQ", "영상 보기 ▶")</f>
        <v/>
      </c>
    </row>
    <row r="23" ht="26" customHeight="1">
      <c r="A23" s="6" t="n">
        <v>2022</v>
      </c>
      <c r="B23" s="7" t="inlineStr">
        <is>
          <t>실전회화/표현</t>
        </is>
      </c>
      <c r="C23" s="8" t="inlineStr">
        <is>
          <t>take off one’s plate ~</t>
        </is>
      </c>
      <c r="D23" s="12" t="inlineStr">
        <is>
          <t>의 일을 덜어주다, 부담을 줄여주다</t>
        </is>
      </c>
      <c r="E23" s="12" t="inlineStr">
        <is>
          <t>Let me take that off your plate.</t>
        </is>
      </c>
      <c r="F23" s="12" t="inlineStr">
        <is>
          <t>그거 내가 대신 처리해줄게.</t>
        </is>
      </c>
      <c r="G23" s="9">
        <f>HYPERLINK("https://www.youtube.com/watch?v=ZLgM3yMlrCQ", "영상 보기 ▶")</f>
        <v/>
      </c>
    </row>
    <row r="24" ht="26" customHeight="1">
      <c r="A24" s="2" t="n">
        <v>2023</v>
      </c>
      <c r="B24" s="3" t="inlineStr">
        <is>
          <t>실전회화/표현</t>
        </is>
      </c>
      <c r="C24" s="4" t="inlineStr">
        <is>
          <t>sticky</t>
        </is>
      </c>
      <c r="D24" s="11" t="inlineStr">
        <is>
          <t>끈적거리는, 불쾌한, 까다로운</t>
        </is>
      </c>
      <c r="E24" s="11" t="inlineStr">
        <is>
          <t>It’s a sticky situation.</t>
        </is>
      </c>
      <c r="F24" s="11" t="inlineStr">
        <is>
          <t>골치아픈 상황이네.</t>
        </is>
      </c>
      <c r="G24" s="5">
        <f>HYPERLINK("https://www.youtube.com/watch?v=ZLgM3yMlrCQ", "영상 보기 ▶")</f>
        <v/>
      </c>
    </row>
    <row r="25" ht="26" customHeight="1">
      <c r="A25" s="6" t="n">
        <v>2024</v>
      </c>
      <c r="B25" s="7" t="inlineStr">
        <is>
          <t>실전회화/표현</t>
        </is>
      </c>
      <c r="C25" s="8" t="inlineStr">
        <is>
          <t>stick to</t>
        </is>
      </c>
      <c r="D25" s="12" t="inlineStr">
        <is>
          <t>굳게 지키다, ~을 계속하다</t>
        </is>
      </c>
      <c r="E25" s="12" t="inlineStr">
        <is>
          <t>It takes time. You have to stick to it.</t>
        </is>
      </c>
      <c r="F25" s="12" t="inlineStr">
        <is>
          <t>시간이 걸리니 포기하지 말고 버텨.</t>
        </is>
      </c>
      <c r="G25" s="9">
        <f>HYPERLINK("https://www.youtube.com/watch?v=ZLgM3yMlrCQ", "영상 보기 ▶")</f>
        <v/>
      </c>
    </row>
    <row r="26" ht="26" customHeight="1">
      <c r="A26" s="2" t="n">
        <v>2025</v>
      </c>
      <c r="B26" s="3" t="inlineStr">
        <is>
          <t>실전회화/표현</t>
        </is>
      </c>
      <c r="C26" s="4" t="inlineStr">
        <is>
          <t>stick with ~</t>
        </is>
      </c>
      <c r="D26" s="11" t="inlineStr">
        <is>
          <t>를 계속하다, ~의 곁에 머물다/함께하다</t>
        </is>
      </c>
      <c r="E26" s="11" t="inlineStr">
        <is>
          <t>A: Would you like a glass of wine?</t>
        </is>
      </c>
      <c r="F26" s="11" t="inlineStr">
        <is>
          <t>와인 한 잔 드실래요?</t>
        </is>
      </c>
      <c r="G26" s="5">
        <f>HYPERLINK("https://www.youtube.com/watch?v=ZLgM3yMlrCQ", "영상 보기 ▶")</f>
        <v/>
      </c>
    </row>
    <row r="27" ht="26" customHeight="1">
      <c r="A27" s="6" t="n">
        <v>2026</v>
      </c>
      <c r="B27" s="7" t="inlineStr">
        <is>
          <t>실전회화/표현</t>
        </is>
      </c>
      <c r="C27" s="8" t="inlineStr">
        <is>
          <t>know of ~</t>
        </is>
      </c>
      <c r="D27" s="12" t="inlineStr">
        <is>
          <t>에 대해 들어봐서 알아</t>
        </is>
      </c>
      <c r="E27" s="12" t="inlineStr">
        <is>
          <t>I know of him, but I don’t know him personally.</t>
        </is>
      </c>
      <c r="F27" s="12" t="inlineStr">
        <is>
          <t>그에 대해 들어본적은 있는데 개인적으로는 몰라.</t>
        </is>
      </c>
      <c r="G27" s="9">
        <f>HYPERLINK("https://www.youtube.com/watch?v=ZLgM3yMlrCQ", "영상 보기 ▶")</f>
        <v/>
      </c>
    </row>
    <row r="28" ht="26" customHeight="1">
      <c r="A28" s="2" t="n">
        <v>2027</v>
      </c>
      <c r="B28" s="3" t="inlineStr">
        <is>
          <t>실전회화/표현</t>
        </is>
      </c>
      <c r="C28" s="4" t="inlineStr">
        <is>
          <t>time-consuming</t>
        </is>
      </c>
      <c r="D28" s="11" t="inlineStr">
        <is>
          <t>시간을 잡아먹는</t>
        </is>
      </c>
      <c r="E28" s="11" t="inlineStr">
        <is>
          <t>It’s very time-consuming.</t>
        </is>
      </c>
      <c r="F28" s="11" t="inlineStr">
        <is>
          <t>시간이 오래 걸리는 일이야.</t>
        </is>
      </c>
      <c r="G28" s="5">
        <f>HYPERLINK("https://www.youtube.com/watch?v=ZLgM3yMlrCQ", "영상 보기 ▶")</f>
        <v/>
      </c>
    </row>
    <row r="29" ht="26" customHeight="1">
      <c r="A29" s="6" t="n">
        <v>2028</v>
      </c>
      <c r="B29" s="7" t="inlineStr">
        <is>
          <t>공감/감정</t>
        </is>
      </c>
      <c r="C29" s="8" t="inlineStr">
        <is>
          <t>all-consuming</t>
        </is>
      </c>
      <c r="D29" s="12" t="inlineStr">
        <is>
          <t>온 마음을 다 뺏기는</t>
        </is>
      </c>
      <c r="E29" s="12" t="inlineStr">
        <is>
          <t>My work is all-consuming.</t>
        </is>
      </c>
      <c r="F29" s="12" t="inlineStr">
        <is>
          <t>일 하느라 다른 건 신경쓸 겨를이 없어요.</t>
        </is>
      </c>
      <c r="G29" s="9">
        <f>HYPERLINK("https://www.youtube.com/watch?v=ZLgM3yMlrCQ", "영상 보기 ▶")</f>
        <v/>
      </c>
    </row>
    <row r="30" ht="26" customHeight="1">
      <c r="A30" s="2" t="n">
        <v>2029</v>
      </c>
      <c r="B30" s="3" t="inlineStr">
        <is>
          <t>실전회화/표현</t>
        </is>
      </c>
      <c r="C30" s="4" t="inlineStr">
        <is>
          <t>drop the ball</t>
        </is>
      </c>
      <c r="D30" s="11" t="inlineStr">
        <is>
          <t>망치다, 실수하다</t>
        </is>
      </c>
      <c r="E30" s="11" t="inlineStr">
        <is>
          <t>Sorry, I dropped the ball.</t>
        </is>
      </c>
      <c r="F30" s="11" t="inlineStr">
        <is>
          <t>미안, 내가 실수해서 망쳤어.</t>
        </is>
      </c>
      <c r="G30" s="5">
        <f>HYPERLINK("https://www.youtube.com/watch?v=ZLgM3yMlrCQ", "영상 보기 ▶")</f>
        <v/>
      </c>
    </row>
    <row r="31" ht="26" customHeight="1">
      <c r="A31" s="6" t="n">
        <v>2030</v>
      </c>
      <c r="B31" s="7" t="inlineStr">
        <is>
          <t>실전회화/표현</t>
        </is>
      </c>
      <c r="C31" s="8" t="inlineStr">
        <is>
          <t>I had a ball. / I had a great time.</t>
        </is>
      </c>
      <c r="D31" s="12" t="inlineStr">
        <is>
          <t>정말이지 너무너무 즐겁고 유쾌한 시간을 보냈어</t>
        </is>
      </c>
      <c r="E31" s="12" t="inlineStr">
        <is>
          <t>Thank you for the party; I had an absolute ball!</t>
        </is>
      </c>
      <c r="F31" s="12" t="inlineStr">
        <is>
          <t>파티 초대해 줘서 고마워, 정말 시간 가는 줄 모르고 너무 즐거웠어!</t>
        </is>
      </c>
      <c r="G31" s="9">
        <f>HYPERLINK("https://www.youtube.com/watch?v=ZLgM3yMlrCQ", "영상 보기 ▶")</f>
        <v/>
      </c>
    </row>
    <row r="32" ht="26" customHeight="1">
      <c r="A32" s="2" t="n">
        <v>2031</v>
      </c>
      <c r="B32" s="3" t="inlineStr">
        <is>
          <t>실전회화/표현</t>
        </is>
      </c>
      <c r="C32" s="4" t="inlineStr">
        <is>
          <t>in order</t>
        </is>
      </c>
      <c r="D32" s="11" t="inlineStr">
        <is>
          <t>순서대로</t>
        </is>
      </c>
      <c r="E32" s="11" t="inlineStr">
        <is>
          <t>They are in alphabetical order.</t>
        </is>
      </c>
      <c r="F32" s="11" t="inlineStr">
        <is>
          <t>알파벳 순으로 되어있어요.</t>
        </is>
      </c>
      <c r="G32" s="5">
        <f>HYPERLINK("https://www.youtube.com/watch?v=ZLgM3yMlrCQ", "영상 보기 ▶")</f>
        <v/>
      </c>
    </row>
    <row r="33" ht="26" customHeight="1">
      <c r="A33" s="6" t="n">
        <v>2032</v>
      </c>
      <c r="B33" s="7" t="inlineStr">
        <is>
          <t>실전회화/표현</t>
        </is>
      </c>
      <c r="C33" s="8" t="inlineStr">
        <is>
          <t>in order</t>
        </is>
      </c>
      <c r="D33" s="12" t="inlineStr">
        <is>
          <t>제대로 된</t>
        </is>
      </c>
      <c r="E33" s="12" t="inlineStr">
        <is>
          <t>Everything’s in order.</t>
        </is>
      </c>
      <c r="F33" s="12" t="inlineStr">
        <is>
          <t>다 문제없이 진행되고 있어요.</t>
        </is>
      </c>
      <c r="G33" s="9">
        <f>HYPERLINK("https://www.youtube.com/watch?v=ZLgM3yMlrCQ", "영상 보기 ▶")</f>
        <v/>
      </c>
    </row>
    <row r="34" ht="26" customHeight="1">
      <c r="A34" s="2" t="n">
        <v>2033</v>
      </c>
      <c r="B34" s="3" t="inlineStr">
        <is>
          <t>실전회화/표현</t>
        </is>
      </c>
      <c r="C34" s="4" t="inlineStr">
        <is>
          <t>I hear congratulations are in order.</t>
        </is>
      </c>
      <c r="D34" s="11" t="inlineStr">
        <is>
          <t>축하할 일이 있다고 들었어요.</t>
        </is>
      </c>
      <c r="E34" s="11" t="inlineStr">
        <is>
          <t>I hear congratulations are in order.</t>
        </is>
      </c>
      <c r="F34" s="11" t="inlineStr">
        <is>
          <t>축하할 일이 있다고 들었어요.</t>
        </is>
      </c>
      <c r="G34" s="5">
        <f>HYPERLINK("https://www.youtube.com/watch?v=ZLgM3yMlrCQ", "영상 보기 ▶")</f>
        <v/>
      </c>
    </row>
    <row r="35" ht="26" customHeight="1">
      <c r="A35" s="6" t="n">
        <v>2034</v>
      </c>
      <c r="B35" s="7" t="inlineStr">
        <is>
          <t>실전회화/표현</t>
        </is>
      </c>
      <c r="C35" s="8" t="inlineStr">
        <is>
          <t>put to bed (</t>
        </is>
      </c>
      <c r="D35" s="12" t="inlineStr">
        <is>
          <t>문제를) 해결짓다, 마무리짓다</t>
        </is>
      </c>
      <c r="E35" s="12" t="inlineStr">
        <is>
          <t>Let’s put this issue to bed.</t>
        </is>
      </c>
      <c r="F35" s="12" t="inlineStr">
        <is>
          <t>이 문제를 확실히 종결짓자.</t>
        </is>
      </c>
      <c r="G35" s="9">
        <f>HYPERLINK("https://www.youtube.com/watch?v=ZLgM3yMlrCQ", "영상 보기 ▶")</f>
        <v/>
      </c>
    </row>
    <row r="36" ht="26" customHeight="1">
      <c r="A36" s="2" t="n">
        <v>2035</v>
      </c>
      <c r="B36" s="3" t="inlineStr">
        <is>
          <t>실전회화/표현</t>
        </is>
      </c>
      <c r="C36" s="4" t="inlineStr">
        <is>
          <t>be stuck (~</t>
        </is>
      </c>
      <c r="D36" s="11" t="inlineStr">
        <is>
          <t>에 갇혀) 꼼짝 못하다</t>
        </is>
      </c>
      <c r="E36" s="11" t="inlineStr">
        <is>
          <t>I’m stuck on #2.</t>
        </is>
      </c>
      <c r="F36" s="11" t="inlineStr">
        <is>
          <t>2번 질문에서 막혔어.</t>
        </is>
      </c>
      <c r="G36" s="5">
        <f>HYPERLINK("https://www.youtube.com/watch?v=ZLgM3yMlrCQ", "영상 보기 ▶")</f>
        <v/>
      </c>
    </row>
    <row r="37" ht="26" customHeight="1">
      <c r="A37" s="6" t="n">
        <v>2036</v>
      </c>
      <c r="B37" s="7" t="inlineStr">
        <is>
          <t>실전회화/표현</t>
        </is>
      </c>
      <c r="C37" s="8" t="inlineStr">
        <is>
          <t>sitck around (</t>
        </is>
      </c>
      <c r="D37" s="12" t="inlineStr">
        <is>
          <t>가지 않고) 머무르다</t>
        </is>
      </c>
      <c r="E37" s="12" t="inlineStr">
        <is>
          <t>Can you stick around afterwards? I need to talk to you.</t>
        </is>
      </c>
      <c r="F37" s="12" t="inlineStr">
        <is>
          <t>끝나고 남아줄 수 있어? 할 말이 있어서.</t>
        </is>
      </c>
      <c r="G37" s="9">
        <f>HYPERLINK("https://www.youtube.com/watch?v=ZLgM3yMlrCQ", "영상 보기 ▶")</f>
        <v/>
      </c>
    </row>
    <row r="38" ht="26" customHeight="1">
      <c r="A38" s="2" t="n">
        <v>2037</v>
      </c>
      <c r="B38" s="3" t="inlineStr">
        <is>
          <t>실전회화/표현</t>
        </is>
      </c>
      <c r="C38" s="4" t="inlineStr">
        <is>
          <t>Way to go!</t>
        </is>
      </c>
      <c r="D38" s="11" t="inlineStr">
        <is>
          <t>칭찬할 때, way to</t>
        </is>
      </c>
      <c r="E38" s="11" t="inlineStr">
        <is>
          <t>Way to handle that situation!</t>
        </is>
      </c>
      <c r="F38" s="11" t="inlineStr">
        <is>
          <t>그 상황을 잘 처리했어.</t>
        </is>
      </c>
      <c r="G38" s="5">
        <f>HYPERLINK("https://www.youtube.com/watch?v=ZLgM3yMlrCQ", "영상 보기 ▶")</f>
        <v/>
      </c>
    </row>
    <row r="39" ht="26" customHeight="1">
      <c r="A39" s="6" t="n">
        <v>2038</v>
      </c>
      <c r="B39" s="7" t="inlineStr">
        <is>
          <t>실전회화/표현</t>
        </is>
      </c>
      <c r="C39" s="8" t="inlineStr">
        <is>
          <t>across the board</t>
        </is>
      </c>
      <c r="D39" s="12" t="inlineStr">
        <is>
          <t>전반적으로, 전체적으로</t>
        </is>
      </c>
      <c r="E39" s="12" t="inlineStr">
        <is>
          <t>The prices are gonna go up across the board.</t>
        </is>
      </c>
      <c r="F39" s="12" t="inlineStr">
        <is>
          <t>모든 상품의 가격이 오를거야.</t>
        </is>
      </c>
      <c r="G39" s="9">
        <f>HYPERLINK("https://www.youtube.com/watch?v=ZLgM3yMlrCQ", "영상 보기 ▶")</f>
        <v/>
      </c>
    </row>
    <row r="40" ht="26" customHeight="1">
      <c r="A40" s="2" t="n">
        <v>2039</v>
      </c>
      <c r="B40" s="3" t="inlineStr">
        <is>
          <t>실전회화/표현</t>
        </is>
      </c>
      <c r="C40" s="4" t="inlineStr">
        <is>
          <t>on the surface</t>
        </is>
      </c>
      <c r="D40" s="11" t="inlineStr">
        <is>
          <t>겉보기에는</t>
        </is>
      </c>
      <c r="E40" s="11" t="inlineStr">
        <is>
          <t>Everything looks good on the surface, but it's actually not.</t>
        </is>
      </c>
      <c r="F40" s="11" t="inlineStr">
        <is>
          <t>겉보기엔 다 좋아보여도 실제로는 그렇지 않아.</t>
        </is>
      </c>
      <c r="G40" s="5">
        <f>HYPERLINK("https://www.youtube.com/watch?v=ZLgM3yMlrCQ", "영상 보기 ▶")</f>
        <v/>
      </c>
    </row>
    <row r="41" ht="26" customHeight="1">
      <c r="A41" s="6" t="n">
        <v>2040</v>
      </c>
      <c r="B41" s="7" t="inlineStr">
        <is>
          <t>실전회화/표현</t>
        </is>
      </c>
      <c r="C41" s="8" t="inlineStr">
        <is>
          <t>on paper</t>
        </is>
      </c>
      <c r="D41" s="12" t="inlineStr">
        <is>
          <t>서류상, 이론상으로는</t>
        </is>
      </c>
      <c r="E41" s="12" t="inlineStr">
        <is>
          <t>He looks perfect on paper.</t>
        </is>
      </c>
      <c r="F41" s="12" t="inlineStr">
        <is>
          <t>조건만 봐서는 완벽해.</t>
        </is>
      </c>
      <c r="G41" s="9">
        <f>HYPERLINK("https://www.youtube.com/watch?v=ZLgM3yMlrCQ", "영상 보기 ▶")</f>
        <v/>
      </c>
    </row>
    <row r="42" ht="26" customHeight="1">
      <c r="A42" s="2" t="n">
        <v>2041</v>
      </c>
      <c r="B42" s="3" t="inlineStr">
        <is>
          <t>실전회화/표현</t>
        </is>
      </c>
      <c r="C42" s="4" t="inlineStr">
        <is>
          <t>pull some strings</t>
        </is>
      </c>
      <c r="D42" s="11" t="inlineStr">
        <is>
          <t>인맥을 동원하다</t>
        </is>
      </c>
      <c r="E42" s="11" t="inlineStr">
        <is>
          <t>A: How did you get these tickets?</t>
        </is>
      </c>
      <c r="F42" s="11" t="inlineStr">
        <is>
          <t>표를 어떻게 구한거야?</t>
        </is>
      </c>
      <c r="G42" s="5">
        <f>HYPERLINK("https://www.youtube.com/watch?v=ZLgM3yMlrCQ", "영상 보기 ▶")</f>
        <v/>
      </c>
    </row>
    <row r="43" ht="26" customHeight="1">
      <c r="A43" s="6" t="n">
        <v>2042</v>
      </c>
      <c r="B43" s="7" t="inlineStr">
        <is>
          <t>실전회화/표현</t>
        </is>
      </c>
      <c r="C43" s="8" t="inlineStr">
        <is>
          <t>wonder</t>
        </is>
      </c>
      <c r="D43" s="12" t="inlineStr">
        <is>
          <t>궁금해하다</t>
        </is>
      </c>
      <c r="E43" s="12" t="inlineStr">
        <is>
          <t>It’s nice to hear from you. I was wondering about you.</t>
        </is>
      </c>
      <c r="F43" s="12" t="inlineStr">
        <is>
          <t>안 그래도 어떻게 지내는지 궁금했는데 소식 들으니 좋다.</t>
        </is>
      </c>
      <c r="G43" s="9">
        <f>HYPERLINK("https://www.youtube.com/watch?v=ZLgM3yMlrCQ", "영상 보기 ▶")</f>
        <v/>
      </c>
    </row>
    <row r="44" ht="26" customHeight="1">
      <c r="A44" s="2" t="n">
        <v>2043</v>
      </c>
      <c r="B44" s="3" t="inlineStr">
        <is>
          <t>실전회화/표현</t>
        </is>
      </c>
      <c r="C44" s="4" t="inlineStr">
        <is>
          <t>wander</t>
        </is>
      </c>
      <c r="D44" s="11" t="inlineStr">
        <is>
          <t>돌아다니다, 거닐다</t>
        </is>
      </c>
      <c r="E44" s="11" t="inlineStr">
        <is>
          <t>A: What arr you gonna do in New York?</t>
        </is>
      </c>
      <c r="F44" s="11" t="inlineStr">
        <is>
          <t>뉴욕에 가서 뭐할거야?</t>
        </is>
      </c>
      <c r="G44" s="5">
        <f>HYPERLINK("https://www.youtube.com/watch?v=ZLgM3yMlrCQ", "영상 보기 ▶")</f>
        <v/>
      </c>
    </row>
    <row r="45" ht="26" customHeight="1">
      <c r="A45" s="6" t="n">
        <v>2044</v>
      </c>
      <c r="B45" s="7" t="inlineStr">
        <is>
          <t>실전회화/표현</t>
        </is>
      </c>
      <c r="C45" s="8" t="inlineStr">
        <is>
          <t>My mind’s wandering.</t>
        </is>
      </c>
      <c r="D45" s="12" t="inlineStr">
        <is>
          <t>집중이 안 되네.</t>
        </is>
      </c>
      <c r="E45" s="12" t="inlineStr">
        <is>
          <t>My mind’s wandering.</t>
        </is>
      </c>
      <c r="F45" s="12" t="inlineStr">
        <is>
          <t>집중이 안 되네.</t>
        </is>
      </c>
      <c r="G45" s="9">
        <f>HYPERLINK("https://www.youtube.com/watch?v=ZLgM3yMlrCQ", "영상 보기 ▶")</f>
        <v/>
      </c>
    </row>
    <row r="46" ht="26" customHeight="1">
      <c r="A46" s="2" t="n">
        <v>2045</v>
      </c>
      <c r="B46" s="3" t="inlineStr">
        <is>
          <t>실전회화/표현</t>
        </is>
      </c>
      <c r="C46" s="4" t="inlineStr">
        <is>
          <t>be good at ~</t>
        </is>
      </c>
      <c r="D46" s="11" t="inlineStr">
        <is>
          <t>를 잘 하다</t>
        </is>
      </c>
      <c r="E46" s="11" t="inlineStr">
        <is>
          <t>I’ve gotten good at presenting.</t>
        </is>
      </c>
      <c r="F46" s="11" t="inlineStr">
        <is>
          <t>이제는 발표를 잘 하게 됐어.</t>
        </is>
      </c>
      <c r="G46" s="5">
        <f>HYPERLINK("https://www.youtube.com/watch?v=ZLgM3yMlrCQ", "영상 보기 ▶")</f>
        <v/>
      </c>
    </row>
    <row r="47" ht="26" customHeight="1">
      <c r="A47" s="6" t="n">
        <v>2046</v>
      </c>
      <c r="B47" s="7" t="inlineStr">
        <is>
          <t>실전회화/표현</t>
        </is>
      </c>
      <c r="C47" s="8" t="inlineStr">
        <is>
          <t>be good with ~</t>
        </is>
      </c>
      <c r="D47" s="12" t="inlineStr">
        <is>
          <t>를 잘 다루다/어울리다</t>
        </is>
      </c>
      <c r="E47" s="12" t="inlineStr">
        <is>
          <t>I’m not good with names.</t>
        </is>
      </c>
      <c r="F47" s="12" t="inlineStr">
        <is>
          <t>내가 이름을 잘 못 외워.</t>
        </is>
      </c>
      <c r="G47" s="9">
        <f>HYPERLINK("https://www.youtube.com/watch?v=ZLgM3yMlrCQ", "영상 보기 ▶")</f>
        <v/>
      </c>
    </row>
    <row r="48" ht="26" customHeight="1">
      <c r="A48" s="2" t="n">
        <v>2047</v>
      </c>
      <c r="B48" s="3" t="inlineStr">
        <is>
          <t>실전회화/표현</t>
        </is>
      </c>
      <c r="C48" s="4" t="inlineStr">
        <is>
          <t>encourage</t>
        </is>
      </c>
      <c r="D48" s="11" t="inlineStr">
        <is>
          <t>용기를 북돋다, 권장하다</t>
        </is>
      </c>
      <c r="E48" s="11" t="inlineStr">
        <is>
          <t>It’s a great program. I encourage everyone to check it out.</t>
        </is>
      </c>
      <c r="F48" s="11" t="inlineStr">
        <is>
          <t>정말 좋은 프로그램이니 모두 한번 확인해보시는 걸 권해요.</t>
        </is>
      </c>
      <c r="G48" s="5">
        <f>HYPERLINK("https://www.youtube.com/watch?v=ZLgM3yMlrCQ", "영상 보기 ▶")</f>
        <v/>
      </c>
    </row>
    <row r="49" ht="26" customHeight="1">
      <c r="A49" s="6" t="n">
        <v>2048</v>
      </c>
      <c r="B49" s="7" t="inlineStr">
        <is>
          <t>실전회화/표현</t>
        </is>
      </c>
      <c r="C49" s="8" t="inlineStr">
        <is>
          <t>encouraging</t>
        </is>
      </c>
      <c r="D49" s="12" t="inlineStr">
        <is>
          <t>힘 나게 하는, 고무적인</t>
        </is>
      </c>
      <c r="E49" s="12" t="inlineStr">
        <is>
          <t>A: We’re seeing some positive results.</t>
        </is>
      </c>
      <c r="F49" s="12" t="inlineStr">
        <is>
          <t>좋은 결과가 보여.</t>
        </is>
      </c>
      <c r="G49" s="9">
        <f>HYPERLINK("https://www.youtube.com/watch?v=ZLgM3yMlrCQ", "영상 보기 ▶")</f>
        <v/>
      </c>
    </row>
    <row r="50" ht="26" customHeight="1">
      <c r="A50" s="2" t="n">
        <v>2049</v>
      </c>
      <c r="B50" s="3" t="inlineStr">
        <is>
          <t>실전회화/표현</t>
        </is>
      </c>
      <c r="C50" s="4" t="inlineStr">
        <is>
          <t>discourage</t>
        </is>
      </c>
      <c r="D50" s="11" t="inlineStr">
        <is>
          <t>의욕을 꺾다, 단념하게 만들다</t>
        </is>
      </c>
      <c r="E50" s="11" t="inlineStr">
        <is>
          <t>That’t discouraging.</t>
        </is>
      </c>
      <c r="F50" s="11" t="inlineStr">
        <is>
          <t>어우 힘빠져.</t>
        </is>
      </c>
      <c r="G50" s="5">
        <f>HYPERLINK("https://www.youtube.com/watch?v=ZLgM3yMlrCQ", "영상 보기 ▶")</f>
        <v/>
      </c>
    </row>
    <row r="51" ht="26" customHeight="1">
      <c r="A51" s="6" t="n">
        <v>2050</v>
      </c>
      <c r="B51" s="7" t="inlineStr">
        <is>
          <t>실전회화/표현</t>
        </is>
      </c>
      <c r="C51" s="8" t="inlineStr">
        <is>
          <t>worthwhile ~</t>
        </is>
      </c>
      <c r="D51" s="12" t="inlineStr">
        <is>
          <t>할 가치가 있는</t>
        </is>
      </c>
      <c r="E51" s="12" t="inlineStr">
        <is>
          <t>This trip was worthwhile.</t>
        </is>
      </c>
      <c r="F51" s="12" t="inlineStr">
        <is>
          <t>여기까지 온 보람이 있네.</t>
        </is>
      </c>
      <c r="G51" s="9">
        <f>HYPERLINK("https://www.youtube.com/watch?v=ZLgM3yMlrCQ", "영상 보기 ▶")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8" customWidth="1" min="3" max="3"/>
    <col width="48" customWidth="1" min="4" max="4"/>
    <col width="60" customWidth="1" min="5" max="5"/>
    <col width="52.8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2051</v>
      </c>
      <c r="B2" s="3" t="inlineStr">
        <is>
          <t>실전회화/표현</t>
        </is>
      </c>
      <c r="C2" s="4" t="inlineStr">
        <is>
          <t>odd</t>
        </is>
      </c>
      <c r="D2" s="11" t="inlineStr">
        <is>
          <t>이상한, 특이한</t>
        </is>
      </c>
      <c r="E2" s="11" t="inlineStr">
        <is>
          <t>odd</t>
        </is>
      </c>
      <c r="F2" s="11" t="inlineStr">
        <is>
          <t>이상한, 특이한</t>
        </is>
      </c>
      <c r="G2" s="5">
        <f>HYPERLINK("https://www.youtube.com/watch?v=EJGdAlhCjj0", "영상 보기 ▶")</f>
        <v/>
      </c>
    </row>
    <row r="3" ht="26" customHeight="1">
      <c r="A3" s="6" t="n">
        <v>2052</v>
      </c>
      <c r="B3" s="7" t="inlineStr">
        <is>
          <t>실전회화/표현</t>
        </is>
      </c>
      <c r="C3" s="8" t="inlineStr">
        <is>
          <t>odds</t>
        </is>
      </c>
      <c r="D3" s="12" t="inlineStr">
        <is>
          <t>확률/가능성</t>
        </is>
      </c>
      <c r="E3" s="12" t="inlineStr">
        <is>
          <t>- What are the odds?</t>
        </is>
      </c>
      <c r="F3" s="12" t="inlineStr">
        <is>
          <t>그럴 확률이 얼마나 돼?/이런 우연이 있나/말도 안 돼</t>
        </is>
      </c>
      <c r="G3" s="9">
        <f>HYPERLINK("https://www.youtube.com/watch?v=EJGdAlhCjj0", "영상 보기 ▶")</f>
        <v/>
      </c>
    </row>
    <row r="4" ht="26" customHeight="1">
      <c r="A4" s="2" t="n">
        <v>2053</v>
      </c>
      <c r="B4" s="3" t="inlineStr">
        <is>
          <t>실전회화/표현</t>
        </is>
      </c>
      <c r="C4" s="4" t="inlineStr">
        <is>
          <t>defy the odds</t>
        </is>
      </c>
      <c r="D4" s="11" t="inlineStr">
        <is>
          <t>예상을 깨다, 불리한 상황을 극복하다</t>
        </is>
      </c>
      <c r="E4" s="11" t="inlineStr">
        <is>
          <t>- They defied the odds and won the game.</t>
        </is>
      </c>
      <c r="F4" s="11" t="inlineStr">
        <is>
          <t>불리한 상황을 뚫고 이겼다.</t>
        </is>
      </c>
      <c r="G4" s="5">
        <f>HYPERLINK("https://www.youtube.com/watch?v=EJGdAlhCjj0", "영상 보기 ▶")</f>
        <v/>
      </c>
    </row>
    <row r="5" ht="26" customHeight="1">
      <c r="A5" s="6" t="n">
        <v>2054</v>
      </c>
      <c r="B5" s="7" t="inlineStr">
        <is>
          <t>실전회화/표현</t>
        </is>
      </c>
      <c r="C5" s="8" t="inlineStr">
        <is>
          <t>for now</t>
        </is>
      </c>
      <c r="D5" s="12" t="inlineStr">
        <is>
          <t>지금으로선, 일단은</t>
        </is>
      </c>
      <c r="E5" s="12" t="inlineStr">
        <is>
          <t>B: We're good for now.</t>
        </is>
      </c>
      <c r="F5" s="12" t="inlineStr">
        <is>
          <t>지금은 필요한 거 없이 괜찮아요.</t>
        </is>
      </c>
      <c r="G5" s="9">
        <f>HYPERLINK("https://www.youtube.com/watch?v=EJGdAlhCjj0", "영상 보기 ▶")</f>
        <v/>
      </c>
    </row>
    <row r="6" ht="26" customHeight="1">
      <c r="A6" s="2" t="n">
        <v>2055</v>
      </c>
      <c r="B6" s="3" t="inlineStr">
        <is>
          <t>실전회화/표현</t>
        </is>
      </c>
      <c r="C6" s="4" t="inlineStr">
        <is>
          <t>by choice</t>
        </is>
      </c>
      <c r="D6" s="11" t="inlineStr">
        <is>
          <t>원해서, 자발적으로</t>
        </is>
      </c>
      <c r="E6" s="11" t="inlineStr">
        <is>
          <t>- I'm not here by choice.</t>
        </is>
      </c>
      <c r="F6" s="11" t="inlineStr">
        <is>
          <t>내가 원해서 여기 있는 게 아니야.</t>
        </is>
      </c>
      <c r="G6" s="5">
        <f>HYPERLINK("https://www.youtube.com/watch?v=EJGdAlhCjj0", "영상 보기 ▶")</f>
        <v/>
      </c>
    </row>
    <row r="7" ht="26" customHeight="1">
      <c r="A7" s="6" t="n">
        <v>2056</v>
      </c>
      <c r="B7" s="7" t="inlineStr">
        <is>
          <t>실전회화/표현</t>
        </is>
      </c>
      <c r="C7" s="8" t="inlineStr">
        <is>
          <t>unbearable</t>
        </is>
      </c>
      <c r="D7" s="12" t="inlineStr">
        <is>
          <t>참을 수 없는, 견딜 수 없는</t>
        </is>
      </c>
      <c r="E7" s="12" t="inlineStr">
        <is>
          <t>- This heat is unbearable.</t>
        </is>
      </c>
      <c r="F7" s="12" t="inlineStr">
        <is>
          <t>진짜 너무 덥다.</t>
        </is>
      </c>
      <c r="G7" s="9">
        <f>HYPERLINK("https://www.youtube.com/watch?v=EJGdAlhCjj0", "영상 보기 ▶")</f>
        <v/>
      </c>
    </row>
    <row r="8" ht="26" customHeight="1">
      <c r="A8" s="2" t="n">
        <v>2057</v>
      </c>
      <c r="B8" s="3" t="inlineStr">
        <is>
          <t>실전회화/표현</t>
        </is>
      </c>
      <c r="C8" s="4" t="inlineStr">
        <is>
          <t>hang in there</t>
        </is>
      </c>
      <c r="D8" s="11" t="inlineStr">
        <is>
          <t>버티다, 견뎌내다</t>
        </is>
      </c>
      <c r="E8" s="11" t="inlineStr">
        <is>
          <t>- I know it's tough, but hang in there.</t>
        </is>
      </c>
      <c r="F8" s="11" t="inlineStr">
        <is>
          <t>힘든 거 아는데 그래도 조금만 버텨봐.</t>
        </is>
      </c>
      <c r="G8" s="5">
        <f>HYPERLINK("https://www.youtube.com/watch?v=EJGdAlhCjj0", "영상 보기 ▶")</f>
        <v/>
      </c>
    </row>
    <row r="9" ht="26" customHeight="1">
      <c r="A9" s="6" t="n">
        <v>2058</v>
      </c>
      <c r="B9" s="7" t="inlineStr">
        <is>
          <t>실전회화/표현</t>
        </is>
      </c>
      <c r="C9" s="8" t="inlineStr">
        <is>
          <t>in the zone</t>
        </is>
      </c>
      <c r="D9" s="12" t="inlineStr">
        <is>
          <t>완전히 집중한/몰입한</t>
        </is>
      </c>
      <c r="E9" s="12" t="inlineStr">
        <is>
          <t>- Sorry, I was in the zone and didn't hear what you said.</t>
        </is>
      </c>
      <c r="F9" s="12" t="inlineStr">
        <is>
          <t>미안 여기에 집중하느라 뭐라 하는지 못 들었어.</t>
        </is>
      </c>
      <c r="G9" s="9">
        <f>HYPERLINK("https://www.youtube.com/watch?v=EJGdAlhCjj0", "영상 보기 ▶")</f>
        <v/>
      </c>
    </row>
    <row r="10" ht="26" customHeight="1">
      <c r="A10" s="2" t="n">
        <v>2059</v>
      </c>
      <c r="B10" s="3" t="inlineStr">
        <is>
          <t>실전회화/표현</t>
        </is>
      </c>
      <c r="C10" s="4" t="inlineStr">
        <is>
          <t>zone out</t>
        </is>
      </c>
      <c r="D10" s="11" t="inlineStr">
        <is>
          <t>멍 때리다</t>
        </is>
      </c>
      <c r="E10" s="11" t="inlineStr">
        <is>
          <t>- I'm sorry. I zoned out for a second.</t>
        </is>
      </c>
      <c r="F10" s="11" t="inlineStr">
        <is>
          <t>미안. 순간 멍 때렸어.</t>
        </is>
      </c>
      <c r="G10" s="5">
        <f>HYPERLINK("https://www.youtube.com/watch?v=EJGdAlhCjj0", "영상 보기 ▶")</f>
        <v/>
      </c>
    </row>
    <row r="11" ht="26" customHeight="1">
      <c r="A11" s="6" t="n">
        <v>2060</v>
      </c>
      <c r="B11" s="7" t="inlineStr">
        <is>
          <t>의견/의사결정</t>
        </is>
      </c>
      <c r="C11" s="8" t="inlineStr">
        <is>
          <t>I'm in the friend zone.</t>
        </is>
      </c>
      <c r="D11" s="12" t="inlineStr">
        <is>
          <t>걘 날 친구로만 생각해.</t>
        </is>
      </c>
      <c r="E11" s="12" t="inlineStr">
        <is>
          <t>I'm in the friend zone.</t>
        </is>
      </c>
      <c r="F11" s="12" t="inlineStr">
        <is>
          <t>걘 날 친구로만 생각해.</t>
        </is>
      </c>
      <c r="G11" s="9">
        <f>HYPERLINK("https://www.youtube.com/watch?v=EJGdAlhCjj0", "영상 보기 ▶")</f>
        <v/>
      </c>
    </row>
    <row r="12" ht="26" customHeight="1">
      <c r="A12" s="2" t="n">
        <v>2061</v>
      </c>
      <c r="B12" s="3" t="inlineStr">
        <is>
          <t>실전회화/표현</t>
        </is>
      </c>
      <c r="C12" s="4" t="inlineStr">
        <is>
          <t>comfort zone</t>
        </is>
      </c>
      <c r="D12" s="11" t="inlineStr">
        <is>
          <t>(심리적) 안전지대</t>
        </is>
      </c>
      <c r="E12" s="11" t="inlineStr">
        <is>
          <t>- You need to step out of your comfort zone.</t>
        </is>
      </c>
      <c r="F12" s="11" t="inlineStr">
        <is>
          <t>쉽지 않더라도 도전해 봐/불편하고 어색하더라도 시도해 봐.</t>
        </is>
      </c>
      <c r="G12" s="5">
        <f>HYPERLINK("https://www.youtube.com/watch?v=EJGdAlhCjj0", "영상 보기 ▶")</f>
        <v/>
      </c>
    </row>
    <row r="13" ht="26" customHeight="1">
      <c r="A13" s="6" t="n">
        <v>2062</v>
      </c>
      <c r="B13" s="7" t="inlineStr">
        <is>
          <t>실전회화/표현</t>
        </is>
      </c>
      <c r="C13" s="8" t="inlineStr">
        <is>
          <t>sit well with</t>
        </is>
      </c>
      <c r="D13" s="12" t="inlineStr">
        <is>
          <t>잘 받아들여지다, 납득이 되다</t>
        </is>
      </c>
      <c r="E13" s="12" t="inlineStr">
        <is>
          <t>- It doesn't sit well with me.</t>
        </is>
      </c>
      <c r="F13" s="12" t="inlineStr">
        <is>
          <t>그게 마음에 안 들어/납득이 안돼/찜찜해.</t>
        </is>
      </c>
      <c r="G13" s="9">
        <f>HYPERLINK("https://www.youtube.com/watch?v=EJGdAlhCjj0", "영상 보기 ▶")</f>
        <v/>
      </c>
    </row>
    <row r="14" ht="26" customHeight="1">
      <c r="A14" s="2" t="n">
        <v>2063</v>
      </c>
      <c r="B14" s="3" t="inlineStr">
        <is>
          <t>실전회화/표현</t>
        </is>
      </c>
      <c r="C14" s="4" t="inlineStr">
        <is>
          <t>명사 favor</t>
        </is>
      </c>
      <c r="D14" s="11" t="inlineStr">
        <is>
          <t>부탁, 호의</t>
        </is>
      </c>
      <c r="E14" s="11" t="inlineStr">
        <is>
          <t>- Can I ask you a favor?</t>
        </is>
      </c>
      <c r="F14" s="11" t="inlineStr">
        <is>
          <t>부탁 하나만 해도 될까?</t>
        </is>
      </c>
      <c r="G14" s="5">
        <f>HYPERLINK("https://www.youtube.com/watch?v=EJGdAlhCjj0", "영상 보기 ▶")</f>
        <v/>
      </c>
    </row>
    <row r="15" ht="26" customHeight="1">
      <c r="A15" s="6" t="n">
        <v>2064</v>
      </c>
      <c r="B15" s="7" t="inlineStr">
        <is>
          <t>실전회화/표현</t>
        </is>
      </c>
      <c r="C15" s="8" t="inlineStr">
        <is>
          <t>in one's favor</t>
        </is>
      </c>
      <c r="D15" s="12" t="inlineStr">
        <is>
          <t>~에게 유리하게</t>
        </is>
      </c>
      <c r="E15" s="12" t="inlineStr">
        <is>
          <t>- The math is in our favor.</t>
        </is>
      </c>
      <c r="F15" s="12" t="inlineStr">
        <is>
          <t>계산해 보면 우리가 유리해, 수학은 우리 편이야</t>
        </is>
      </c>
      <c r="G15" s="9">
        <f>HYPERLINK("https://www.youtube.com/watch?v=EJGdAlhCjj0", "영상 보기 ▶")</f>
        <v/>
      </c>
    </row>
    <row r="16" ht="26" customHeight="1">
      <c r="A16" s="2" t="n">
        <v>2065</v>
      </c>
      <c r="B16" s="3" t="inlineStr">
        <is>
          <t>의견/의사결정</t>
        </is>
      </c>
      <c r="C16" s="4" t="inlineStr">
        <is>
          <t>in favor of</t>
        </is>
      </c>
      <c r="D16" s="11" t="inlineStr">
        <is>
          <t>~에 찬성/지지하여</t>
        </is>
      </c>
      <c r="E16" s="11" t="inlineStr">
        <is>
          <t>in favor of</t>
        </is>
      </c>
      <c r="F16" s="11" t="inlineStr">
        <is>
          <t>~에 찬성/지지하여</t>
        </is>
      </c>
      <c r="G16" s="5">
        <f>HYPERLINK("https://www.youtube.com/watch?v=EJGdAlhCjj0", "영상 보기 ▶")</f>
        <v/>
      </c>
    </row>
    <row r="17" ht="26" customHeight="1">
      <c r="A17" s="6" t="n">
        <v>2066</v>
      </c>
      <c r="B17" s="7" t="inlineStr">
        <is>
          <t>의견/의사결정</t>
        </is>
      </c>
      <c r="C17" s="8" t="inlineStr">
        <is>
          <t>be all for</t>
        </is>
      </c>
      <c r="D17" s="12" t="inlineStr">
        <is>
          <t>~에 대찬성이야/전적으로 동의, 지지해</t>
        </is>
      </c>
      <c r="E17" s="12" t="inlineStr">
        <is>
          <t>be all for</t>
        </is>
      </c>
      <c r="F17" s="12" t="inlineStr">
        <is>
          <t>~에 대찬성이야/전적으로 동의, 지지해</t>
        </is>
      </c>
      <c r="G17" s="9">
        <f>HYPERLINK("https://www.youtube.com/watch?v=EJGdAlhCjj0", "영상 보기 ▶")</f>
        <v/>
      </c>
    </row>
    <row r="18" ht="26" customHeight="1">
      <c r="A18" s="2" t="n">
        <v>2067</v>
      </c>
      <c r="B18" s="3" t="inlineStr">
        <is>
          <t>실전회화/표현</t>
        </is>
      </c>
      <c r="C18" s="4" t="inlineStr">
        <is>
          <t>unanimous</t>
        </is>
      </c>
      <c r="D18" s="11" t="inlineStr">
        <is>
          <t>만장일치의</t>
        </is>
      </c>
      <c r="E18" s="11" t="inlineStr">
        <is>
          <t>- It was a unanimous yes.</t>
        </is>
      </c>
      <c r="F18" s="11" t="inlineStr">
        <is>
          <t>다들 동의했어.</t>
        </is>
      </c>
      <c r="G18" s="5">
        <f>HYPERLINK("https://www.youtube.com/watch?v=EJGdAlhCjj0", "영상 보기 ▶")</f>
        <v/>
      </c>
    </row>
    <row r="19" ht="26" customHeight="1">
      <c r="A19" s="6" t="n">
        <v>2068</v>
      </c>
      <c r="B19" s="7" t="inlineStr">
        <is>
          <t>실전회화/표현</t>
        </is>
      </c>
      <c r="C19" s="8" t="inlineStr">
        <is>
          <t>동사 favor</t>
        </is>
      </c>
      <c r="D19" s="12" t="inlineStr">
        <is>
          <t>~를 선호하다</t>
        </is>
      </c>
      <c r="E19" s="12" t="inlineStr">
        <is>
          <t>- I don't favor that approach.</t>
        </is>
      </c>
      <c r="F19" s="12" t="inlineStr">
        <is>
          <t>난 그 방식을 선호하진 않아.</t>
        </is>
      </c>
      <c r="G19" s="9">
        <f>HYPERLINK("https://www.youtube.com/watch?v=EJGdAlhCjj0", "영상 보기 ▶")</f>
        <v/>
      </c>
    </row>
    <row r="20" ht="26" customHeight="1">
      <c r="A20" s="2" t="n">
        <v>2069</v>
      </c>
      <c r="B20" s="3" t="inlineStr">
        <is>
          <t>실전회화/표현</t>
        </is>
      </c>
      <c r="C20" s="4" t="inlineStr">
        <is>
          <t>play favorites</t>
        </is>
      </c>
      <c r="D20" s="11" t="inlineStr">
        <is>
          <t>편애하다</t>
        </is>
      </c>
      <c r="E20" s="11" t="inlineStr">
        <is>
          <t>- I can't play favorites.</t>
        </is>
      </c>
      <c r="F20" s="11" t="inlineStr">
        <is>
          <t>내가 누구만 편애할 순 없잖아.</t>
        </is>
      </c>
      <c r="G20" s="5">
        <f>HYPERLINK("https://www.youtube.com/watch?v=EJGdAlhCjj0", "영상 보기 ▶")</f>
        <v/>
      </c>
    </row>
    <row r="21" ht="26" customHeight="1">
      <c r="A21" s="6" t="n">
        <v>2070</v>
      </c>
      <c r="B21" s="7" t="inlineStr">
        <is>
          <t>실전회화/표현</t>
        </is>
      </c>
      <c r="C21" s="8" t="inlineStr">
        <is>
          <t>disinterested</t>
        </is>
      </c>
      <c r="D21" s="12" t="inlineStr">
        <is>
          <t>객관적인, 사심 없는, 공평한 (unbiased)</t>
        </is>
      </c>
      <c r="E21" s="12" t="inlineStr">
        <is>
          <t>- He's a disinterested judge.</t>
        </is>
      </c>
      <c r="F21" s="12" t="inlineStr">
        <is>
          <t>그는 공정한 판사/심판관이야.</t>
        </is>
      </c>
      <c r="G21" s="9">
        <f>HYPERLINK("https://www.youtube.com/watch?v=EJGdAlhCjj0", "영상 보기 ▶")</f>
        <v/>
      </c>
    </row>
    <row r="22" ht="26" customHeight="1">
      <c r="A22" s="2" t="n">
        <v>2071</v>
      </c>
      <c r="B22" s="3" t="inlineStr">
        <is>
          <t>실전회화/표현</t>
        </is>
      </c>
      <c r="C22" s="4" t="inlineStr">
        <is>
          <t>uninterested</t>
        </is>
      </c>
      <c r="D22" s="11" t="inlineStr">
        <is>
          <t>흥미/관심 없는</t>
        </is>
      </c>
      <c r="E22" s="11" t="inlineStr">
        <is>
          <t>uninterested</t>
        </is>
      </c>
      <c r="F22" s="11" t="inlineStr">
        <is>
          <t>흥미/관심 없는</t>
        </is>
      </c>
      <c r="G22" s="5">
        <f>HYPERLINK("https://www.youtube.com/watch?v=EJGdAlhCjj0", "영상 보기 ▶")</f>
        <v/>
      </c>
    </row>
    <row r="23" ht="26" customHeight="1">
      <c r="A23" s="6" t="n">
        <v>2072</v>
      </c>
      <c r="B23" s="7" t="inlineStr">
        <is>
          <t>실전회화/표현</t>
        </is>
      </c>
      <c r="C23" s="8" t="inlineStr">
        <is>
          <t>play out</t>
        </is>
      </c>
      <c r="D23" s="12" t="inlineStr">
        <is>
          <t>(상황이 특정 방식으로) 전개/진행되다</t>
        </is>
      </c>
      <c r="E23" s="12" t="inlineStr">
        <is>
          <t>- Let's see how things play out.</t>
        </is>
      </c>
      <c r="F23" s="12" t="inlineStr">
        <is>
          <t>어떻게 상황이 전개되는지 봐보자</t>
        </is>
      </c>
      <c r="G23" s="9">
        <f>HYPERLINK("https://www.youtube.com/watch?v=EJGdAlhCjj0", "영상 보기 ▶")</f>
        <v/>
      </c>
    </row>
    <row r="24" ht="26" customHeight="1">
      <c r="A24" s="2" t="n">
        <v>2073</v>
      </c>
      <c r="B24" s="3" t="inlineStr">
        <is>
          <t>실전회화/표현</t>
        </is>
      </c>
      <c r="C24" s="4" t="inlineStr">
        <is>
          <t>pan out</t>
        </is>
      </c>
      <c r="D24" s="11" t="inlineStr">
        <is>
          <t>(상황이 특정 방식으로) 전개/진행되다</t>
        </is>
      </c>
      <c r="E24" s="11" t="inlineStr">
        <is>
          <t>- I hope this investment pans out.</t>
        </is>
      </c>
      <c r="F24" s="11" t="inlineStr">
        <is>
          <t>이 투자가 결과적으로 잘 되면 좋겠다.</t>
        </is>
      </c>
      <c r="G24" s="5">
        <f>HYPERLINK("https://www.youtube.com/watch?v=EJGdAlhCjj0", "영상 보기 ▶")</f>
        <v/>
      </c>
    </row>
    <row r="25" ht="26" customHeight="1">
      <c r="A25" s="6" t="n">
        <v>2074</v>
      </c>
      <c r="B25" s="7" t="inlineStr">
        <is>
          <t>실전회화/표현</t>
        </is>
      </c>
      <c r="C25" s="8" t="inlineStr">
        <is>
          <t>take a chance</t>
        </is>
      </c>
      <c r="D25" s="12" t="inlineStr">
        <is>
          <t>(성공 가능성을 믿고) 시도해 보다, 용기 내 도전하다</t>
        </is>
      </c>
      <c r="E25" s="12" t="inlineStr">
        <is>
          <t>- You should take a chance.</t>
        </is>
      </c>
      <c r="F25" s="12" t="inlineStr">
        <is>
          <t>운에 맡기고 한번 해봐. 모험 삼아 해봐 잘될 수도 있잖아.</t>
        </is>
      </c>
      <c r="G25" s="9">
        <f>HYPERLINK("https://www.youtube.com/watch?v=EJGdAlhCjj0", "영상 보기 ▶")</f>
        <v/>
      </c>
    </row>
    <row r="26" ht="26" customHeight="1">
      <c r="A26" s="2" t="n">
        <v>2075</v>
      </c>
      <c r="B26" s="3" t="inlineStr">
        <is>
          <t>실전회화/표현</t>
        </is>
      </c>
      <c r="C26" s="4" t="inlineStr">
        <is>
          <t>profound</t>
        </is>
      </c>
      <c r="D26" s="11" t="inlineStr">
        <is>
          <t>심오한, 엄청난, 깊이 있는</t>
        </is>
      </c>
      <c r="E26" s="11" t="inlineStr">
        <is>
          <t>profound</t>
        </is>
      </c>
      <c r="F26" s="11" t="inlineStr">
        <is>
          <t>심오한, 엄청난, 깊이 있는</t>
        </is>
      </c>
      <c r="G26" s="5">
        <f>HYPERLINK("https://www.youtube.com/watch?v=EJGdAlhCjj0", "영상 보기 ▶")</f>
        <v/>
      </c>
    </row>
    <row r="27" ht="26" customHeight="1">
      <c r="A27" s="6" t="n">
        <v>2076</v>
      </c>
      <c r="B27" s="7" t="inlineStr">
        <is>
          <t>실전회화/표현</t>
        </is>
      </c>
      <c r="C27" s="8" t="inlineStr">
        <is>
          <t>up to par</t>
        </is>
      </c>
      <c r="D27" s="12" t="inlineStr">
        <is>
          <t>기대에 부응하는, 표준/평균 수준에 도달하는</t>
        </is>
      </c>
      <c r="E27" s="12" t="inlineStr">
        <is>
          <t>- The food wasn't up to par.</t>
        </is>
      </c>
      <c r="F27" s="12" t="inlineStr">
        <is>
          <t>음식이 기대보다 별로였어.</t>
        </is>
      </c>
      <c r="G27" s="9">
        <f>HYPERLINK("https://www.youtube.com/watch?v=EJGdAlhCjj0", "영상 보기 ▶")</f>
        <v/>
      </c>
    </row>
    <row r="28" ht="26" customHeight="1">
      <c r="A28" s="2" t="n">
        <v>2077</v>
      </c>
      <c r="B28" s="3" t="inlineStr">
        <is>
          <t>실전회화/표현</t>
        </is>
      </c>
      <c r="C28" s="4" t="inlineStr">
        <is>
          <t>raise the bar</t>
        </is>
      </c>
      <c r="D28" s="11" t="inlineStr">
        <is>
          <t>기대치/기준을 높이다</t>
        </is>
      </c>
      <c r="E28" s="11" t="inlineStr">
        <is>
          <t>- You gotta raise the bar.</t>
        </is>
      </c>
      <c r="F28" s="11" t="inlineStr">
        <is>
          <t>넌 눈 좀 높여야 해.</t>
        </is>
      </c>
      <c r="G28" s="5">
        <f>HYPERLINK("https://www.youtube.com/watch?v=EJGdAlhCjj0", "영상 보기 ▶")</f>
        <v/>
      </c>
    </row>
    <row r="29" ht="26" customHeight="1">
      <c r="A29" s="6" t="n">
        <v>2078</v>
      </c>
      <c r="B29" s="7" t="inlineStr">
        <is>
          <t>실전회화/표현</t>
        </is>
      </c>
      <c r="C29" s="8" t="inlineStr">
        <is>
          <t>lower the bar</t>
        </is>
      </c>
      <c r="D29" s="12" t="inlineStr">
        <is>
          <t>기대치/기준을 낮추다</t>
        </is>
      </c>
      <c r="E29" s="12" t="inlineStr">
        <is>
          <t>- Do you think I should lower the bar?</t>
        </is>
      </c>
      <c r="F29" s="12" t="inlineStr">
        <is>
          <t>나 현실적으로 눈을 좀 낮춰야 될까?</t>
        </is>
      </c>
      <c r="G29" s="9">
        <f>HYPERLINK("https://www.youtube.com/watch?v=EJGdAlhCjj0", "영상 보기 ▶")</f>
        <v/>
      </c>
    </row>
    <row r="30" ht="26" customHeight="1">
      <c r="A30" s="2" t="n">
        <v>2079</v>
      </c>
      <c r="B30" s="3" t="inlineStr">
        <is>
          <t>실전회화/표현</t>
        </is>
      </c>
      <c r="C30" s="4" t="inlineStr">
        <is>
          <t>shed light on</t>
        </is>
      </c>
      <c r="D30" s="11" t="inlineStr">
        <is>
          <t>~을 비추다, 설명하다, 명확하게 해주다</t>
        </is>
      </c>
      <c r="E30" s="11" t="inlineStr">
        <is>
          <t>- Can you shed some light on what happened?</t>
        </is>
      </c>
      <c r="F30" s="11" t="inlineStr">
        <is>
          <t>무슨 일이 있던 건지 좀 설명해 줄 수 있어?</t>
        </is>
      </c>
      <c r="G30" s="5">
        <f>HYPERLINK("https://www.youtube.com/watch?v=EJGdAlhCjj0", "영상 보기 ▶")</f>
        <v/>
      </c>
    </row>
    <row r="31" ht="26" customHeight="1">
      <c r="A31" s="6" t="n">
        <v>2080</v>
      </c>
      <c r="B31" s="7" t="inlineStr">
        <is>
          <t>공감/감정</t>
        </is>
      </c>
      <c r="C31" s="8" t="inlineStr">
        <is>
          <t>envision</t>
        </is>
      </c>
      <c r="D31" s="12" t="inlineStr">
        <is>
          <t>~를 마음속에 그리다, 구상하다</t>
        </is>
      </c>
      <c r="E31" s="12" t="inlineStr">
        <is>
          <t>- Can you tell me what you envision?</t>
        </is>
      </c>
      <c r="F31" s="12" t="inlineStr">
        <is>
          <t>네가 구상하고 있는걸/생각하고 있는 걸 말해줄래?</t>
        </is>
      </c>
      <c r="G31" s="9">
        <f>HYPERLINK("https://www.youtube.com/watch?v=EJGdAlhCjj0", "영상 보기 ▶")</f>
        <v/>
      </c>
    </row>
    <row r="32" ht="26" customHeight="1">
      <c r="A32" s="2" t="n">
        <v>2081</v>
      </c>
      <c r="B32" s="3" t="inlineStr">
        <is>
          <t>실전회화/표현</t>
        </is>
      </c>
      <c r="C32" s="4" t="inlineStr">
        <is>
          <t>make a difference</t>
        </is>
      </c>
      <c r="D32" s="11" t="inlineStr">
        <is>
          <t>영향을 미치다, 도움이 되다, 중요하다</t>
        </is>
      </c>
      <c r="E32" s="11" t="inlineStr">
        <is>
          <t>- It all adds up. It'll eventually make a difference.</t>
        </is>
      </c>
      <c r="F32" s="11" t="inlineStr">
        <is>
          <t>그게 다 쌓여서 결국 도움이 될 거야.</t>
        </is>
      </c>
      <c r="G32" s="5">
        <f>HYPERLINK("https://www.youtube.com/watch?v=EJGdAlhCjj0", "영상 보기 ▶")</f>
        <v/>
      </c>
    </row>
    <row r="33" ht="26" customHeight="1">
      <c r="A33" s="6" t="n">
        <v>2082</v>
      </c>
      <c r="B33" s="7" t="inlineStr">
        <is>
          <t>실전회화/표현</t>
        </is>
      </c>
      <c r="C33" s="8" t="inlineStr">
        <is>
          <t>in one's best interests</t>
        </is>
      </c>
      <c r="D33" s="12" t="inlineStr">
        <is>
          <t>~에게 가장 유리하게/이롭게</t>
        </is>
      </c>
      <c r="E33" s="12" t="inlineStr">
        <is>
          <t>- It's in your best interests.</t>
        </is>
      </c>
      <c r="F33" s="12" t="inlineStr">
        <is>
          <t>그러는 게 네게 여러모로 좋아.</t>
        </is>
      </c>
      <c r="G33" s="9">
        <f>HYPERLINK("https://www.youtube.com/watch?v=EJGdAlhCjj0", "영상 보기 ▶")</f>
        <v/>
      </c>
    </row>
    <row r="34" ht="26" customHeight="1">
      <c r="A34" s="2" t="n">
        <v>2083</v>
      </c>
      <c r="B34" s="3" t="inlineStr">
        <is>
          <t>실전회화/표현</t>
        </is>
      </c>
      <c r="C34" s="4" t="inlineStr">
        <is>
          <t>At the end of the day</t>
        </is>
      </c>
      <c r="D34" s="11" t="inlineStr">
        <is>
          <t>결국</t>
        </is>
      </c>
      <c r="E34" s="11" t="inlineStr">
        <is>
          <t>they have my best interests at heart.</t>
        </is>
      </c>
      <c r="F34" s="11" t="inlineStr">
        <is>
          <t>결국 날 진심으로 생각해서 그런다는 걸 알아.</t>
        </is>
      </c>
      <c r="G34" s="5">
        <f>HYPERLINK("https://www.youtube.com/watch?v=EJGdAlhCjj0", "영상 보기 ▶")</f>
        <v/>
      </c>
    </row>
    <row r="35" ht="26" customHeight="1">
      <c r="A35" s="6" t="n">
        <v>2084</v>
      </c>
      <c r="B35" s="7" t="inlineStr">
        <is>
          <t>실전회화/표현</t>
        </is>
      </c>
      <c r="C35" s="8" t="inlineStr">
        <is>
          <t>- That's such a relief.</t>
        </is>
      </c>
      <c r="D35" s="12" t="inlineStr">
        <is>
          <t>강조할 때 such (아주, 정말)</t>
        </is>
      </c>
      <c r="E35" s="12" t="inlineStr">
        <is>
          <t>- That was such a waste of time.</t>
        </is>
      </c>
      <c r="F35" s="12" t="inlineStr">
        <is>
          <t>그건 정말 시간 낭비였어.</t>
        </is>
      </c>
      <c r="G35" s="9">
        <f>HYPERLINK("https://www.youtube.com/watch?v=EJGdAlhCjj0", "영상 보기 ▶")</f>
        <v/>
      </c>
    </row>
    <row r="36" ht="26" customHeight="1">
      <c r="A36" s="2" t="n">
        <v>2085</v>
      </c>
      <c r="B36" s="3" t="inlineStr">
        <is>
          <t>실전회화/표현</t>
        </is>
      </c>
      <c r="C36" s="4" t="inlineStr">
        <is>
          <t>- Such behavior is unacceptable. 그런 행동은 용납되지 않아!</t>
        </is>
      </c>
      <c r="D36" s="11" t="inlineStr">
        <is>
          <t>가리킬 때의 such (그런, 그러한)</t>
        </is>
      </c>
      <c r="E36" s="11" t="inlineStr">
        <is>
          <t>- There's no such thing as a free lunch.</t>
        </is>
      </c>
      <c r="F36" s="11" t="inlineStr">
        <is>
          <t>공짜 점심 같은 건 없어.</t>
        </is>
      </c>
      <c r="G36" s="5">
        <f>HYPERLINK("https://www.youtube.com/watch?v=EJGdAlhCjj0", "영상 보기 ▶")</f>
        <v/>
      </c>
    </row>
    <row r="37" ht="26" customHeight="1">
      <c r="A37" s="6" t="n">
        <v>2086</v>
      </c>
      <c r="B37" s="7" t="inlineStr">
        <is>
          <t>실전회화/표현</t>
        </is>
      </c>
      <c r="C37" s="8" t="inlineStr">
        <is>
          <t>- Why are you in such a good mood?</t>
        </is>
      </c>
      <c r="D37" s="12" t="inlineStr">
        <is>
          <t>정도를 강조할 때 such (그렇게, 그 정도로)</t>
        </is>
      </c>
      <c r="E37" s="12" t="inlineStr">
        <is>
          <t>- Why are you in such a good mood?</t>
        </is>
      </c>
      <c r="F37" s="12" t="inlineStr">
        <is>
          <t>정도를 강조할 때 such (그렇게, 그 정도로)</t>
        </is>
      </c>
      <c r="G37" s="9">
        <f>HYPERLINK("https://www.youtube.com/watch?v=EJGdAlhCjj0", "영상 보기 ▶")</f>
        <v/>
      </c>
    </row>
    <row r="38" ht="26" customHeight="1">
      <c r="A38" s="2" t="n">
        <v>2087</v>
      </c>
      <c r="B38" s="3" t="inlineStr">
        <is>
          <t>실전회화/표현</t>
        </is>
      </c>
      <c r="C38" s="4" t="inlineStr">
        <is>
          <t>It's a shame.</t>
        </is>
      </c>
      <c r="D38" s="11" t="inlineStr">
        <is>
          <t>아쉬워/안타까워.</t>
        </is>
      </c>
      <c r="E38" s="11" t="inlineStr">
        <is>
          <t>- It's such a shame that you can't make it.</t>
        </is>
      </c>
      <c r="F38" s="11" t="inlineStr">
        <is>
          <t>네가 못 온다니 정말 아쉽다.</t>
        </is>
      </c>
      <c r="G38" s="5">
        <f>HYPERLINK("https://www.youtube.com/watch?v=EJGdAlhCjj0", "영상 보기 ▶")</f>
        <v/>
      </c>
    </row>
    <row r="39" ht="26" customHeight="1">
      <c r="A39" s="6" t="n">
        <v>2088</v>
      </c>
      <c r="B39" s="7" t="inlineStr">
        <is>
          <t>실전회화/표현</t>
        </is>
      </c>
      <c r="C39" s="8" t="inlineStr">
        <is>
          <t>mess up</t>
        </is>
      </c>
      <c r="D39" s="12" t="inlineStr">
        <is>
          <t>망치다, 엉망으로 만들다</t>
        </is>
      </c>
      <c r="E39" s="12" t="inlineStr">
        <is>
          <t>- Sorry, I messed up.</t>
        </is>
      </c>
      <c r="F39" s="12" t="inlineStr">
        <is>
          <t>미안해, 내가 망쳤어/일을 그르쳤어</t>
        </is>
      </c>
      <c r="G39" s="9">
        <f>HYPERLINK("https://www.youtube.com/watch?v=EJGdAlhCjj0", "영상 보기 ▶")</f>
        <v/>
      </c>
    </row>
    <row r="40" ht="26" customHeight="1">
      <c r="A40" s="2" t="n">
        <v>2089</v>
      </c>
      <c r="B40" s="3" t="inlineStr">
        <is>
          <t>실전회화/표현</t>
        </is>
      </c>
      <c r="C40" s="4" t="inlineStr">
        <is>
          <t>That's messed up.</t>
        </is>
      </c>
      <c r="D40" s="11" t="inlineStr">
        <is>
          <t>(엉망진창인 상태) 그건 진짜 아니야, 너무했어</t>
        </is>
      </c>
      <c r="E40" s="11" t="inlineStr">
        <is>
          <t>That's messed up.</t>
        </is>
      </c>
      <c r="F40" s="11" t="inlineStr">
        <is>
          <t>(엉망진창인 상태) 그건 진짜 아니야, 너무했어</t>
        </is>
      </c>
      <c r="G40" s="5">
        <f>HYPERLINK("https://www.youtube.com/watch?v=EJGdAlhCjj0", "영상 보기 ▶")</f>
        <v/>
      </c>
    </row>
    <row r="41" ht="26" customHeight="1">
      <c r="A41" s="6" t="n">
        <v>2090</v>
      </c>
      <c r="B41" s="7" t="inlineStr">
        <is>
          <t>실전회화/표현</t>
        </is>
      </c>
      <c r="C41" s="8" t="inlineStr">
        <is>
          <t>messy</t>
        </is>
      </c>
      <c r="D41" s="12" t="inlineStr">
        <is>
          <t>엉망인, 골치 아픈</t>
        </is>
      </c>
      <c r="E41" s="12" t="inlineStr">
        <is>
          <t>- It's messy, but we'll figure it out.</t>
        </is>
      </c>
      <c r="F41" s="12" t="inlineStr">
        <is>
          <t>상황이 복잡하긴 한데 어떻게든 잘 해결할 거야.</t>
        </is>
      </c>
      <c r="G41" s="9">
        <f>HYPERLINK("https://www.youtube.com/watch?v=EJGdAlhCjj0", "영상 보기 ▶")</f>
        <v/>
      </c>
    </row>
    <row r="42" ht="26" customHeight="1">
      <c r="A42" s="2" t="n">
        <v>2091</v>
      </c>
      <c r="B42" s="3" t="inlineStr">
        <is>
          <t>실전회화/표현</t>
        </is>
      </c>
      <c r="C42" s="4" t="inlineStr">
        <is>
          <t>명사 mess</t>
        </is>
      </c>
      <c r="D42" s="11" t="inlineStr">
        <is>
          <t>엉망진창인 상태</t>
        </is>
      </c>
      <c r="E42" s="11" t="inlineStr">
        <is>
          <t>- Sorry about the mess.</t>
        </is>
      </c>
      <c r="F42" s="11" t="inlineStr">
        <is>
          <t>좀 정리가 안돼서 미안해.</t>
        </is>
      </c>
      <c r="G42" s="5">
        <f>HYPERLINK("https://www.youtube.com/watch?v=EJGdAlhCjj0", "영상 보기 ▶")</f>
        <v/>
      </c>
    </row>
    <row r="43" ht="26" customHeight="1">
      <c r="A43" s="6" t="n">
        <v>2092</v>
      </c>
      <c r="B43" s="7" t="inlineStr">
        <is>
          <t>실전회화/표현</t>
        </is>
      </c>
      <c r="C43" s="8" t="inlineStr">
        <is>
          <t>mess with 사람</t>
        </is>
      </c>
      <c r="D43" s="12" t="inlineStr">
        <is>
          <t>~을 건드리다</t>
        </is>
      </c>
      <c r="E43" s="12" t="inlineStr">
        <is>
          <t>- Don't mess with me.</t>
        </is>
      </c>
      <c r="F43" s="12" t="inlineStr">
        <is>
          <t>나 건드리지 마</t>
        </is>
      </c>
      <c r="G43" s="9">
        <f>HYPERLINK("https://www.youtube.com/watch?v=EJGdAlhCjj0", "영상 보기 ▶")</f>
        <v/>
      </c>
    </row>
    <row r="44" ht="26" customHeight="1">
      <c r="A44" s="2" t="n">
        <v>2093</v>
      </c>
      <c r="B44" s="3" t="inlineStr">
        <is>
          <t>실전회화/표현</t>
        </is>
      </c>
      <c r="C44" s="4" t="inlineStr">
        <is>
          <t>surreal</t>
        </is>
      </c>
      <c r="D44" s="11" t="inlineStr">
        <is>
          <t>비현실적인, 꿈같은</t>
        </is>
      </c>
      <c r="E44" s="11" t="inlineStr">
        <is>
          <t>- I can't believe I'm in Paris. It's surreal.</t>
        </is>
      </c>
      <c r="F44" s="11" t="inlineStr">
        <is>
          <t>내가 파리에 있다니 정말 꿈만 같아.</t>
        </is>
      </c>
      <c r="G44" s="5">
        <f>HYPERLINK("https://www.youtube.com/watch?v=EJGdAlhCjj0", "영상 보기 ▶")</f>
        <v/>
      </c>
    </row>
    <row r="45" ht="26" customHeight="1">
      <c r="A45" s="6" t="n">
        <v>2094</v>
      </c>
      <c r="B45" s="7" t="inlineStr">
        <is>
          <t>실전회화/표현</t>
        </is>
      </c>
      <c r="C45" s="8" t="inlineStr">
        <is>
          <t>lose sleep over</t>
        </is>
      </c>
      <c r="D45" s="12" t="inlineStr">
        <is>
          <t>~으로 애태우다/잠을 설치며 걱정하다</t>
        </is>
      </c>
      <c r="E45" s="12" t="inlineStr">
        <is>
          <t>- I wouldn't lose any sleep over it.</t>
        </is>
      </c>
      <c r="F45" s="12" t="inlineStr">
        <is>
          <t>나라면 그리 걱정하지 않을 거야.</t>
        </is>
      </c>
      <c r="G45" s="9">
        <f>HYPERLINK("https://www.youtube.com/watch?v=EJGdAlhCjj0", "영상 보기 ▶")</f>
        <v/>
      </c>
    </row>
    <row r="46" ht="26" customHeight="1">
      <c r="A46" s="2" t="n">
        <v>2095</v>
      </c>
      <c r="B46" s="3" t="inlineStr">
        <is>
          <t>실전회화/표현</t>
        </is>
      </c>
      <c r="C46" s="4" t="inlineStr">
        <is>
          <t>Don't go there.</t>
        </is>
      </c>
      <c r="D46" s="11" t="inlineStr">
        <is>
          <t>그 얘긴 꺼내지도 마, 거기까지만 하자 (예민한 주제 회피)</t>
        </is>
      </c>
      <c r="E46" s="11" t="inlineStr">
        <is>
          <t>Please don't go there; that's far too personal.</t>
        </is>
      </c>
      <c r="F46" s="11" t="inlineStr">
        <is>
          <t>제발 그 얘기는 꺼내지도 마세요, 너무 사적인 영역이잖아요.</t>
        </is>
      </c>
      <c r="G46" s="5">
        <f>HYPERLINK("https://www.youtube.com/watch?v=EJGdAlhCjj0", "영상 보기 ▶")</f>
        <v/>
      </c>
    </row>
    <row r="47" ht="26" customHeight="1">
      <c r="A47" s="6" t="n">
        <v>2096</v>
      </c>
      <c r="B47" s="7" t="inlineStr">
        <is>
          <t>실전회화/표현</t>
        </is>
      </c>
      <c r="C47" s="8" t="inlineStr">
        <is>
          <t>I wouldn't go that far.</t>
        </is>
      </c>
      <c r="D47" s="12" t="inlineStr">
        <is>
          <t>그 정도까진 아니야/좀 과한 것 같아.</t>
        </is>
      </c>
      <c r="E47" s="12" t="inlineStr">
        <is>
          <t>I wouldn't go that far.</t>
        </is>
      </c>
      <c r="F47" s="12" t="inlineStr">
        <is>
          <t>그 정도까진 아니야/좀 과한 것 같아.</t>
        </is>
      </c>
      <c r="G47" s="9">
        <f>HYPERLINK("https://www.youtube.com/watch?v=EJGdAlhCjj0", "영상 보기 ▶")</f>
        <v/>
      </c>
    </row>
    <row r="48" ht="26" customHeight="1">
      <c r="A48" s="2" t="n">
        <v>2097</v>
      </c>
      <c r="B48" s="3" t="inlineStr">
        <is>
          <t>실전회화/표현</t>
        </is>
      </c>
      <c r="C48" s="4" t="inlineStr">
        <is>
          <t>be obsessed with</t>
        </is>
      </c>
      <c r="D48" s="11" t="inlineStr">
        <is>
          <t>~에 집착하다/집착하다시피 좋아하다</t>
        </is>
      </c>
      <c r="E48" s="11" t="inlineStr">
        <is>
          <t>B: Well, I wouldn't go that far, but it's a great show.</t>
        </is>
      </c>
      <c r="F48" s="11" t="inlineStr">
        <is>
          <t>그 정도까진 아닌데 재미있긴 해.</t>
        </is>
      </c>
      <c r="G48" s="5">
        <f>HYPERLINK("https://www.youtube.com/watch?v=EJGdAlhCjj0", "영상 보기 ▶")</f>
        <v/>
      </c>
    </row>
    <row r="49" ht="26" customHeight="1">
      <c r="A49" s="6" t="n">
        <v>2098</v>
      </c>
      <c r="B49" s="7" t="inlineStr">
        <is>
          <t>실전회화/표현</t>
        </is>
      </c>
      <c r="C49" s="8" t="inlineStr">
        <is>
          <t>on such short notice</t>
        </is>
      </c>
      <c r="D49" s="12" t="inlineStr">
        <is>
          <t>그렇게나 짧은 공지에도, 갑작스러운 요청에도</t>
        </is>
      </c>
      <c r="E49" s="12" t="inlineStr">
        <is>
          <t>- Thank you for coming on such short notice.</t>
        </is>
      </c>
      <c r="F49" s="12" t="inlineStr">
        <is>
          <t>갑자기 잡힌 일정에도 이렇게 와주셔서 고맙습니다.</t>
        </is>
      </c>
      <c r="G49" s="9">
        <f>HYPERLINK("https://www.youtube.com/watch?v=EJGdAlhCjj0", "영상 보기 ▶")</f>
        <v/>
      </c>
    </row>
    <row r="50" ht="26" customHeight="1">
      <c r="A50" s="2" t="n">
        <v>2099</v>
      </c>
      <c r="B50" s="3" t="inlineStr">
        <is>
          <t>실전회화/표현</t>
        </is>
      </c>
      <c r="C50" s="4" t="inlineStr">
        <is>
          <t>동사 table</t>
        </is>
      </c>
      <c r="D50" s="11" t="inlineStr">
        <is>
          <t>(특히 논의를) 미루다/연기하다/보류하다</t>
        </is>
      </c>
      <c r="E50" s="11" t="inlineStr">
        <is>
          <t>- Let's table this for now.</t>
        </is>
      </c>
      <c r="F50" s="11" t="inlineStr">
        <is>
          <t>일단 이 얘기는 나중에 다시 하자.</t>
        </is>
      </c>
      <c r="G50" s="5">
        <f>HYPERLINK("https://www.youtube.com/watch?v=EJGdAlhCjj0", "영상 보기 ▶")</f>
        <v/>
      </c>
    </row>
    <row r="51" ht="26" customHeight="1">
      <c r="A51" s="6" t="n">
        <v>2100</v>
      </c>
      <c r="B51" s="7" t="inlineStr">
        <is>
          <t>실전회화/표현</t>
        </is>
      </c>
      <c r="C51" s="8" t="inlineStr">
        <is>
          <t>I suppose</t>
        </is>
      </c>
      <c r="D51" s="12" t="inlineStr">
        <is>
          <t>그렇다고 볼 수도 있겠네, 아마 그럴 것 같아</t>
        </is>
      </c>
      <c r="E51" s="12" t="inlineStr">
        <is>
          <t>- He didn't answer the phone, so I suppose he's busy.</t>
        </is>
      </c>
      <c r="F51" s="12" t="inlineStr">
        <is>
          <t>전화 안 받은 걸 보니 아마 바쁜가 봐.</t>
        </is>
      </c>
      <c r="G51" s="9">
        <f>HYPERLINK("https://www.youtube.com/watch?v=EJGdAlhCjj0", "영상 보기 ▶")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2" customWidth="1" min="3" max="3"/>
    <col width="45" customWidth="1" min="4" max="4"/>
    <col width="55" customWidth="1" min="5" max="5"/>
    <col width="57.9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2101</v>
      </c>
      <c r="B2" s="3" t="inlineStr">
        <is>
          <t>실전회화/표현</t>
        </is>
      </c>
      <c r="C2" s="4" t="inlineStr">
        <is>
          <t>as long as</t>
        </is>
      </c>
      <c r="D2" s="11" t="inlineStr">
        <is>
          <t>~하는 한</t>
        </is>
      </c>
      <c r="E2" s="11" t="inlineStr">
        <is>
          <t>I'm on board as long as you're okay with it.</t>
        </is>
      </c>
      <c r="F2" s="11" t="inlineStr">
        <is>
          <t>너만 괜찮다면 나도 할게</t>
        </is>
      </c>
      <c r="G2" s="5">
        <f>HYPERLINK("https://www.youtube.com/watch?v=RT0XpmQr7WU", "영상 보기 ▶")</f>
        <v/>
      </c>
    </row>
    <row r="3" ht="26" customHeight="1">
      <c r="A3" s="6" t="n">
        <v>2102</v>
      </c>
      <c r="B3" s="7" t="inlineStr">
        <is>
          <t>실전회화/표현</t>
        </is>
      </c>
      <c r="C3" s="8" t="inlineStr">
        <is>
          <t>unless</t>
        </is>
      </c>
      <c r="D3" s="12" t="inlineStr">
        <is>
          <t>~하지 않는 한</t>
        </is>
      </c>
      <c r="E3" s="12" t="inlineStr">
        <is>
          <t>Let's wrap up unless anyone has any questions</t>
        </is>
      </c>
      <c r="F3" s="12" t="inlineStr">
        <is>
          <t>질문 있으신분 없으면 마무리할게요</t>
        </is>
      </c>
      <c r="G3" s="9">
        <f>HYPERLINK("https://www.youtube.com/watch?v=RT0XpmQr7WU", "영상 보기 ▶")</f>
        <v/>
      </c>
    </row>
    <row r="4" ht="26" customHeight="1">
      <c r="A4" s="2" t="n">
        <v>2103</v>
      </c>
      <c r="B4" s="3" t="inlineStr">
        <is>
          <t>실전회화/표현</t>
        </is>
      </c>
      <c r="C4" s="4" t="inlineStr">
        <is>
          <t>as long as (시간)</t>
        </is>
      </c>
      <c r="D4" s="11" t="inlineStr">
        <is>
          <t>~하는 동안 내내, ~만큼이나 오래</t>
        </is>
      </c>
      <c r="E4" s="11" t="inlineStr">
        <is>
          <t>Take as long as you need to review the contract.</t>
        </is>
      </c>
      <c r="F4" s="11" t="inlineStr">
        <is>
          <t>계약서를 검토하는 데 필요한 만큼 천천히 충분한 시간을 가지세요.</t>
        </is>
      </c>
      <c r="G4" s="5">
        <f>HYPERLINK("https://www.youtube.com/watch?v=RT0XpmQr7WU", "영상 보기 ▶")</f>
        <v/>
      </c>
    </row>
    <row r="5" ht="26" customHeight="1">
      <c r="A5" s="6" t="n">
        <v>2104</v>
      </c>
      <c r="B5" s="7" t="inlineStr">
        <is>
          <t>실전회화/표현</t>
        </is>
      </c>
      <c r="C5" s="8" t="inlineStr">
        <is>
          <t>for as long as I can remember</t>
        </is>
      </c>
      <c r="D5" s="12" t="inlineStr">
        <is>
          <t>내가 기억하는 한</t>
        </is>
      </c>
      <c r="E5" s="12" t="inlineStr">
        <is>
          <t>I've known him for as long as I can remember.</t>
        </is>
      </c>
      <c r="F5" s="12" t="inlineStr">
        <is>
          <t>그와 정말 오랫동안 알고 지낸 사이야</t>
        </is>
      </c>
      <c r="G5" s="9">
        <f>HYPERLINK("https://www.youtube.com/watch?v=RT0XpmQr7WU", "영상 보기 ▶")</f>
        <v/>
      </c>
    </row>
    <row r="6" ht="26" customHeight="1">
      <c r="A6" s="2" t="n">
        <v>2105</v>
      </c>
      <c r="B6" s="3" t="inlineStr">
        <is>
          <t>실전회화/표현</t>
        </is>
      </c>
      <c r="C6" s="4" t="inlineStr">
        <is>
          <t>I'm in the same boat.</t>
        </is>
      </c>
      <c r="D6" s="11" t="inlineStr">
        <is>
          <t>나도 너랑 똑같은 처지야, 같은 어려움을 겪고 있어</t>
        </is>
      </c>
      <c r="E6" s="11" t="inlineStr">
        <is>
          <t>You're stressed about layoffs? I'm in the same boat.</t>
        </is>
      </c>
      <c r="F6" s="11" t="inlineStr">
        <is>
          <t>구조조정 때문에 스트레스받아? 나도 너랑 완전히 똑같은 처지야.</t>
        </is>
      </c>
      <c r="G6" s="5">
        <f>HYPERLINK("https://www.youtube.com/watch?v=RT0XpmQr7WU", "영상 보기 ▶")</f>
        <v/>
      </c>
    </row>
    <row r="7" ht="26" customHeight="1">
      <c r="A7" s="6" t="n">
        <v>2106</v>
      </c>
      <c r="B7" s="7" t="inlineStr">
        <is>
          <t>의견/의사결정</t>
        </is>
      </c>
      <c r="C7" s="8" t="inlineStr">
        <is>
          <t>It's your call. / not my call</t>
        </is>
      </c>
      <c r="D7" s="12" t="inlineStr">
        <is>
          <t>네가 결정할 몫이야 / 내가 결정할 권한이 아니야</t>
        </is>
      </c>
      <c r="E7" s="12" t="inlineStr">
        <is>
          <t>Should we launch today? - It's your call, boss.</t>
        </is>
      </c>
      <c r="F7" s="12" t="inlineStr">
        <is>
          <t>오늘 출시할까요? - 보스, 결정은 당신의 몫입니다.</t>
        </is>
      </c>
      <c r="G7" s="9">
        <f>HYPERLINK("https://www.youtube.com/watch?v=RT0XpmQr7WU", "영상 보기 ▶")</f>
        <v/>
      </c>
    </row>
    <row r="8" ht="26" customHeight="1">
      <c r="A8" s="2" t="n">
        <v>2107</v>
      </c>
      <c r="B8" s="3" t="inlineStr">
        <is>
          <t>의견/의사결정</t>
        </is>
      </c>
      <c r="C8" s="4" t="inlineStr">
        <is>
          <t>choosy</t>
        </is>
      </c>
      <c r="D8" s="11" t="inlineStr">
        <is>
          <t>(신중하게 선택해서) 까다로운</t>
        </is>
      </c>
      <c r="E8" s="11" t="inlineStr">
        <is>
          <t>He's choosy about his clothes.</t>
        </is>
      </c>
      <c r="F8" s="11" t="inlineStr">
        <is>
          <t>그는 옷 고르는데 있어 까다로워</t>
        </is>
      </c>
      <c r="G8" s="5">
        <f>HYPERLINK("https://www.youtube.com/watch?v=RT0XpmQr7WU", "영상 보기 ▶")</f>
        <v/>
      </c>
    </row>
    <row r="9" ht="26" customHeight="1">
      <c r="A9" s="6" t="n">
        <v>2108</v>
      </c>
      <c r="B9" s="7" t="inlineStr">
        <is>
          <t>실전회화/표현</t>
        </is>
      </c>
      <c r="C9" s="8" t="inlineStr">
        <is>
          <t>particular</t>
        </is>
      </c>
      <c r="D9" s="12" t="inlineStr">
        <is>
          <t>까다로운</t>
        </is>
      </c>
      <c r="E9" s="12" t="inlineStr">
        <is>
          <t>She's very particular.</t>
        </is>
      </c>
      <c r="F9" s="12" t="inlineStr">
        <is>
          <t>그녀는 매우 까다로워</t>
        </is>
      </c>
      <c r="G9" s="9">
        <f>HYPERLINK("https://www.youtube.com/watch?v=RT0XpmQr7WU", "영상 보기 ▶")</f>
        <v/>
      </c>
    </row>
    <row r="10" ht="26" customHeight="1">
      <c r="A10" s="2" t="n">
        <v>2109</v>
      </c>
      <c r="B10" s="3" t="inlineStr">
        <is>
          <t>실전회화/표현</t>
        </is>
      </c>
      <c r="C10" s="4" t="inlineStr">
        <is>
          <t>presentable</t>
        </is>
      </c>
      <c r="D10" s="11" t="inlineStr">
        <is>
          <t>남에게 보여도 부끄럽지 않은/그럭저럭 괜찮은</t>
        </is>
      </c>
      <c r="E10" s="11" t="inlineStr">
        <is>
          <t>I wanna look presentable.</t>
        </is>
      </c>
      <c r="F10" s="11" t="inlineStr">
        <is>
          <t>그래도 말끔해보여야 하니 옷 갈아입고 올게</t>
        </is>
      </c>
      <c r="G10" s="5">
        <f>HYPERLINK("https://www.youtube.com/watch?v=RT0XpmQr7WU", "영상 보기 ▶")</f>
        <v/>
      </c>
    </row>
    <row r="11" ht="26" customHeight="1">
      <c r="A11" s="6" t="n">
        <v>2110</v>
      </c>
      <c r="B11" s="7" t="inlineStr">
        <is>
          <t>실전회화/표현</t>
        </is>
      </c>
      <c r="C11" s="8" t="inlineStr">
        <is>
          <t>Time will tell.</t>
        </is>
      </c>
      <c r="D11" s="12" t="inlineStr">
        <is>
          <t>시간이 지나면 알게 되겠지</t>
        </is>
      </c>
      <c r="E11" s="12" t="inlineStr">
        <is>
          <t>A: Did it work?</t>
        </is>
      </c>
      <c r="F11" s="12" t="inlineStr">
        <is>
          <t>효과가 있었어?</t>
        </is>
      </c>
      <c r="G11" s="9">
        <f>HYPERLINK("https://www.youtube.com/watch?v=RT0XpmQr7WU", "영상 보기 ▶")</f>
        <v/>
      </c>
    </row>
    <row r="12" ht="26" customHeight="1">
      <c r="A12" s="2" t="n">
        <v>2111</v>
      </c>
      <c r="B12" s="3" t="inlineStr">
        <is>
          <t>실전회화/표현</t>
        </is>
      </c>
      <c r="C12" s="4" t="inlineStr">
        <is>
          <t>company</t>
        </is>
      </c>
      <c r="D12" s="11" t="inlineStr">
        <is>
          <t>함께 있음,일행</t>
        </is>
      </c>
      <c r="E12" s="11" t="inlineStr">
        <is>
          <t>I have company.</t>
        </is>
      </c>
      <c r="F12" s="11" t="inlineStr">
        <is>
          <t>지금 손님이 와 있어/혼자가 아니라 누구랑 같이있어</t>
        </is>
      </c>
      <c r="G12" s="5">
        <f>HYPERLINK("https://www.youtube.com/watch?v=RT0XpmQr7WU", "영상 보기 ▶")</f>
        <v/>
      </c>
    </row>
    <row r="13" ht="26" customHeight="1">
      <c r="A13" s="6" t="n">
        <v>2112</v>
      </c>
      <c r="B13" s="7" t="inlineStr">
        <is>
          <t>실전회화/표현</t>
        </is>
      </c>
      <c r="C13" s="8" t="inlineStr">
        <is>
          <t>I figured.</t>
        </is>
      </c>
      <c r="D13" s="12" t="inlineStr">
        <is>
          <t>그럴줄 알았어/예상했어/이미 짐작했어</t>
        </is>
      </c>
      <c r="E13" s="12" t="inlineStr">
        <is>
          <t>B: I figured.</t>
        </is>
      </c>
      <c r="F13" s="12" t="inlineStr">
        <is>
          <t>A: She's not coming tonight. 안온대</t>
        </is>
      </c>
      <c r="G13" s="9">
        <f>HYPERLINK("https://www.youtube.com/watch?v=RT0XpmQr7WU", "영상 보기 ▶")</f>
        <v/>
      </c>
    </row>
    <row r="14" ht="26" customHeight="1">
      <c r="A14" s="2" t="n">
        <v>2113</v>
      </c>
      <c r="B14" s="3" t="inlineStr">
        <is>
          <t>실전회화/표현</t>
        </is>
      </c>
      <c r="C14" s="4" t="inlineStr">
        <is>
          <t>You have good taste.</t>
        </is>
      </c>
      <c r="D14" s="11" t="inlineStr">
        <is>
          <t>취향의 taste</t>
        </is>
      </c>
      <c r="E14" s="11" t="inlineStr">
        <is>
          <t>We have the same taste in music.</t>
        </is>
      </c>
      <c r="F14" s="11" t="inlineStr">
        <is>
          <t>우리 음악 취향이 같아</t>
        </is>
      </c>
      <c r="G14" s="5">
        <f>HYPERLINK("https://www.youtube.com/watch?v=RT0XpmQr7WU", "영상 보기 ▶")</f>
        <v/>
      </c>
    </row>
    <row r="15" ht="26" customHeight="1">
      <c r="A15" s="6" t="n">
        <v>2114</v>
      </c>
      <c r="B15" s="7" t="inlineStr">
        <is>
          <t>실전회화/표현</t>
        </is>
      </c>
      <c r="C15" s="8" t="inlineStr">
        <is>
          <t>tasteful</t>
        </is>
      </c>
      <c r="D15" s="12" t="inlineStr">
        <is>
          <t>취향이 좋은, 세련된, 감각 있는</t>
        </is>
      </c>
      <c r="E15" s="12" t="inlineStr">
        <is>
          <t>It's very tasteful.</t>
        </is>
      </c>
      <c r="F15" s="12" t="inlineStr">
        <is>
          <t>취향이 좋네요/감각 있으시네요/안목이 좋으세요</t>
        </is>
      </c>
      <c r="G15" s="9">
        <f>HYPERLINK("https://www.youtube.com/watch?v=RT0XpmQr7WU", "영상 보기 ▶")</f>
        <v/>
      </c>
    </row>
    <row r="16" ht="26" customHeight="1">
      <c r="A16" s="2" t="n">
        <v>2115</v>
      </c>
      <c r="B16" s="3" t="inlineStr">
        <is>
          <t>실전회화/표현</t>
        </is>
      </c>
      <c r="C16" s="4" t="inlineStr">
        <is>
          <t>questionable</t>
        </is>
      </c>
      <c r="D16" s="11" t="inlineStr">
        <is>
          <t>의문의 여지가 있는</t>
        </is>
      </c>
      <c r="E16" s="11" t="inlineStr">
        <is>
          <t>She has questionable taste in movies.</t>
        </is>
      </c>
      <c r="F16" s="11" t="inlineStr">
        <is>
          <t>왜 그런 영화를 좋아하는지 모르겠어</t>
        </is>
      </c>
      <c r="G16" s="5">
        <f>HYPERLINK("https://www.youtube.com/watch?v=RT0XpmQr7WU", "영상 보기 ▶")</f>
        <v/>
      </c>
    </row>
    <row r="17" ht="26" customHeight="1">
      <c r="A17" s="6" t="n">
        <v>2116</v>
      </c>
      <c r="B17" s="7" t="inlineStr">
        <is>
          <t>실전회화/표현</t>
        </is>
      </c>
      <c r="C17" s="8" t="inlineStr">
        <is>
          <t>go out of one's way</t>
        </is>
      </c>
      <c r="D17" s="12" t="inlineStr">
        <is>
          <t>특별히 신경쓰다/수고를 마다하지 않다</t>
        </is>
      </c>
      <c r="E17" s="12" t="inlineStr">
        <is>
          <t>Wouldn't that be going out of your way?</t>
        </is>
      </c>
      <c r="F17" s="12" t="inlineStr">
        <is>
          <t>너한테 번거로운거 아니야/</t>
        </is>
      </c>
      <c r="G17" s="9">
        <f>HYPERLINK("https://www.youtube.com/watch?v=RT0XpmQr7WU", "영상 보기 ▶")</f>
        <v/>
      </c>
    </row>
    <row r="18" ht="26" customHeight="1">
      <c r="A18" s="2" t="n">
        <v>2117</v>
      </c>
      <c r="B18" s="3" t="inlineStr">
        <is>
          <t>실전회화/표현</t>
        </is>
      </c>
      <c r="C18" s="4" t="inlineStr">
        <is>
          <t>bend over backwards</t>
        </is>
      </c>
      <c r="D18" s="11" t="inlineStr">
        <is>
          <t>엄청 노력하다/애쓰다</t>
        </is>
      </c>
      <c r="E18" s="11" t="inlineStr">
        <is>
          <t>I think you're bending over backwards.</t>
        </is>
      </c>
      <c r="F18" s="11" t="inlineStr">
        <is>
          <t>너 너무 지나치다시피 애쓰는것 같아</t>
        </is>
      </c>
      <c r="G18" s="5">
        <f>HYPERLINK("https://www.youtube.com/watch?v=RT0XpmQr7WU", "영상 보기 ▶")</f>
        <v/>
      </c>
    </row>
    <row r="19" ht="26" customHeight="1">
      <c r="A19" s="6" t="n">
        <v>2118</v>
      </c>
      <c r="B19" s="7" t="inlineStr">
        <is>
          <t>의견/의사결정</t>
        </is>
      </c>
      <c r="C19" s="8" t="inlineStr">
        <is>
          <t>out of options</t>
        </is>
      </c>
      <c r="D19" s="12" t="inlineStr">
        <is>
          <t>선택의 여지가 없는</t>
        </is>
      </c>
      <c r="E19" s="12" t="inlineStr">
        <is>
          <t>We can't be choosy.</t>
        </is>
      </c>
      <c r="F19" s="12" t="inlineStr">
        <is>
          <t>선택할수 있는 옵션이 없는데 까다롭게 굴면 안돼</t>
        </is>
      </c>
      <c r="G19" s="9">
        <f>HYPERLINK("https://www.youtube.com/watch?v=RT0XpmQr7WU", "영상 보기 ▶")</f>
        <v/>
      </c>
    </row>
    <row r="20" ht="26" customHeight="1">
      <c r="A20" s="2" t="n">
        <v>2119</v>
      </c>
      <c r="B20" s="3" t="inlineStr">
        <is>
          <t>실전회화/표현</t>
        </is>
      </c>
      <c r="C20" s="4" t="inlineStr">
        <is>
          <t>out of town</t>
        </is>
      </c>
      <c r="D20" s="11" t="inlineStr">
        <is>
          <t>(이 도시를 떠나)여기에 없는,다른 지역에 있는</t>
        </is>
      </c>
      <c r="E20" s="11" t="inlineStr">
        <is>
          <t>He's out of town this week.</t>
        </is>
      </c>
      <c r="F20" s="11" t="inlineStr">
        <is>
          <t>이번주에 여기 안계세요/자리를 비우셨어요</t>
        </is>
      </c>
      <c r="G20" s="5">
        <f>HYPERLINK("https://www.youtube.com/watch?v=RT0XpmQr7WU", "영상 보기 ▶")</f>
        <v/>
      </c>
    </row>
    <row r="21" ht="26" customHeight="1">
      <c r="A21" s="6" t="n">
        <v>2120</v>
      </c>
      <c r="B21" s="7" t="inlineStr">
        <is>
          <t>실전회화/표현</t>
        </is>
      </c>
      <c r="C21" s="8" t="inlineStr">
        <is>
          <t>in town</t>
        </is>
      </c>
      <c r="D21" s="12" t="inlineStr">
        <is>
          <t>(잠시) 방문중인, (이 도시/지역) 여기에 있는</t>
        </is>
      </c>
      <c r="E21" s="12" t="inlineStr">
        <is>
          <t>Are you in town for business?</t>
        </is>
      </c>
      <c r="F21" s="12" t="inlineStr">
        <is>
          <t>출장/사업차 방문중이신건가요 ?</t>
        </is>
      </c>
      <c r="G21" s="9">
        <f>HYPERLINK("https://www.youtube.com/watch?v=RT0XpmQr7WU", "영상 보기 ▶")</f>
        <v/>
      </c>
    </row>
    <row r="22" ht="26" customHeight="1">
      <c r="A22" s="2" t="n">
        <v>2121</v>
      </c>
      <c r="B22" s="3" t="inlineStr">
        <is>
          <t>실전회화/표현</t>
        </is>
      </c>
      <c r="C22" s="4" t="inlineStr">
        <is>
          <t>best in town</t>
        </is>
      </c>
      <c r="D22" s="11" t="inlineStr">
        <is>
          <t>이 동네에서 가장 최고인</t>
        </is>
      </c>
      <c r="E22" s="11" t="inlineStr">
        <is>
          <t>They have the best pizza in town.</t>
        </is>
      </c>
      <c r="F22" s="11" t="inlineStr">
        <is>
          <t>이 동네 가장 맛있는 피자집이야</t>
        </is>
      </c>
      <c r="G22" s="5">
        <f>HYPERLINK("https://www.youtube.com/watch?v=RT0XpmQr7WU", "영상 보기 ▶")</f>
        <v/>
      </c>
    </row>
    <row r="23" ht="26" customHeight="1">
      <c r="A23" s="6" t="n">
        <v>2122</v>
      </c>
      <c r="B23" s="7" t="inlineStr">
        <is>
          <t>실전회화/표현</t>
        </is>
      </c>
      <c r="C23" s="8" t="inlineStr">
        <is>
          <t>problematic</t>
        </is>
      </c>
      <c r="D23" s="12" t="inlineStr">
        <is>
          <t>문제가 있는,해결하기 어려운, 곤란한</t>
        </is>
      </c>
      <c r="E23" s="12" t="inlineStr">
        <is>
          <t>It's a problematic situation.</t>
        </is>
      </c>
      <c r="F23" s="12" t="inlineStr">
        <is>
          <t>문제 있는 상황이야</t>
        </is>
      </c>
      <c r="G23" s="9">
        <f>HYPERLINK("https://www.youtube.com/watch?v=RT0XpmQr7WU", "영상 보기 ▶")</f>
        <v/>
      </c>
    </row>
    <row r="24" ht="26" customHeight="1">
      <c r="A24" s="2" t="n">
        <v>2123</v>
      </c>
      <c r="B24" s="3" t="inlineStr">
        <is>
          <t>실전회화/표현</t>
        </is>
      </c>
      <c r="C24" s="4" t="inlineStr">
        <is>
          <t>be tired of</t>
        </is>
      </c>
      <c r="D24" s="11" t="inlineStr">
        <is>
          <t>~가 지긋지긋 해/진절 머리나</t>
        </is>
      </c>
      <c r="E24" s="11" t="inlineStr">
        <is>
          <t>I'm tired of bending over backwards for them.</t>
        </is>
      </c>
      <c r="F24" s="11" t="inlineStr">
        <is>
          <t>걔들 도와주려고 애쓰는 것도 지긋지긋해</t>
        </is>
      </c>
      <c r="G24" s="5">
        <f>HYPERLINK("https://www.youtube.com/watch?v=RT0XpmQr7WU", "영상 보기 ▶")</f>
        <v/>
      </c>
    </row>
    <row r="25" ht="26" customHeight="1">
      <c r="A25" s="6" t="n">
        <v>2124</v>
      </c>
      <c r="B25" s="7" t="inlineStr">
        <is>
          <t>실전회화/표현</t>
        </is>
      </c>
      <c r="C25" s="8" t="inlineStr">
        <is>
          <t>do</t>
        </is>
      </c>
      <c r="D25" s="12" t="inlineStr">
        <is>
          <t>사람 good</t>
        </is>
      </c>
      <c r="E25" s="12" t="inlineStr">
        <is>
          <t>Let's go grab a bite. Food will do us good.</t>
        </is>
      </c>
      <c r="F25" s="12" t="inlineStr">
        <is>
          <t>뭐좀 먹는게 좋을것 같을 때</t>
        </is>
      </c>
      <c r="G25" s="9">
        <f>HYPERLINK("https://www.youtube.com/watch?v=RT0XpmQr7WU", "영상 보기 ▶")</f>
        <v/>
      </c>
    </row>
    <row r="26" ht="26" customHeight="1">
      <c r="A26" s="2" t="n">
        <v>2125</v>
      </c>
      <c r="B26" s="3" t="inlineStr">
        <is>
          <t>실전회화/표현</t>
        </is>
      </c>
      <c r="C26" s="4" t="inlineStr">
        <is>
          <t>under the weather</t>
        </is>
      </c>
      <c r="D26" s="11" t="inlineStr">
        <is>
          <t>몸 상태/컨디션이 안 좋은</t>
        </is>
      </c>
      <c r="E26" s="11" t="inlineStr">
        <is>
          <t>I'm feeling a little under the weather today.</t>
        </is>
      </c>
      <c r="F26" s="11" t="inlineStr">
        <is>
          <t>오늘 컨디션이 안 좋아서 다음에 만나도 될까?</t>
        </is>
      </c>
      <c r="G26" s="5">
        <f>HYPERLINK("https://www.youtube.com/watch?v=RT0XpmQr7WU", "영상 보기 ▶")</f>
        <v/>
      </c>
    </row>
    <row r="27" ht="26" customHeight="1">
      <c r="A27" s="6" t="n">
        <v>2126</v>
      </c>
      <c r="B27" s="7" t="inlineStr">
        <is>
          <t>실전회화/표현</t>
        </is>
      </c>
      <c r="C27" s="8" t="inlineStr">
        <is>
          <t>the best of both worlds</t>
        </is>
      </c>
      <c r="D27" s="12" t="inlineStr">
        <is>
          <t>양쪽의 장점만 다 누리는 상황</t>
        </is>
      </c>
      <c r="E27" s="12" t="inlineStr">
        <is>
          <t>It's the best of both worlds.</t>
        </is>
      </c>
      <c r="F27" s="12" t="inlineStr">
        <is>
          <t>칼로리는 낮은데 엄청 맛있어서</t>
        </is>
      </c>
      <c r="G27" s="9">
        <f>HYPERLINK("https://www.youtube.com/watch?v=RT0XpmQr7WU", "영상 보기 ▶")</f>
        <v/>
      </c>
    </row>
    <row r="28" ht="26" customHeight="1">
      <c r="A28" s="2" t="n">
        <v>2127</v>
      </c>
      <c r="B28" s="3" t="inlineStr">
        <is>
          <t>공감/감정</t>
        </is>
      </c>
      <c r="C28" s="4" t="inlineStr">
        <is>
          <t>I feel for you.</t>
        </is>
      </c>
      <c r="D28" s="11" t="inlineStr">
        <is>
          <t>네 마음 이해해/안타깝게 생각해</t>
        </is>
      </c>
      <c r="E28" s="11" t="inlineStr">
        <is>
          <t>I know it's not easy. I feel for you.</t>
        </is>
      </c>
      <c r="F28" s="11" t="inlineStr">
        <is>
          <t>쉅지 않다는거 알아. 네 마음 이해해</t>
        </is>
      </c>
      <c r="G28" s="5">
        <f>HYPERLINK("https://www.youtube.com/watch?v=RT0XpmQr7WU", "영상 보기 ▶")</f>
        <v/>
      </c>
    </row>
    <row r="29" ht="26" customHeight="1">
      <c r="A29" s="6" t="n">
        <v>2128</v>
      </c>
      <c r="B29" s="7" t="inlineStr">
        <is>
          <t>공감/감정</t>
        </is>
      </c>
      <c r="C29" s="8" t="inlineStr">
        <is>
          <t>I hear you.</t>
        </is>
      </c>
      <c r="D29" s="12" t="inlineStr">
        <is>
          <t>네가 무슨말 하는건지 알아/네 심정 이해해</t>
        </is>
      </c>
      <c r="E29" s="12" t="inlineStr">
        <is>
          <t>A:This is so frustrating.</t>
        </is>
      </c>
      <c r="F29" s="12" t="inlineStr">
        <is>
          <t>B:I hear you. 무슨 말인지 알아요</t>
        </is>
      </c>
      <c r="G29" s="9">
        <f>HYPERLINK("https://www.youtube.com/watch?v=RT0XpmQr7WU", "영상 보기 ▶")</f>
        <v/>
      </c>
    </row>
    <row r="30" ht="26" customHeight="1">
      <c r="A30" s="2" t="n">
        <v>2129</v>
      </c>
      <c r="B30" s="3" t="inlineStr">
        <is>
          <t>실전회화/표현</t>
        </is>
      </c>
      <c r="C30" s="4" t="inlineStr">
        <is>
          <t>mean well</t>
        </is>
      </c>
      <c r="D30" s="11" t="inlineStr">
        <is>
          <t>(결과는 안 좋을지 몰라도) 선의를 지니고 있다</t>
        </is>
      </c>
      <c r="E30" s="11" t="inlineStr">
        <is>
          <t>I meant well.</t>
        </is>
      </c>
      <c r="F30" s="11" t="inlineStr">
        <is>
          <t>난 좋은 뜻으로 한 말/행동이었어</t>
        </is>
      </c>
      <c r="G30" s="5">
        <f>HYPERLINK("https://www.youtube.com/watch?v=RT0XpmQr7WU", "영상 보기 ▶")</f>
        <v/>
      </c>
    </row>
    <row r="31" ht="26" customHeight="1">
      <c r="A31" s="6" t="n">
        <v>2130</v>
      </c>
      <c r="B31" s="7" t="inlineStr">
        <is>
          <t>실전회화/표현</t>
        </is>
      </c>
      <c r="C31" s="8" t="inlineStr">
        <is>
          <t>I mean it.</t>
        </is>
      </c>
      <c r="D31" s="12" t="inlineStr">
        <is>
          <t>진심이야</t>
        </is>
      </c>
      <c r="E31" s="12" t="inlineStr">
        <is>
          <t>Do you mean that?</t>
        </is>
      </c>
      <c r="F31" s="12" t="inlineStr">
        <is>
          <t>진심이야?</t>
        </is>
      </c>
      <c r="G31" s="9">
        <f>HYPERLINK("https://www.youtube.com/watch?v=RT0XpmQr7WU", "영상 보기 ▶")</f>
        <v/>
      </c>
    </row>
    <row r="32" ht="26" customHeight="1">
      <c r="A32" s="2" t="n">
        <v>2131</v>
      </c>
      <c r="B32" s="3" t="inlineStr">
        <is>
          <t>실전회화/표현</t>
        </is>
      </c>
      <c r="C32" s="4" t="inlineStr">
        <is>
          <t>I could use ~</t>
        </is>
      </c>
      <c r="D32" s="11" t="inlineStr">
        <is>
          <t>~가 필요해. ~하면 좋겠어</t>
        </is>
      </c>
      <c r="E32" s="11" t="inlineStr">
        <is>
          <t>I could use a drink.</t>
        </is>
      </c>
      <c r="F32" s="11" t="inlineStr">
        <is>
          <t>술 한잔 마시면 딱 좋겠네</t>
        </is>
      </c>
      <c r="G32" s="5">
        <f>HYPERLINK("https://www.youtube.com/watch?v=RT0XpmQr7WU", "영상 보기 ▶")</f>
        <v/>
      </c>
    </row>
    <row r="33" ht="26" customHeight="1">
      <c r="A33" s="6" t="n">
        <v>2132</v>
      </c>
      <c r="B33" s="7" t="inlineStr">
        <is>
          <t>실전회화/표현</t>
        </is>
      </c>
      <c r="C33" s="8" t="inlineStr">
        <is>
          <t>shoot for</t>
        </is>
      </c>
      <c r="D33" s="12" t="inlineStr">
        <is>
          <t>~를 목표로 하다</t>
        </is>
      </c>
      <c r="E33" s="12" t="inlineStr">
        <is>
          <t>Let's shoot for December.</t>
        </is>
      </c>
      <c r="F33" s="12" t="inlineStr">
        <is>
          <t>12월을 목표로 하자</t>
        </is>
      </c>
      <c r="G33" s="9">
        <f>HYPERLINK("https://www.youtube.com/watch?v=RT0XpmQr7WU", "영상 보기 ▶")</f>
        <v/>
      </c>
    </row>
    <row r="34" ht="26" customHeight="1">
      <c r="A34" s="2" t="n">
        <v>2133</v>
      </c>
      <c r="B34" s="3" t="inlineStr">
        <is>
          <t>실전회화/표현</t>
        </is>
      </c>
      <c r="C34" s="4" t="inlineStr">
        <is>
          <t>secure</t>
        </is>
      </c>
      <c r="D34" s="11" t="inlineStr">
        <is>
          <t>안전한, 확실한, 보장된, 안정된</t>
        </is>
      </c>
      <c r="E34" s="11" t="inlineStr">
        <is>
          <t>It's a secure job.</t>
        </is>
      </c>
      <c r="F34" s="11" t="inlineStr">
        <is>
          <t>안정적인 직업이야</t>
        </is>
      </c>
      <c r="G34" s="5">
        <f>HYPERLINK("https://www.youtube.com/watch?v=RT0XpmQr7WU", "영상 보기 ▶")</f>
        <v/>
      </c>
    </row>
    <row r="35" ht="26" customHeight="1">
      <c r="A35" s="6" t="n">
        <v>2134</v>
      </c>
      <c r="B35" s="7" t="inlineStr">
        <is>
          <t>실전회화/표현</t>
        </is>
      </c>
      <c r="C35" s="8" t="inlineStr">
        <is>
          <t>We need to secure this deal.</t>
        </is>
      </c>
      <c r="D35" s="12" t="inlineStr">
        <is>
          <t>동사 secure</t>
        </is>
      </c>
      <c r="E35" s="12" t="inlineStr">
        <is>
          <t>We need to secure this deal.</t>
        </is>
      </c>
      <c r="F35" s="12" t="inlineStr">
        <is>
          <t>동사 secure</t>
        </is>
      </c>
      <c r="G35" s="9">
        <f>HYPERLINK("https://www.youtube.com/watch?v=RT0XpmQr7WU", "영상 보기 ▶")</f>
        <v/>
      </c>
    </row>
    <row r="36" ht="26" customHeight="1">
      <c r="A36" s="2" t="n">
        <v>2135</v>
      </c>
      <c r="B36" s="3" t="inlineStr">
        <is>
          <t>실전회화/표현</t>
        </is>
      </c>
      <c r="C36" s="4" t="inlineStr">
        <is>
          <t>insecure</t>
        </is>
      </c>
      <c r="D36" s="11" t="inlineStr">
        <is>
          <t>불안전한, 불안정한</t>
        </is>
      </c>
      <c r="E36" s="11" t="inlineStr">
        <is>
          <t>I've always been insecure about my weight.</t>
        </is>
      </c>
      <c r="F36" s="11" t="inlineStr">
        <is>
          <t>늘 체중에 콤플렉스가 있어</t>
        </is>
      </c>
      <c r="G36" s="5">
        <f>HYPERLINK("https://www.youtube.com/watch?v=RT0XpmQr7WU", "영상 보기 ▶")</f>
        <v/>
      </c>
    </row>
    <row r="37" ht="26" customHeight="1">
      <c r="A37" s="6" t="n">
        <v>2136</v>
      </c>
      <c r="B37" s="7" t="inlineStr">
        <is>
          <t>실전회화/표현</t>
        </is>
      </c>
      <c r="C37" s="8" t="inlineStr">
        <is>
          <t>Still or sparkling?</t>
        </is>
      </c>
      <c r="D37" s="12" t="inlineStr">
        <is>
          <t>특히 비싼 레스토랑에서</t>
        </is>
      </c>
      <c r="E37" s="12" t="inlineStr">
        <is>
          <t>A:Still or sparkling?</t>
        </is>
      </c>
      <c r="F37" s="12" t="inlineStr">
        <is>
          <t>일반 물 드릴까요?탄산수 드릴까요?</t>
        </is>
      </c>
      <c r="G37" s="9">
        <f>HYPERLINK("https://www.youtube.com/watch?v=RT0XpmQr7WU", "영상 보기 ▶")</f>
        <v/>
      </c>
    </row>
    <row r="38" ht="26" customHeight="1">
      <c r="A38" s="2" t="n">
        <v>2137</v>
      </c>
      <c r="B38" s="3" t="inlineStr">
        <is>
          <t>의견/의사결정</t>
        </is>
      </c>
      <c r="C38" s="4" t="inlineStr">
        <is>
          <t>Can you give us a minute?</t>
        </is>
      </c>
      <c r="D38" s="11" t="inlineStr">
        <is>
          <t>레스토랑에서 메뉴 결정할 시간이 필요할때</t>
        </is>
      </c>
      <c r="E38" s="11" t="inlineStr">
        <is>
          <t>Can you give us a minute?</t>
        </is>
      </c>
      <c r="F38" s="11" t="inlineStr">
        <is>
          <t>레스토랑에서 메뉴 결정할 시간이 필요할때</t>
        </is>
      </c>
      <c r="G38" s="5">
        <f>HYPERLINK("https://www.youtube.com/watch?v=RT0XpmQr7WU", "영상 보기 ▶")</f>
        <v/>
      </c>
    </row>
    <row r="39" ht="26" customHeight="1">
      <c r="A39" s="6" t="n">
        <v>2138</v>
      </c>
      <c r="B39" s="7" t="inlineStr">
        <is>
          <t>실전회화/표현</t>
        </is>
      </c>
      <c r="C39" s="8" t="inlineStr">
        <is>
          <t>I can tell.</t>
        </is>
      </c>
      <c r="D39" s="12" t="inlineStr">
        <is>
          <t>딱 보니 알겠네/티나</t>
        </is>
      </c>
      <c r="E39" s="12" t="inlineStr">
        <is>
          <t>I can tell it's a touchy subject.</t>
        </is>
      </c>
      <c r="F39" s="12" t="inlineStr">
        <is>
          <t>그게 민감한 주제란거 딱보니 알겠어</t>
        </is>
      </c>
      <c r="G39" s="9">
        <f>HYPERLINK("https://www.youtube.com/watch?v=RT0XpmQr7WU", "영상 보기 ▶")</f>
        <v/>
      </c>
    </row>
    <row r="40" ht="26" customHeight="1">
      <c r="A40" s="2" t="n">
        <v>2139</v>
      </c>
      <c r="B40" s="3" t="inlineStr">
        <is>
          <t>실전회화/표현</t>
        </is>
      </c>
      <c r="C40" s="4" t="inlineStr">
        <is>
          <t>take up</t>
        </is>
      </c>
      <c r="D40" s="11" t="inlineStr">
        <is>
          <t>(취미/새로운 활동을)~을 시작하다,배우다</t>
        </is>
      </c>
      <c r="E40" s="11" t="inlineStr">
        <is>
          <t>I took up yoga last year.</t>
        </is>
      </c>
      <c r="F40" s="11" t="inlineStr">
        <is>
          <t>작년에 요가를 시작했어</t>
        </is>
      </c>
      <c r="G40" s="5">
        <f>HYPERLINK("https://www.youtube.com/watch?v=RT0XpmQr7WU", "영상 보기 ▶")</f>
        <v/>
      </c>
    </row>
    <row r="41" ht="26" customHeight="1">
      <c r="A41" s="6" t="n">
        <v>2140</v>
      </c>
      <c r="B41" s="7" t="inlineStr">
        <is>
          <t>실전회화/표현</t>
        </is>
      </c>
      <c r="C41" s="8" t="inlineStr">
        <is>
          <t>take up</t>
        </is>
      </c>
      <c r="D41" s="12" t="inlineStr">
        <is>
          <t>(시간/공간을) 차지하다, 쓰다</t>
        </is>
      </c>
      <c r="E41" s="12" t="inlineStr">
        <is>
          <t>I don't wanna take up too much of your time.</t>
        </is>
      </c>
      <c r="F41" s="12" t="inlineStr">
        <is>
          <t>시간을 너무 많이 뺏고싶지 않아 이만 가볼게요/</t>
        </is>
      </c>
      <c r="G41" s="9">
        <f>HYPERLINK("https://www.youtube.com/watch?v=RT0XpmQr7WU", "영상 보기 ▶")</f>
        <v/>
      </c>
    </row>
    <row r="42" ht="26" customHeight="1">
      <c r="A42" s="2" t="n">
        <v>2141</v>
      </c>
      <c r="B42" s="3" t="inlineStr">
        <is>
          <t>실전회화/표현</t>
        </is>
      </c>
      <c r="C42" s="4" t="inlineStr">
        <is>
          <t>You never know.</t>
        </is>
      </c>
      <c r="D42" s="11" t="inlineStr">
        <is>
          <t>어떻게 될지 아무도 몰라/그건 모르는 일이야</t>
        </is>
      </c>
      <c r="E42" s="11" t="inlineStr">
        <is>
          <t>You never know what's gonna happen in life.</t>
        </is>
      </c>
      <c r="F42" s="11" t="inlineStr">
        <is>
          <t>사람 인생사가 어떻게 될지는 그 누구도 몰라</t>
        </is>
      </c>
      <c r="G42" s="5">
        <f>HYPERLINK("https://www.youtube.com/watch?v=RT0XpmQr7WU", "영상 보기 ▶")</f>
        <v/>
      </c>
    </row>
    <row r="43" ht="26" customHeight="1">
      <c r="A43" s="6" t="n">
        <v>2142</v>
      </c>
      <c r="B43" s="7" t="inlineStr">
        <is>
          <t>실전회화/표현</t>
        </is>
      </c>
      <c r="C43" s="8" t="inlineStr">
        <is>
          <t>You get what you pay for.</t>
        </is>
      </c>
      <c r="D43" s="12" t="inlineStr">
        <is>
          <t>원래 돈을 쓴만큼 얻는거야</t>
        </is>
      </c>
      <c r="E43" s="12" t="inlineStr">
        <is>
          <t>You get what you pay for.</t>
        </is>
      </c>
      <c r="F43" s="12" t="inlineStr">
        <is>
          <t>원래 돈을 쓴만큼 얻는거야</t>
        </is>
      </c>
      <c r="G43" s="9">
        <f>HYPERLINK("https://www.youtube.com/watch?v=RT0XpmQr7WU", "영상 보기 ▶")</f>
        <v/>
      </c>
    </row>
    <row r="44" ht="26" customHeight="1">
      <c r="A44" s="2" t="n">
        <v>2143</v>
      </c>
      <c r="B44" s="3" t="inlineStr">
        <is>
          <t>실전회화/표현</t>
        </is>
      </c>
      <c r="C44" s="4" t="inlineStr">
        <is>
          <t>for a reason</t>
        </is>
      </c>
      <c r="D44" s="11" t="inlineStr">
        <is>
          <t>(분명한) 이유가 있어서/이유로</t>
        </is>
      </c>
      <c r="E44" s="11" t="inlineStr">
        <is>
          <t>It's cheap for a reason</t>
        </is>
      </c>
      <c r="F44" s="11" t="inlineStr">
        <is>
          <t>다 이유가 있어서 싼거야 (싼게 비지떡)</t>
        </is>
      </c>
      <c r="G44" s="5">
        <f>HYPERLINK("https://www.youtube.com/watch?v=RT0XpmQr7WU", "영상 보기 ▶")</f>
        <v/>
      </c>
    </row>
    <row r="45" ht="26" customHeight="1">
      <c r="A45" s="6" t="n">
        <v>2144</v>
      </c>
      <c r="B45" s="7" t="inlineStr">
        <is>
          <t>실전회화/표현</t>
        </is>
      </c>
      <c r="C45" s="8" t="inlineStr">
        <is>
          <t>for some reason</t>
        </is>
      </c>
      <c r="D45" s="12" t="inlineStr">
        <is>
          <t>무슨 이유인지 모르겠지만/왠지 모르게</t>
        </is>
      </c>
      <c r="E45" s="12" t="inlineStr">
        <is>
          <t>It bugged me for some reason.</t>
        </is>
      </c>
      <c r="F45" s="12" t="inlineStr">
        <is>
          <t>왠지 모르게 거슬렸어/신경쓰였어</t>
        </is>
      </c>
      <c r="G45" s="9">
        <f>HYPERLINK("https://www.youtube.com/watch?v=RT0XpmQr7WU", "영상 보기 ▶")</f>
        <v/>
      </c>
    </row>
    <row r="46" ht="26" customHeight="1">
      <c r="A46" s="2" t="n">
        <v>2145</v>
      </c>
      <c r="B46" s="3" t="inlineStr">
        <is>
          <t>실전회화/표현</t>
        </is>
      </c>
      <c r="C46" s="4" t="inlineStr">
        <is>
          <t>they say</t>
        </is>
      </c>
      <c r="D46" s="11" t="inlineStr">
        <is>
          <t>사람들은 흔히 ~라고 하잖아</t>
        </is>
      </c>
      <c r="E46" s="11" t="inlineStr">
        <is>
          <t>Well,they say time heals everything.</t>
        </is>
      </c>
      <c r="F46" s="11" t="inlineStr">
        <is>
          <t>흔히 시간이 지나면 다 괜찮아 진다고 하잖아</t>
        </is>
      </c>
      <c r="G46" s="5">
        <f>HYPERLINK("https://www.youtube.com/watch?v=RT0XpmQr7WU", "영상 보기 ▶")</f>
        <v/>
      </c>
    </row>
    <row r="47" ht="26" customHeight="1">
      <c r="A47" s="6" t="n">
        <v>2146</v>
      </c>
      <c r="B47" s="7" t="inlineStr">
        <is>
          <t>실전회화/표현</t>
        </is>
      </c>
      <c r="C47" s="8" t="inlineStr">
        <is>
          <t>Do you need any utensils?</t>
        </is>
      </c>
      <c r="D47" s="12" t="inlineStr">
        <is>
          <t>레스토랑에서 테이크아웃 할때</t>
        </is>
      </c>
      <c r="E47" s="12" t="inlineStr">
        <is>
          <t>Do you need any utensils?</t>
        </is>
      </c>
      <c r="F47" s="12" t="inlineStr">
        <is>
          <t>레스토랑에서 테이크아웃 할때</t>
        </is>
      </c>
      <c r="G47" s="9">
        <f>HYPERLINK("https://www.youtube.com/watch?v=RT0XpmQr7WU", "영상 보기 ▶")</f>
        <v/>
      </c>
    </row>
    <row r="48" ht="26" customHeight="1">
      <c r="A48" s="2" t="n">
        <v>2147</v>
      </c>
      <c r="B48" s="3" t="inlineStr">
        <is>
          <t>실전회화/표현</t>
        </is>
      </c>
      <c r="C48" s="4" t="inlineStr">
        <is>
          <t>condiments</t>
        </is>
      </c>
      <c r="D48" s="11" t="inlineStr">
        <is>
          <t>조미료,양념</t>
        </is>
      </c>
      <c r="E48" s="11" t="inlineStr">
        <is>
          <t>Do you need any condiments?</t>
        </is>
      </c>
      <c r="F48" s="11" t="inlineStr">
        <is>
          <t>(핫소스,케첩,마요네즈,소금 등)</t>
        </is>
      </c>
      <c r="G48" s="5">
        <f>HYPERLINK("https://www.youtube.com/watch?v=RT0XpmQr7WU", "영상 보기 ▶")</f>
        <v/>
      </c>
    </row>
    <row r="49" ht="26" customHeight="1">
      <c r="A49" s="6" t="n">
        <v>2148</v>
      </c>
      <c r="B49" s="7" t="inlineStr">
        <is>
          <t>실전회화/표현</t>
        </is>
      </c>
      <c r="C49" s="8" t="inlineStr">
        <is>
          <t>loaded</t>
        </is>
      </c>
      <c r="D49" s="12" t="inlineStr">
        <is>
          <t>(구어체) 돈이 많은, 아주 부자인</t>
        </is>
      </c>
      <c r="E49" s="12" t="inlineStr">
        <is>
          <t>He's loaded.</t>
        </is>
      </c>
      <c r="F49" s="12" t="inlineStr">
        <is>
          <t>걔 완전 부자야</t>
        </is>
      </c>
      <c r="G49" s="9">
        <f>HYPERLINK("https://www.youtube.com/watch?v=RT0XpmQr7WU", "영상 보기 ▶")</f>
        <v/>
      </c>
    </row>
    <row r="50" ht="26" customHeight="1">
      <c r="A50" s="2" t="n">
        <v>2149</v>
      </c>
      <c r="B50" s="3" t="inlineStr">
        <is>
          <t>실전회화/표현</t>
        </is>
      </c>
      <c r="C50" s="4" t="inlineStr">
        <is>
          <t>take after</t>
        </is>
      </c>
      <c r="D50" s="11" t="inlineStr">
        <is>
          <t>(외모,성격,행동 등에서)~를 닮다</t>
        </is>
      </c>
      <c r="E50" s="11" t="inlineStr">
        <is>
          <t>She takes after you.</t>
        </is>
      </c>
      <c r="F50" s="11" t="inlineStr">
        <is>
          <t>딸이 너 닮았네</t>
        </is>
      </c>
      <c r="G50" s="5">
        <f>HYPERLINK("https://www.youtube.com/watch?v=RT0XpmQr7WU", "영상 보기 ▶")</f>
        <v/>
      </c>
    </row>
    <row r="51" ht="26" customHeight="1">
      <c r="A51" s="6" t="n">
        <v>2150</v>
      </c>
      <c r="B51" s="7" t="inlineStr">
        <is>
          <t>실전회화/표현</t>
        </is>
      </c>
      <c r="C51" s="8" t="inlineStr">
        <is>
          <t>take out</t>
        </is>
      </c>
      <c r="D51" s="12" t="inlineStr">
        <is>
          <t>~를 데리고 나가 대접하다</t>
        </is>
      </c>
      <c r="E51" s="12" t="inlineStr">
        <is>
          <t>I'd love to take you out sometime.</t>
        </is>
      </c>
      <c r="F51" s="12" t="inlineStr">
        <is>
          <t>(데이트 신청)언제 맛있는 거 사주고 싶어</t>
        </is>
      </c>
      <c r="G51" s="9">
        <f>HYPERLINK("https://www.youtube.com/watch?v=RT0XpmQr7WU", "영상 보기 ▶")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7" customWidth="1" min="3" max="3"/>
    <col width="48" customWidth="1" min="4" max="4"/>
    <col width="57" customWidth="1" min="5" max="5"/>
    <col width="72.3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2151</v>
      </c>
      <c r="B2" s="3" t="inlineStr">
        <is>
          <t>공감/감정</t>
        </is>
      </c>
      <c r="C2" s="4" t="inlineStr">
        <is>
          <t>make out</t>
        </is>
      </c>
      <c r="D2" s="11" t="inlineStr">
        <is>
          <t>(듣거나 보거나 읽어서)알아채다, 이해하다</t>
        </is>
      </c>
      <c r="E2" s="11" t="inlineStr">
        <is>
          <t>I can't make it out.</t>
        </is>
      </c>
      <c r="F2" s="11" t="inlineStr">
        <is>
          <t>뭐라고 하는지 모르겠어/</t>
        </is>
      </c>
      <c r="G2" s="5">
        <f>HYPERLINK("https://www.youtube.com/watch?v=DmMDvtKYf6U", "영상 보기 ▶")</f>
        <v/>
      </c>
    </row>
    <row r="3" ht="26" customHeight="1">
      <c r="A3" s="6" t="n">
        <v>2152</v>
      </c>
      <c r="B3" s="7" t="inlineStr">
        <is>
          <t>실전회화/표현</t>
        </is>
      </c>
      <c r="C3" s="8" t="inlineStr">
        <is>
          <t>make something up</t>
        </is>
      </c>
      <c r="D3" s="12" t="inlineStr">
        <is>
          <t>(얘기를) 지어내다</t>
        </is>
      </c>
      <c r="E3" s="12" t="inlineStr">
        <is>
          <t>I'm not making this up.</t>
        </is>
      </c>
      <c r="F3" s="12" t="inlineStr">
        <is>
          <t>내가 지어낸 말이 아냐</t>
        </is>
      </c>
      <c r="G3" s="9">
        <f>HYPERLINK("https://www.youtube.com/watch?v=DmMDvtKYf6U", "영상 보기 ▶")</f>
        <v/>
      </c>
    </row>
    <row r="4" ht="26" customHeight="1">
      <c r="A4" s="2" t="n">
        <v>2153</v>
      </c>
      <c r="B4" s="3" t="inlineStr">
        <is>
          <t>실전회화/표현</t>
        </is>
      </c>
      <c r="C4" s="4" t="inlineStr">
        <is>
          <t>I can't make it.</t>
        </is>
      </c>
      <c r="D4" s="11" t="inlineStr">
        <is>
          <t>(약속/모임/행사에) 못 갈 것 같아, 참석하지 못하다</t>
        </is>
      </c>
      <c r="E4" s="11" t="inlineStr">
        <is>
          <t>I'm so sorry, but I don't think I can make it tonight.</t>
        </is>
      </c>
      <c r="F4" s="11" t="inlineStr">
        <is>
          <t>정말 미안하지만 오늘 밤 약속에는 못 갈 것 같아.</t>
        </is>
      </c>
      <c r="G4" s="5">
        <f>HYPERLINK("https://www.youtube.com/watch?v=DmMDvtKYf6U", "영상 보기 ▶")</f>
        <v/>
      </c>
    </row>
    <row r="5" ht="26" customHeight="1">
      <c r="A5" s="6" t="n">
        <v>2154</v>
      </c>
      <c r="B5" s="7" t="inlineStr">
        <is>
          <t>실전회화/표현</t>
        </is>
      </c>
      <c r="C5" s="8" t="inlineStr">
        <is>
          <t>Don't fill up on ~</t>
        </is>
      </c>
      <c r="D5" s="12" t="inlineStr">
        <is>
          <t>(본식을 먹어야 하니) ~로 미리 배 채우지 마</t>
        </is>
      </c>
      <c r="E5" s="12" t="inlineStr">
        <is>
          <t>Don't fill up on bread; the steak is coming soon.</t>
        </is>
      </c>
      <c r="F5" s="12" t="inlineStr">
        <is>
          <t>빵으로 배 채우지 마, 곧 스테이크 나올 거니까.</t>
        </is>
      </c>
      <c r="G5" s="9">
        <f>HYPERLINK("https://www.youtube.com/watch?v=DmMDvtKYf6U", "영상 보기 ▶")</f>
        <v/>
      </c>
    </row>
    <row r="6" ht="26" customHeight="1">
      <c r="A6" s="2" t="n">
        <v>2155</v>
      </c>
      <c r="B6" s="3" t="inlineStr">
        <is>
          <t>실전회화/표현</t>
        </is>
      </c>
      <c r="C6" s="4" t="inlineStr">
        <is>
          <t>wear out</t>
        </is>
      </c>
      <c r="D6" s="11" t="inlineStr">
        <is>
          <t>(사람을) 지치게 하다</t>
        </is>
      </c>
      <c r="E6" s="11" t="inlineStr">
        <is>
          <t>I'm worn out.</t>
        </is>
      </c>
      <c r="F6" s="11" t="inlineStr">
        <is>
          <t>난 지쳤어</t>
        </is>
      </c>
      <c r="G6" s="5">
        <f>HYPERLINK("https://www.youtube.com/watch?v=DmMDvtKYf6U", "영상 보기 ▶")</f>
        <v/>
      </c>
    </row>
    <row r="7" ht="26" customHeight="1">
      <c r="A7" s="6" t="n">
        <v>2156</v>
      </c>
      <c r="B7" s="7" t="inlineStr">
        <is>
          <t>실전회화/표현</t>
        </is>
      </c>
      <c r="C7" s="8" t="inlineStr">
        <is>
          <t>I was taken aback.</t>
        </is>
      </c>
      <c r="D7" s="12" t="inlineStr">
        <is>
          <t>(너무 뜻밖이어서) 몹시 당황했어, 충격받았어</t>
        </is>
      </c>
      <c r="E7" s="12" t="inlineStr">
        <is>
          <t>I was taken aback by how expensive the tickets were.</t>
        </is>
      </c>
      <c r="F7" s="12" t="inlineStr">
        <is>
          <t>티켓 가격이 너무 비싸서 정말 깜짝 놀라고 당황했어.</t>
        </is>
      </c>
      <c r="G7" s="9">
        <f>HYPERLINK("https://www.youtube.com/watch?v=DmMDvtKYf6U", "영상 보기 ▶")</f>
        <v/>
      </c>
    </row>
    <row r="8" ht="26" customHeight="1">
      <c r="A8" s="2" t="n">
        <v>2157</v>
      </c>
      <c r="B8" s="3" t="inlineStr">
        <is>
          <t>실전회화/표현</t>
        </is>
      </c>
      <c r="C8" s="4" t="inlineStr">
        <is>
          <t>off-limits</t>
        </is>
      </c>
      <c r="D8" s="11" t="inlineStr">
        <is>
          <t>출입/사용/논의 금지의</t>
        </is>
      </c>
      <c r="E8" s="11" t="inlineStr">
        <is>
          <t>It's off-limits.</t>
        </is>
      </c>
      <c r="F8" s="11" t="inlineStr">
        <is>
          <t>거긴 가면 안돼/그건 손대면 안돼/그 얘긴 하면 안돼</t>
        </is>
      </c>
      <c r="G8" s="5">
        <f>HYPERLINK("https://www.youtube.com/watch?v=DmMDvtKYf6U", "영상 보기 ▶")</f>
        <v/>
      </c>
    </row>
    <row r="9" ht="26" customHeight="1">
      <c r="A9" s="6" t="n">
        <v>2158</v>
      </c>
      <c r="B9" s="7" t="inlineStr">
        <is>
          <t>실전회화/표현</t>
        </is>
      </c>
      <c r="C9" s="8" t="inlineStr">
        <is>
          <t>come down to</t>
        </is>
      </c>
      <c r="D9" s="12" t="inlineStr">
        <is>
          <t>결국 ~로 귀결되다/결국 ~에 달려있다</t>
        </is>
      </c>
      <c r="E9" s="12" t="inlineStr">
        <is>
          <t>It all comes down to money.</t>
        </is>
      </c>
      <c r="F9" s="12" t="inlineStr">
        <is>
          <t>결국 모든건 돈문제로 귀결돼/결국 중요한건 돈이야</t>
        </is>
      </c>
      <c r="G9" s="9">
        <f>HYPERLINK("https://www.youtube.com/watch?v=DmMDvtKYf6U", "영상 보기 ▶")</f>
        <v/>
      </c>
    </row>
    <row r="10" ht="26" customHeight="1">
      <c r="A10" s="2" t="n">
        <v>2159</v>
      </c>
      <c r="B10" s="3" t="inlineStr">
        <is>
          <t>실전회화/표현</t>
        </is>
      </c>
      <c r="C10" s="4" t="inlineStr">
        <is>
          <t>come down with</t>
        </is>
      </c>
      <c r="D10" s="11" t="inlineStr">
        <is>
          <t>(감기,독감등)~에 걸리다</t>
        </is>
      </c>
      <c r="E10" s="11" t="inlineStr">
        <is>
          <t>I think I'm coming down with a cold.</t>
        </is>
      </c>
      <c r="F10" s="11" t="inlineStr">
        <is>
          <t>나 감기 기운이 있는것 같아</t>
        </is>
      </c>
      <c r="G10" s="5">
        <f>HYPERLINK("https://www.youtube.com/watch?v=DmMDvtKYf6U", "영상 보기 ▶")</f>
        <v/>
      </c>
    </row>
    <row r="11" ht="26" customHeight="1">
      <c r="A11" s="6" t="n">
        <v>2160</v>
      </c>
      <c r="B11" s="7" t="inlineStr">
        <is>
          <t>실전회화/표현</t>
        </is>
      </c>
      <c r="C11" s="8" t="inlineStr">
        <is>
          <t>outgrow</t>
        </is>
      </c>
      <c r="D11" s="12" t="inlineStr">
        <is>
          <t>(나이가 들며)~에 흥미를 잃다/~를 그만두다/</t>
        </is>
      </c>
      <c r="E11" s="12" t="inlineStr">
        <is>
          <t>I outgrew golf.</t>
        </is>
      </c>
      <c r="F11" s="12" t="inlineStr">
        <is>
          <t>예전엔 골프 좋아했는데 지금은 별로야</t>
        </is>
      </c>
      <c r="G11" s="9">
        <f>HYPERLINK("https://www.youtube.com/watch?v=DmMDvtKYf6U", "영상 보기 ▶")</f>
        <v/>
      </c>
    </row>
    <row r="12" ht="26" customHeight="1">
      <c r="A12" s="2" t="n">
        <v>2161</v>
      </c>
      <c r="B12" s="3" t="inlineStr">
        <is>
          <t>실전회화/표현</t>
        </is>
      </c>
      <c r="C12" s="4" t="inlineStr">
        <is>
          <t>come along</t>
        </is>
      </c>
      <c r="D12" s="11" t="inlineStr">
        <is>
          <t>같이 오다/가다</t>
        </is>
      </c>
      <c r="E12" s="11" t="inlineStr">
        <is>
          <t>Do you wanna come along?</t>
        </is>
      </c>
      <c r="F12" s="11" t="inlineStr">
        <is>
          <t>같이 갈래?</t>
        </is>
      </c>
      <c r="G12" s="5">
        <f>HYPERLINK("https://www.youtube.com/watch?v=DmMDvtKYf6U", "영상 보기 ▶")</f>
        <v/>
      </c>
    </row>
    <row r="13" ht="26" customHeight="1">
      <c r="A13" s="6" t="n">
        <v>2162</v>
      </c>
      <c r="B13" s="7" t="inlineStr">
        <is>
          <t>실전회화/표현</t>
        </is>
      </c>
      <c r="C13" s="8" t="inlineStr">
        <is>
          <t>come along</t>
        </is>
      </c>
      <c r="D13" s="12" t="inlineStr">
        <is>
          <t>(특히 좋은 사람이나 기회가) 생기다/나타나다</t>
        </is>
      </c>
      <c r="E13" s="12" t="inlineStr">
        <is>
          <t>You should reconsider.</t>
        </is>
      </c>
      <c r="F13" s="12" t="inlineStr">
        <is>
          <t>Opportunities like this don't come along every day. 재고해보는게 좋겠다.</t>
        </is>
      </c>
      <c r="G13" s="9">
        <f>HYPERLINK("https://www.youtube.com/watch?v=DmMDvtKYf6U", "영상 보기 ▶")</f>
        <v/>
      </c>
    </row>
    <row r="14" ht="26" customHeight="1">
      <c r="A14" s="2" t="n">
        <v>2163</v>
      </c>
      <c r="B14" s="3" t="inlineStr">
        <is>
          <t>실전회화/표현</t>
        </is>
      </c>
      <c r="C14" s="4" t="inlineStr">
        <is>
          <t>come along</t>
        </is>
      </c>
      <c r="D14" s="11" t="inlineStr">
        <is>
          <t>일이 진행되다/상황을 발전하다</t>
        </is>
      </c>
      <c r="E14" s="11" t="inlineStr">
        <is>
          <t>How's the project coming along?</t>
        </is>
      </c>
      <c r="F14" s="11" t="inlineStr">
        <is>
          <t>프로젝트는 어떻게 진행되고 있어/잘 완성되고 있어</t>
        </is>
      </c>
      <c r="G14" s="5">
        <f>HYPERLINK("https://www.youtube.com/watch?v=DmMDvtKYf6U", "영상 보기 ▶")</f>
        <v/>
      </c>
    </row>
    <row r="15" ht="26" customHeight="1">
      <c r="A15" s="6" t="n">
        <v>2164</v>
      </c>
      <c r="B15" s="7" t="inlineStr">
        <is>
          <t>실전회화/표현</t>
        </is>
      </c>
      <c r="C15" s="8" t="inlineStr">
        <is>
          <t>rub</t>
        </is>
      </c>
      <c r="D15" s="12" t="inlineStr">
        <is>
          <t>사람 the wrong way</t>
        </is>
      </c>
      <c r="E15" s="12" t="inlineStr">
        <is>
          <t>He always rubs me the wrong way.</t>
        </is>
      </c>
      <c r="F15" s="12" t="inlineStr">
        <is>
          <t>걘 늘 날 짜증나게 해/불편하게 해</t>
        </is>
      </c>
      <c r="G15" s="9">
        <f>HYPERLINK("https://www.youtube.com/watch?v=DmMDvtKYf6U", "영상 보기 ▶")</f>
        <v/>
      </c>
    </row>
    <row r="16" ht="26" customHeight="1">
      <c r="A16" s="2" t="n">
        <v>2165</v>
      </c>
      <c r="B16" s="3" t="inlineStr">
        <is>
          <t>실전회화/표현</t>
        </is>
      </c>
      <c r="C16" s="4" t="inlineStr">
        <is>
          <t>underwhelmed</t>
        </is>
      </c>
      <c r="D16" s="11" t="inlineStr">
        <is>
          <t>아무 감흥/감동도 없는,(기대에 못미쳐)실망한</t>
        </is>
      </c>
      <c r="E16" s="11" t="inlineStr">
        <is>
          <t>I hate to say this,but I'm underwhelmed.</t>
        </is>
      </c>
      <c r="F16" s="11" t="inlineStr">
        <is>
          <t>이런말 하고싶지 않은데 기대보다 별로야</t>
        </is>
      </c>
      <c r="G16" s="5">
        <f>HYPERLINK("https://www.youtube.com/watch?v=DmMDvtKYf6U", "영상 보기 ▶")</f>
        <v/>
      </c>
    </row>
    <row r="17" ht="26" customHeight="1">
      <c r="A17" s="6" t="n">
        <v>2166</v>
      </c>
      <c r="B17" s="7" t="inlineStr">
        <is>
          <t>실전회화/표현</t>
        </is>
      </c>
      <c r="C17" s="8" t="inlineStr">
        <is>
          <t>overwhelmed</t>
        </is>
      </c>
      <c r="D17" s="12" t="inlineStr">
        <is>
          <t>벅찬</t>
        </is>
      </c>
      <c r="E17" s="12" t="inlineStr">
        <is>
          <t>You seem a bit overwhelmed.</t>
        </is>
      </c>
      <c r="F17" s="12" t="inlineStr">
        <is>
          <t>좀 정신없어 힘들어 보이는데 내가 도와줄까?</t>
        </is>
      </c>
      <c r="G17" s="9">
        <f>HYPERLINK("https://www.youtube.com/watch?v=DmMDvtKYf6U", "영상 보기 ▶")</f>
        <v/>
      </c>
    </row>
    <row r="18" ht="26" customHeight="1">
      <c r="A18" s="2" t="n">
        <v>2167</v>
      </c>
      <c r="B18" s="3" t="inlineStr">
        <is>
          <t>실전회화/표현</t>
        </is>
      </c>
      <c r="C18" s="4" t="inlineStr">
        <is>
          <t>go by</t>
        </is>
      </c>
      <c r="D18" s="11" t="inlineStr">
        <is>
          <t>지나가다</t>
        </is>
      </c>
      <c r="E18" s="11" t="inlineStr">
        <is>
          <t>Time goes by so fast.</t>
        </is>
      </c>
      <c r="F18" s="11" t="inlineStr">
        <is>
          <t>시간이 정말 빨리 가네</t>
        </is>
      </c>
      <c r="G18" s="5">
        <f>HYPERLINK("https://www.youtube.com/watch?v=DmMDvtKYf6U", "영상 보기 ▶")</f>
        <v/>
      </c>
    </row>
    <row r="19" ht="26" customHeight="1">
      <c r="A19" s="6" t="n">
        <v>2168</v>
      </c>
      <c r="B19" s="7" t="inlineStr">
        <is>
          <t>실전회화/표현</t>
        </is>
      </c>
      <c r="C19" s="8" t="inlineStr">
        <is>
          <t>go by</t>
        </is>
      </c>
      <c r="D19" s="12" t="inlineStr">
        <is>
          <t>~를 따르다/기준으로 삼다</t>
        </is>
      </c>
      <c r="E19" s="12" t="inlineStr">
        <is>
          <t>My name is Elizabeth,and I go by Liz.</t>
        </is>
      </c>
      <c r="F19" s="12" t="inlineStr">
        <is>
          <t>원래 이름은 Elizabeth인데 Liz로 불러주세요</t>
        </is>
      </c>
      <c r="G19" s="9">
        <f>HYPERLINK("https://www.youtube.com/watch?v=DmMDvtKYf6U", "영상 보기 ▶")</f>
        <v/>
      </c>
    </row>
    <row r="20" ht="26" customHeight="1">
      <c r="A20" s="2" t="n">
        <v>2169</v>
      </c>
      <c r="B20" s="3" t="inlineStr">
        <is>
          <t>실전회화/표현</t>
        </is>
      </c>
      <c r="C20" s="4" t="inlineStr">
        <is>
          <t>I'm guilty of that.</t>
        </is>
      </c>
      <c r="D20" s="11" t="inlineStr">
        <is>
          <t>나도 그래/나도 그런적 있어/나도 그런 편이야</t>
        </is>
      </c>
      <c r="E20" s="11" t="inlineStr">
        <is>
          <t>A:Sorry,I talk too fast sometimes.</t>
        </is>
      </c>
      <c r="F20" s="11" t="inlineStr">
        <is>
          <t>제가 때론 말이 너무 빨라서 죄송해요</t>
        </is>
      </c>
      <c r="G20" s="5">
        <f>HYPERLINK("https://www.youtube.com/watch?v=DmMDvtKYf6U", "영상 보기 ▶")</f>
        <v/>
      </c>
    </row>
    <row r="21" ht="26" customHeight="1">
      <c r="A21" s="6" t="n">
        <v>2170</v>
      </c>
      <c r="B21" s="7" t="inlineStr">
        <is>
          <t>실전회화/표현</t>
        </is>
      </c>
      <c r="C21" s="8" t="inlineStr">
        <is>
          <t>go about</t>
        </is>
      </c>
      <c r="D21" s="12" t="inlineStr">
        <is>
          <t>~을 해나가다, 처리하다</t>
        </is>
      </c>
      <c r="E21" s="12" t="inlineStr">
        <is>
          <t>How should we go about this situation?</t>
        </is>
      </c>
      <c r="F21" s="12" t="inlineStr">
        <is>
          <t>이 상황을 어떻게 접근해야 될까?</t>
        </is>
      </c>
      <c r="G21" s="9">
        <f>HYPERLINK("https://www.youtube.com/watch?v=DmMDvtKYf6U", "영상 보기 ▶")</f>
        <v/>
      </c>
    </row>
    <row r="22" ht="26" customHeight="1">
      <c r="A22" s="2" t="n">
        <v>2171</v>
      </c>
      <c r="B22" s="3" t="inlineStr">
        <is>
          <t>실전회화/표현</t>
        </is>
      </c>
      <c r="C22" s="4" t="inlineStr">
        <is>
          <t>fly</t>
        </is>
      </c>
      <c r="D22" s="11" t="inlineStr">
        <is>
          <t>(계획이) 성공하다, 받아들여지다</t>
        </is>
      </c>
      <c r="E22" s="11" t="inlineStr">
        <is>
          <t>That's not gonna fly.</t>
        </is>
      </c>
      <c r="F22" s="11" t="inlineStr">
        <is>
          <t>그건 성공하지/먹혀들지/받아들여지지/통하지 않을거야</t>
        </is>
      </c>
      <c r="G22" s="5">
        <f>HYPERLINK("https://www.youtube.com/watch?v=DmMDvtKYf6U", "영상 보기 ▶")</f>
        <v/>
      </c>
    </row>
    <row r="23" ht="26" customHeight="1">
      <c r="A23" s="6" t="n">
        <v>2172</v>
      </c>
      <c r="B23" s="7" t="inlineStr">
        <is>
          <t>실전회화/표현</t>
        </is>
      </c>
      <c r="C23" s="8" t="inlineStr">
        <is>
          <t>kick in</t>
        </is>
      </c>
      <c r="D23" s="12" t="inlineStr">
        <is>
          <t>효과가 나타나기 시재하다/본격적으로 느껴지기 시작하다</t>
        </is>
      </c>
      <c r="E23" s="12" t="inlineStr">
        <is>
          <t>The fatigue's kicking in.</t>
        </is>
      </c>
      <c r="F23" s="12" t="inlineStr">
        <is>
          <t>이제 피로가 몰려오네</t>
        </is>
      </c>
      <c r="G23" s="9">
        <f>HYPERLINK("https://www.youtube.com/watch?v=DmMDvtKYf6U", "영상 보기 ▶")</f>
        <v/>
      </c>
    </row>
    <row r="24" ht="26" customHeight="1">
      <c r="A24" s="2" t="n">
        <v>2173</v>
      </c>
      <c r="B24" s="3" t="inlineStr">
        <is>
          <t>실전회화/표현</t>
        </is>
      </c>
      <c r="C24" s="4" t="inlineStr">
        <is>
          <t>live up to expectations</t>
        </is>
      </c>
      <c r="D24" s="11" t="inlineStr">
        <is>
          <t>기대에 부응하다</t>
        </is>
      </c>
      <c r="E24" s="11" t="inlineStr">
        <is>
          <t>I hope it lives up to your expectations.</t>
        </is>
      </c>
      <c r="F24" s="11" t="inlineStr">
        <is>
          <t>기대에 부응하면 좋겠네요</t>
        </is>
      </c>
      <c r="G24" s="5">
        <f>HYPERLINK("https://www.youtube.com/watch?v=DmMDvtKYf6U", "영상 보기 ▶")</f>
        <v/>
      </c>
    </row>
    <row r="25" ht="26" customHeight="1">
      <c r="A25" s="6" t="n">
        <v>2174</v>
      </c>
      <c r="B25" s="7" t="inlineStr">
        <is>
          <t>실전회화/표현</t>
        </is>
      </c>
      <c r="C25" s="8" t="inlineStr">
        <is>
          <t>strategize</t>
        </is>
      </c>
      <c r="D25" s="12" t="inlineStr">
        <is>
          <t>전략을 짜다</t>
        </is>
      </c>
      <c r="E25" s="12" t="inlineStr">
        <is>
          <t>We can't afford any mistakes.</t>
        </is>
      </c>
      <c r="F25" s="12" t="inlineStr">
        <is>
          <t>실수할 여유 없으니 전략을 잘 짜보자</t>
        </is>
      </c>
      <c r="G25" s="9">
        <f>HYPERLINK("https://www.youtube.com/watch?v=DmMDvtKYf6U", "영상 보기 ▶")</f>
        <v/>
      </c>
    </row>
    <row r="26" ht="26" customHeight="1">
      <c r="A26" s="2" t="n">
        <v>2175</v>
      </c>
      <c r="B26" s="3" t="inlineStr">
        <is>
          <t>실전회화/표현</t>
        </is>
      </c>
      <c r="C26" s="4" t="inlineStr">
        <is>
          <t>reimburse</t>
        </is>
      </c>
      <c r="D26" s="11" t="inlineStr">
        <is>
          <t>환급하다</t>
        </is>
      </c>
      <c r="E26" s="11" t="inlineStr">
        <is>
          <t>I need a receipt to get reimbursed.</t>
        </is>
      </c>
      <c r="F26" s="11" t="inlineStr">
        <is>
          <t>환급받으려면/경비 처리하려면 영수증이 필요해</t>
        </is>
      </c>
      <c r="G26" s="5">
        <f>HYPERLINK("https://www.youtube.com/watch?v=DmMDvtKYf6U", "영상 보기 ▶")</f>
        <v/>
      </c>
    </row>
    <row r="27" ht="26" customHeight="1">
      <c r="A27" s="6" t="n">
        <v>2176</v>
      </c>
      <c r="B27" s="7" t="inlineStr">
        <is>
          <t>실전회화/표현</t>
        </is>
      </c>
      <c r="C27" s="8" t="inlineStr">
        <is>
          <t>ecstatic</t>
        </is>
      </c>
      <c r="D27" s="12" t="inlineStr">
        <is>
          <t>황홀한, 정말 기쁜/신나는</t>
        </is>
      </c>
      <c r="E27" s="12" t="inlineStr">
        <is>
          <t>I'm ecstatic.</t>
        </is>
      </c>
      <c r="F27" s="12" t="inlineStr">
        <is>
          <t>정말 기뻐/기분 좋다</t>
        </is>
      </c>
      <c r="G27" s="9">
        <f>HYPERLINK("https://www.youtube.com/watch?v=DmMDvtKYf6U", "영상 보기 ▶")</f>
        <v/>
      </c>
    </row>
    <row r="28" ht="26" customHeight="1">
      <c r="A28" s="2" t="n">
        <v>2177</v>
      </c>
      <c r="B28" s="3" t="inlineStr">
        <is>
          <t>실전회화/표현</t>
        </is>
      </c>
      <c r="C28" s="4" t="inlineStr">
        <is>
          <t>You outdid yourself.</t>
        </is>
      </c>
      <c r="D28" s="11" t="inlineStr">
        <is>
          <t>(평소보다 훨씬 잘했을때)</t>
        </is>
      </c>
      <c r="E28" s="11" t="inlineStr">
        <is>
          <t>You outdid yourself.</t>
        </is>
      </c>
      <c r="F28" s="11" t="inlineStr">
        <is>
          <t>(평소보다 훨씬 잘했을때)</t>
        </is>
      </c>
      <c r="G28" s="5">
        <f>HYPERLINK("https://www.youtube.com/watch?v=DmMDvtKYf6U", "영상 보기 ▶")</f>
        <v/>
      </c>
    </row>
    <row r="29" ht="26" customHeight="1">
      <c r="A29" s="6" t="n">
        <v>2178</v>
      </c>
      <c r="B29" s="7" t="inlineStr">
        <is>
          <t>공감/감정</t>
        </is>
      </c>
      <c r="C29" s="8" t="inlineStr">
        <is>
          <t>That makes sense.</t>
        </is>
      </c>
      <c r="D29" s="12" t="inlineStr">
        <is>
          <t>아, 그러네/말 되네/이해돼</t>
        </is>
      </c>
      <c r="E29" s="12" t="inlineStr">
        <is>
          <t>That makes sense.</t>
        </is>
      </c>
      <c r="F29" s="12" t="inlineStr">
        <is>
          <t>아, 그러네/말 되네/이해돼</t>
        </is>
      </c>
      <c r="G29" s="9">
        <f>HYPERLINK("https://www.youtube.com/watch?v=DmMDvtKYf6U", "영상 보기 ▶")</f>
        <v/>
      </c>
    </row>
    <row r="30" ht="26" customHeight="1">
      <c r="A30" s="2" t="n">
        <v>2179</v>
      </c>
      <c r="B30" s="3" t="inlineStr">
        <is>
          <t>실전회화/표현</t>
        </is>
      </c>
      <c r="C30" s="4" t="inlineStr">
        <is>
          <t>hype</t>
        </is>
      </c>
      <c r="D30" s="11" t="inlineStr">
        <is>
          <t>큰 기대감/관심</t>
        </is>
      </c>
      <c r="E30" s="11" t="inlineStr">
        <is>
          <t>It lives up to the hype.</t>
        </is>
      </c>
      <c r="F30" s="11" t="inlineStr">
        <is>
          <t>사람들이 얘기하는 것먀큼 좋더라/기대할만하더라</t>
        </is>
      </c>
      <c r="G30" s="5">
        <f>HYPERLINK("https://www.youtube.com/watch?v=DmMDvtKYf6U", "영상 보기 ▶")</f>
        <v/>
      </c>
    </row>
    <row r="31" ht="26" customHeight="1">
      <c r="A31" s="6" t="n">
        <v>2180</v>
      </c>
      <c r="B31" s="7" t="inlineStr">
        <is>
          <t>실전회화/표현</t>
        </is>
      </c>
      <c r="C31" s="8" t="inlineStr">
        <is>
          <t>At first</t>
        </is>
      </c>
      <c r="D31" s="12" t="inlineStr">
        <is>
          <t>처음에는,처음엔</t>
        </is>
      </c>
      <c r="E31" s="12" t="inlineStr">
        <is>
          <t>I didn't recognize you at first.</t>
        </is>
      </c>
      <c r="F31" s="12" t="inlineStr">
        <is>
          <t>처음엔 못 알아봤어/누군가 했어</t>
        </is>
      </c>
      <c r="G31" s="9">
        <f>HYPERLINK("https://www.youtube.com/watch?v=DmMDvtKYf6U", "영상 보기 ▶")</f>
        <v/>
      </c>
    </row>
    <row r="32" ht="26" customHeight="1">
      <c r="A32" s="2" t="n">
        <v>2181</v>
      </c>
      <c r="B32" s="3" t="inlineStr">
        <is>
          <t>실전회화/표현</t>
        </is>
      </c>
      <c r="C32" s="4" t="inlineStr">
        <is>
          <t>First things first</t>
        </is>
      </c>
      <c r="D32" s="11" t="inlineStr">
        <is>
          <t>(캐쥬얼한 구어체) 가장 중요한것부터 먼저</t>
        </is>
      </c>
      <c r="E32" s="11" t="inlineStr">
        <is>
          <t>First things first,we need to get his approval.</t>
        </is>
      </c>
      <c r="F32" s="11" t="inlineStr">
        <is>
          <t>먼저 그의 승인부터 받아야 돼</t>
        </is>
      </c>
      <c r="G32" s="5">
        <f>HYPERLINK("https://www.youtube.com/watch?v=DmMDvtKYf6U", "영상 보기 ▶")</f>
        <v/>
      </c>
    </row>
    <row r="33" ht="26" customHeight="1">
      <c r="A33" s="6" t="n">
        <v>2182</v>
      </c>
      <c r="B33" s="7" t="inlineStr">
        <is>
          <t>실전회화/표현</t>
        </is>
      </c>
      <c r="C33" s="8" t="inlineStr">
        <is>
          <t>First come,first served.</t>
        </is>
      </c>
      <c r="D33" s="12" t="inlineStr">
        <is>
          <t>선착순</t>
        </is>
      </c>
      <c r="E33" s="12" t="inlineStr">
        <is>
          <t>A:Can I make a reservation?</t>
        </is>
      </c>
      <c r="F33" s="12" t="inlineStr">
        <is>
          <t>예약할수 있을까요</t>
        </is>
      </c>
      <c r="G33" s="9">
        <f>HYPERLINK("https://www.youtube.com/watch?v=DmMDvtKYf6U", "영상 보기 ▶")</f>
        <v/>
      </c>
    </row>
    <row r="34" ht="26" customHeight="1">
      <c r="A34" s="2" t="n">
        <v>2183</v>
      </c>
      <c r="B34" s="3" t="inlineStr">
        <is>
          <t>실전회화/표현</t>
        </is>
      </c>
      <c r="C34" s="4" t="inlineStr">
        <is>
          <t>take a toll</t>
        </is>
      </c>
      <c r="D34" s="11" t="inlineStr">
        <is>
          <t>~에 타격을 주다/안좋은 영향을 미치다</t>
        </is>
      </c>
      <c r="E34" s="11" t="inlineStr">
        <is>
          <t>It'll take a toll on your health.</t>
        </is>
      </c>
      <c r="F34" s="11" t="inlineStr">
        <is>
          <t>건강에 안 좋을거야</t>
        </is>
      </c>
      <c r="G34" s="5">
        <f>HYPERLINK("https://www.youtube.com/watch?v=DmMDvtKYf6U", "영상 보기 ▶")</f>
        <v/>
      </c>
    </row>
    <row r="35" ht="26" customHeight="1">
      <c r="A35" s="6" t="n">
        <v>2184</v>
      </c>
      <c r="B35" s="7" t="inlineStr">
        <is>
          <t>실전회화/표현</t>
        </is>
      </c>
      <c r="C35" s="8" t="inlineStr">
        <is>
          <t>take a hit</t>
        </is>
      </c>
      <c r="D35" s="12" t="inlineStr">
        <is>
          <t>타격을 입다,손해를 보다</t>
        </is>
      </c>
      <c r="E35" s="12" t="inlineStr">
        <is>
          <t>Our sales took a hit last quarter.</t>
        </is>
      </c>
      <c r="F35" s="12" t="inlineStr">
        <is>
          <t>지난 분기 매출이 타격을 받았어</t>
        </is>
      </c>
      <c r="G35" s="9">
        <f>HYPERLINK("https://www.youtube.com/watch?v=DmMDvtKYf6U", "영상 보기 ▶")</f>
        <v/>
      </c>
    </row>
    <row r="36" ht="26" customHeight="1">
      <c r="A36" s="2" t="n">
        <v>2185</v>
      </c>
      <c r="B36" s="3" t="inlineStr">
        <is>
          <t>대화/인간관계</t>
        </is>
      </c>
      <c r="C36" s="4" t="inlineStr">
        <is>
          <t>What's your word for next year?</t>
        </is>
      </c>
      <c r="D36" s="11" t="inlineStr">
        <is>
          <t>연말 스몰토크로 좋은</t>
        </is>
      </c>
      <c r="E36" s="11" t="inlineStr">
        <is>
          <t>My word is happiness/health/family/growth.</t>
        </is>
      </c>
      <c r="F36" s="11" t="inlineStr">
        <is>
          <t>내년의 키워드는 뭐야?</t>
        </is>
      </c>
      <c r="G36" s="5">
        <f>HYPERLINK("https://www.youtube.com/watch?v=DmMDvtKYf6U", "영상 보기 ▶")</f>
        <v/>
      </c>
    </row>
    <row r="37" ht="26" customHeight="1">
      <c r="A37" s="6" t="n">
        <v>2186</v>
      </c>
      <c r="B37" s="7" t="inlineStr">
        <is>
          <t>실전회화/표현</t>
        </is>
      </c>
      <c r="C37" s="8" t="inlineStr">
        <is>
          <t>priority</t>
        </is>
      </c>
      <c r="D37" s="12" t="inlineStr">
        <is>
          <t>우선순위</t>
        </is>
      </c>
      <c r="E37" s="12" t="inlineStr">
        <is>
          <t>I'll make it my first priority.</t>
        </is>
      </c>
      <c r="F37" s="12" t="inlineStr">
        <is>
          <t>내가 우선순위 1순위로 두고 처리할테니 걱정마</t>
        </is>
      </c>
      <c r="G37" s="9">
        <f>HYPERLINK("https://www.youtube.com/watch?v=DmMDvtKYf6U", "영상 보기 ▶")</f>
        <v/>
      </c>
    </row>
    <row r="38" ht="26" customHeight="1">
      <c r="A38" s="2" t="n">
        <v>2187</v>
      </c>
      <c r="B38" s="3" t="inlineStr">
        <is>
          <t>실전회화/표현</t>
        </is>
      </c>
      <c r="C38" s="4" t="inlineStr">
        <is>
          <t>waive</t>
        </is>
      </c>
      <c r="D38" s="11" t="inlineStr">
        <is>
          <t>면제하다</t>
        </is>
      </c>
      <c r="E38" s="11" t="inlineStr">
        <is>
          <t>We'll waive the fee this time.</t>
        </is>
      </c>
      <c r="F38" s="11" t="inlineStr">
        <is>
          <t>이번엔 수수료를 면제해 드릴께요</t>
        </is>
      </c>
      <c r="G38" s="5">
        <f>HYPERLINK("https://www.youtube.com/watch?v=DmMDvtKYf6U", "영상 보기 ▶")</f>
        <v/>
      </c>
    </row>
    <row r="39" ht="26" customHeight="1">
      <c r="A39" s="6" t="n">
        <v>2188</v>
      </c>
      <c r="B39" s="7" t="inlineStr">
        <is>
          <t>실전회화/표현</t>
        </is>
      </c>
      <c r="C39" s="8" t="inlineStr">
        <is>
          <t>Allow me to +</t>
        </is>
      </c>
      <c r="D39" s="12" t="inlineStr">
        <is>
          <t>동사원형</t>
        </is>
      </c>
      <c r="E39" s="12" t="inlineStr">
        <is>
          <t>Allow me to +</t>
        </is>
      </c>
      <c r="F39" s="12" t="inlineStr">
        <is>
          <t>동사원형</t>
        </is>
      </c>
      <c r="G39" s="9">
        <f>HYPERLINK("https://www.youtube.com/watch?v=DmMDvtKYf6U", "영상 보기 ▶")</f>
        <v/>
      </c>
    </row>
    <row r="40" ht="26" customHeight="1">
      <c r="A40" s="2" t="n">
        <v>2189</v>
      </c>
      <c r="B40" s="3" t="inlineStr">
        <is>
          <t>공감/감정</t>
        </is>
      </c>
      <c r="C40" s="4" t="inlineStr">
        <is>
          <t>refreshing</t>
        </is>
      </c>
      <c r="D40" s="11" t="inlineStr">
        <is>
          <t>상쾌한,신선한,기분전환이 되는,개운한</t>
        </is>
      </c>
      <c r="E40" s="11" t="inlineStr">
        <is>
          <t>It's refreshing.</t>
        </is>
      </c>
      <c r="F40" s="11" t="inlineStr">
        <is>
          <t>입가심이 되네/갈증이 싹 가시네</t>
        </is>
      </c>
      <c r="G40" s="5">
        <f>HYPERLINK("https://www.youtube.com/watch?v=DmMDvtKYf6U", "영상 보기 ▶")</f>
        <v/>
      </c>
    </row>
    <row r="41" ht="26" customHeight="1">
      <c r="A41" s="6" t="n">
        <v>2190</v>
      </c>
      <c r="B41" s="7" t="inlineStr">
        <is>
          <t>실전회화/표현</t>
        </is>
      </c>
      <c r="C41" s="8" t="inlineStr">
        <is>
          <t>put off</t>
        </is>
      </c>
      <c r="D41" s="12" t="inlineStr">
        <is>
          <t>미루다/연기하다</t>
        </is>
      </c>
      <c r="E41" s="12" t="inlineStr">
        <is>
          <t>Let's put it off until next week.</t>
        </is>
      </c>
      <c r="F41" s="12" t="inlineStr">
        <is>
          <t>다음주까지 미루자</t>
        </is>
      </c>
      <c r="G41" s="9">
        <f>HYPERLINK("https://www.youtube.com/watch?v=DmMDvtKYf6U", "영상 보기 ▶")</f>
        <v/>
      </c>
    </row>
    <row r="42" ht="26" customHeight="1">
      <c r="A42" s="2" t="n">
        <v>2191</v>
      </c>
      <c r="B42" s="3" t="inlineStr">
        <is>
          <t>실전회화/표현</t>
        </is>
      </c>
      <c r="C42" s="4" t="inlineStr">
        <is>
          <t>put off</t>
        </is>
      </c>
      <c r="D42" s="11" t="inlineStr">
        <is>
          <t>~를 싫어하게/믿지 못하게/정떨어지게 만들다</t>
        </is>
      </c>
      <c r="E42" s="11" t="inlineStr">
        <is>
          <t>I'm a little put off by the price.</t>
        </is>
      </c>
      <c r="F42" s="11" t="inlineStr">
        <is>
          <t>가격이 좀 부담되서 망설여져/마음이 식어</t>
        </is>
      </c>
      <c r="G42" s="5">
        <f>HYPERLINK("https://www.youtube.com/watch?v=DmMDvtKYf6U", "영상 보기 ▶")</f>
        <v/>
      </c>
    </row>
    <row r="43" ht="26" customHeight="1">
      <c r="A43" s="6" t="n">
        <v>2192</v>
      </c>
      <c r="B43" s="7" t="inlineStr">
        <is>
          <t>실전회화/표현</t>
        </is>
      </c>
      <c r="C43" s="8" t="inlineStr">
        <is>
          <t>First thing in the morning</t>
        </is>
      </c>
      <c r="D43" s="12" t="inlineStr">
        <is>
          <t>아침에 가장 먼저,출근하자마자</t>
        </is>
      </c>
      <c r="E43" s="12" t="inlineStr">
        <is>
          <t>I'll get back to you first thing in the morning.</t>
        </is>
      </c>
      <c r="F43" s="12" t="inlineStr">
        <is>
          <t>출근하자마자 바로 연락 드릴게요</t>
        </is>
      </c>
      <c r="G43" s="9">
        <f>HYPERLINK("https://www.youtube.com/watch?v=DmMDvtKYf6U", "영상 보기 ▶")</f>
        <v/>
      </c>
    </row>
    <row r="44" ht="26" customHeight="1">
      <c r="A44" s="2" t="n">
        <v>2193</v>
      </c>
      <c r="B44" s="3" t="inlineStr">
        <is>
          <t>실전회화/표현</t>
        </is>
      </c>
      <c r="C44" s="4" t="inlineStr">
        <is>
          <t>breathtaking</t>
        </is>
      </c>
      <c r="D44" s="11" t="inlineStr">
        <is>
          <t>(숨막힐 정도로) 정말 아름다운,놀라운</t>
        </is>
      </c>
      <c r="E44" s="11" t="inlineStr">
        <is>
          <t>The view there was breathtaking.</t>
        </is>
      </c>
      <c r="F44" s="11" t="inlineStr">
        <is>
          <t>거기 뷰가 진짜 놀라울 정도로 아름답더라</t>
        </is>
      </c>
      <c r="G44" s="5">
        <f>HYPERLINK("https://www.youtube.com/watch?v=DmMDvtKYf6U", "영상 보기 ▶")</f>
        <v/>
      </c>
    </row>
    <row r="45" ht="26" customHeight="1">
      <c r="A45" s="6" t="n">
        <v>2194</v>
      </c>
      <c r="B45" s="7" t="inlineStr">
        <is>
          <t>실전회화/표현</t>
        </is>
      </c>
      <c r="C45" s="8" t="inlineStr">
        <is>
          <t>fill in for</t>
        </is>
      </c>
      <c r="D45" s="12" t="inlineStr">
        <is>
          <t>사람</t>
        </is>
      </c>
      <c r="E45" s="12" t="inlineStr">
        <is>
          <t>I have a family emergency.</t>
        </is>
      </c>
      <c r="F45" s="12" t="inlineStr">
        <is>
          <t>가족에 급한일이 생겨서 내일 나대신 일좀봐줄수있어</t>
        </is>
      </c>
      <c r="G45" s="9">
        <f>HYPERLINK("https://www.youtube.com/watch?v=DmMDvtKYf6U", "영상 보기 ▶")</f>
        <v/>
      </c>
    </row>
    <row r="46" ht="26" customHeight="1">
      <c r="A46" s="2" t="n">
        <v>2195</v>
      </c>
      <c r="B46" s="3" t="inlineStr">
        <is>
          <t>실전회화/표현</t>
        </is>
      </c>
      <c r="C46" s="4" t="inlineStr">
        <is>
          <t>fill</t>
        </is>
      </c>
      <c r="D46" s="11" t="inlineStr">
        <is>
          <t>사람 in on</t>
        </is>
      </c>
      <c r="E46" s="11" t="inlineStr">
        <is>
          <t>Can you fill me in on what happened?</t>
        </is>
      </c>
      <c r="F46" s="11" t="inlineStr">
        <is>
          <t>무슨 일이 있었는지 알려줄수 있어?</t>
        </is>
      </c>
      <c r="G46" s="5">
        <f>HYPERLINK("https://www.youtube.com/watch?v=DmMDvtKYf6U", "영상 보기 ▶")</f>
        <v/>
      </c>
    </row>
    <row r="47" ht="26" customHeight="1">
      <c r="A47" s="6" t="n">
        <v>2196</v>
      </c>
      <c r="B47" s="7" t="inlineStr">
        <is>
          <t>실전회화/표현</t>
        </is>
      </c>
      <c r="C47" s="8" t="inlineStr">
        <is>
          <t>work around the clock</t>
        </is>
      </c>
      <c r="D47" s="12" t="inlineStr">
        <is>
          <t>24시간 내내/밤낮없이 일하다</t>
        </is>
      </c>
      <c r="E47" s="12" t="inlineStr">
        <is>
          <t>We've been working around the clock to fix this.</t>
        </is>
      </c>
      <c r="F47" s="12" t="inlineStr">
        <is>
          <t>이걸 해결하려고 밤낮없이 일하고 있어</t>
        </is>
      </c>
      <c r="G47" s="9">
        <f>HYPERLINK("https://www.youtube.com/watch?v=DmMDvtKYf6U", "영상 보기 ▶")</f>
        <v/>
      </c>
    </row>
    <row r="48" ht="26" customHeight="1">
      <c r="A48" s="2" t="n">
        <v>2197</v>
      </c>
      <c r="B48" s="3" t="inlineStr">
        <is>
          <t>실전회화/표현</t>
        </is>
      </c>
      <c r="C48" s="4" t="inlineStr">
        <is>
          <t>work around</t>
        </is>
      </c>
      <c r="D48" s="11" t="inlineStr">
        <is>
          <t>~에 맞춰서 조정하다/피해서 처리하다</t>
        </is>
      </c>
      <c r="E48" s="11" t="inlineStr">
        <is>
          <t>We can work around your schedule.</t>
        </is>
      </c>
      <c r="F48" s="11" t="inlineStr">
        <is>
          <t>편하실때 말씀해주시면 저희가 일정에 맞출게요</t>
        </is>
      </c>
      <c r="G48" s="5">
        <f>HYPERLINK("https://www.youtube.com/watch?v=DmMDvtKYf6U", "영상 보기 ▶")</f>
        <v/>
      </c>
    </row>
    <row r="49" ht="26" customHeight="1">
      <c r="A49" s="6" t="n">
        <v>2198</v>
      </c>
      <c r="B49" s="7" t="inlineStr">
        <is>
          <t>실전회화/표현</t>
        </is>
      </c>
      <c r="C49" s="8" t="inlineStr">
        <is>
          <t>workaround</t>
        </is>
      </c>
      <c r="D49" s="12" t="inlineStr">
        <is>
          <t>임시방편,차선책</t>
        </is>
      </c>
      <c r="E49" s="12" t="inlineStr">
        <is>
          <t>We need to find a workaround.</t>
        </is>
      </c>
      <c r="F49" s="12" t="inlineStr">
        <is>
          <t>어떻게 할지 대안을 찾아야 돼</t>
        </is>
      </c>
      <c r="G49" s="9">
        <f>HYPERLINK("https://www.youtube.com/watch?v=DmMDvtKYf6U", "영상 보기 ▶")</f>
        <v/>
      </c>
    </row>
    <row r="50" ht="26" customHeight="1">
      <c r="A50" s="2" t="n">
        <v>2199</v>
      </c>
      <c r="B50" s="3" t="inlineStr">
        <is>
          <t>실전회화/표현</t>
        </is>
      </c>
      <c r="C50" s="4" t="inlineStr">
        <is>
          <t>take</t>
        </is>
      </c>
      <c r="D50" s="11" t="inlineStr">
        <is>
          <t>대상 for granted</t>
        </is>
      </c>
      <c r="E50" s="11" t="inlineStr">
        <is>
          <t>I took my health for granted.</t>
        </is>
      </c>
      <c r="F50" s="11" t="inlineStr">
        <is>
          <t>건강의 소중함을 몰랐어</t>
        </is>
      </c>
      <c r="G50" s="5">
        <f>HYPERLINK("https://www.youtube.com/watch?v=DmMDvtKYf6U", "영상 보기 ▶")</f>
        <v/>
      </c>
    </row>
    <row r="51" ht="26" customHeight="1">
      <c r="A51" s="6" t="n">
        <v>2200</v>
      </c>
      <c r="B51" s="7" t="inlineStr">
        <is>
          <t>대화/인간관계</t>
        </is>
      </c>
      <c r="C51" s="8" t="inlineStr">
        <is>
          <t>What are you hoping for next year?</t>
        </is>
      </c>
      <c r="D51" s="12" t="inlineStr">
        <is>
          <t>연말 스몰토크로 좋은</t>
        </is>
      </c>
      <c r="E51" s="12" t="inlineStr">
        <is>
          <t>What are you hoping for in today's meeting?</t>
        </is>
      </c>
      <c r="F51" s="12" t="inlineStr">
        <is>
          <t>오늘 미팅에서 어떤걸 기대하고 있어?</t>
        </is>
      </c>
      <c r="G51" s="9">
        <f>HYPERLINK("https://www.youtube.com/watch?v=DmMDvtKYf6U", "영상 보기 ▶")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8" customWidth="1" min="3" max="3"/>
    <col width="48" customWidth="1" min="4" max="4"/>
    <col width="75" customWidth="1" min="5" max="5"/>
    <col width="59.6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2201</v>
      </c>
      <c r="B2" s="3" t="inlineStr">
        <is>
          <t>실전회화/표현</t>
        </is>
      </c>
      <c r="C2" s="4" t="inlineStr">
        <is>
          <t>hung up on</t>
        </is>
      </c>
      <c r="D2" s="11" t="inlineStr">
        <is>
          <t>~에 집착하는, 매달리는, 사로잡힌</t>
        </is>
      </c>
      <c r="E2" s="11" t="inlineStr">
        <is>
          <t>hung up on</t>
        </is>
      </c>
      <c r="F2" s="11" t="inlineStr">
        <is>
          <t>~에 집착하는, 매달리는, 사로잡힌</t>
        </is>
      </c>
      <c r="G2" s="5">
        <f>HYPERLINK("https://www.youtube.com/watch?v=LephPM8Odhs", "영상 보기 ▶")</f>
        <v/>
      </c>
    </row>
    <row r="3" ht="26" customHeight="1">
      <c r="A3" s="6" t="n">
        <v>2202</v>
      </c>
      <c r="B3" s="7" t="inlineStr">
        <is>
          <t>실전회화/표현</t>
        </is>
      </c>
      <c r="C3" s="8" t="inlineStr">
        <is>
          <t>get over</t>
        </is>
      </c>
      <c r="D3" s="12" t="inlineStr">
        <is>
          <t>(어려움을) 극복하다, (안 좋은걸) 잊다</t>
        </is>
      </c>
      <c r="E3" s="12" t="inlineStr">
        <is>
          <t>get over</t>
        </is>
      </c>
      <c r="F3" s="12" t="inlineStr">
        <is>
          <t>(어려움을) 극복하다, (안 좋은걸) 잊다</t>
        </is>
      </c>
      <c r="G3" s="9">
        <f>HYPERLINK("https://www.youtube.com/watch?v=LephPM8Odhs", "영상 보기 ▶")</f>
        <v/>
      </c>
    </row>
    <row r="4" ht="26" customHeight="1">
      <c r="A4" s="2" t="n">
        <v>2203</v>
      </c>
      <c r="B4" s="3" t="inlineStr">
        <is>
          <t>실전회화/표현</t>
        </is>
      </c>
      <c r="C4" s="4" t="inlineStr">
        <is>
          <t>can't get over ~</t>
        </is>
      </c>
      <c r="D4" s="11" t="inlineStr">
        <is>
          <t>를 잊지 못하다, 믿기지 않다, 놀랍다</t>
        </is>
      </c>
      <c r="E4" s="11" t="inlineStr">
        <is>
          <t>can't get over ~</t>
        </is>
      </c>
      <c r="F4" s="11" t="inlineStr">
        <is>
          <t>를 잊지 못하다, 믿기지 않다, 놀랍다</t>
        </is>
      </c>
      <c r="G4" s="5">
        <f>HYPERLINK("https://www.youtube.com/watch?v=LephPM8Odhs", "영상 보기 ▶")</f>
        <v/>
      </c>
    </row>
    <row r="5" ht="26" customHeight="1">
      <c r="A5" s="6" t="n">
        <v>2204</v>
      </c>
      <c r="B5" s="7" t="inlineStr">
        <is>
          <t>실전회화/표현</t>
        </is>
      </c>
      <c r="C5" s="8" t="inlineStr">
        <is>
          <t>get out of your hair</t>
        </is>
      </c>
      <c r="D5" s="12" t="inlineStr">
        <is>
          <t>귀찮게 안 하다/방해하지 않다</t>
        </is>
      </c>
      <c r="E5" s="12" t="inlineStr">
        <is>
          <t>get out of your hair</t>
        </is>
      </c>
      <c r="F5" s="12" t="inlineStr">
        <is>
          <t>귀찮게 안 하다/방해하지 않다</t>
        </is>
      </c>
      <c r="G5" s="9">
        <f>HYPERLINK("https://www.youtube.com/watch?v=LephPM8Odhs", "영상 보기 ▶")</f>
        <v/>
      </c>
    </row>
    <row r="6" ht="26" customHeight="1">
      <c r="A6" s="2" t="n">
        <v>2205</v>
      </c>
      <c r="B6" s="3" t="inlineStr">
        <is>
          <t>실전회화/표현</t>
        </is>
      </c>
      <c r="C6" s="4" t="inlineStr">
        <is>
          <t>I'm sold (on that idea).</t>
        </is>
      </c>
      <c r="D6" s="11" t="inlineStr">
        <is>
          <t>네가 한 말 납득 돼/좋아, 그렇게 하자.</t>
        </is>
      </c>
      <c r="E6" s="11" t="inlineStr">
        <is>
          <t>I'm sold (on that idea).</t>
        </is>
      </c>
      <c r="F6" s="11" t="inlineStr">
        <is>
          <t>네가 한 말 납득 돼/좋아, 그렇게 하자.</t>
        </is>
      </c>
      <c r="G6" s="5">
        <f>HYPERLINK("https://www.youtube.com/watch?v=LephPM8Odhs", "영상 보기 ▶")</f>
        <v/>
      </c>
    </row>
    <row r="7" ht="26" customHeight="1">
      <c r="A7" s="6" t="n">
        <v>2206</v>
      </c>
      <c r="B7" s="7" t="inlineStr">
        <is>
          <t>의견/의사결정</t>
        </is>
      </c>
      <c r="C7" s="8" t="inlineStr">
        <is>
          <t>That's a hard sell.</t>
        </is>
      </c>
      <c r="D7" s="12" t="inlineStr">
        <is>
          <t>설득하기 어려울걸, 쉽게 안 먹혀</t>
        </is>
      </c>
      <c r="E7" s="12" t="inlineStr">
        <is>
          <t>That's a hard sell.</t>
        </is>
      </c>
      <c r="F7" s="12" t="inlineStr">
        <is>
          <t>설득하기 어려울걸, 쉽게 안 먹혀</t>
        </is>
      </c>
      <c r="G7" s="9">
        <f>HYPERLINK("https://www.youtube.com/watch?v=LephPM8Odhs", "영상 보기 ▶")</f>
        <v/>
      </c>
    </row>
    <row r="8" ht="26" customHeight="1">
      <c r="A8" s="2" t="n">
        <v>2207</v>
      </c>
      <c r="B8" s="3" t="inlineStr">
        <is>
          <t>실전회화/표현</t>
        </is>
      </c>
      <c r="C8" s="4" t="inlineStr">
        <is>
          <t>exhaust</t>
        </is>
      </c>
      <c r="D8" s="11" t="inlineStr">
        <is>
          <t>다 써버리다, 바닥나게 하다</t>
        </is>
      </c>
      <c r="E8" s="11" t="inlineStr">
        <is>
          <t>exhaust</t>
        </is>
      </c>
      <c r="F8" s="11" t="inlineStr">
        <is>
          <t>다 써버리다, 바닥나게 하다</t>
        </is>
      </c>
      <c r="G8" s="5">
        <f>HYPERLINK("https://www.youtube.com/watch?v=LephPM8Odhs", "영상 보기 ▶")</f>
        <v/>
      </c>
    </row>
    <row r="9" ht="26" customHeight="1">
      <c r="A9" s="6" t="n">
        <v>2208</v>
      </c>
      <c r="B9" s="7" t="inlineStr">
        <is>
          <t>실전회화/표현</t>
        </is>
      </c>
      <c r="C9" s="8" t="inlineStr">
        <is>
          <t>exhaustive</t>
        </is>
      </c>
      <c r="D9" s="12" t="inlineStr">
        <is>
          <t>(하나도 빠뜨리는 것 없이) 철저한, 완전한</t>
        </is>
      </c>
      <c r="E9" s="12" t="inlineStr">
        <is>
          <t>exhaustive</t>
        </is>
      </c>
      <c r="F9" s="12" t="inlineStr">
        <is>
          <t>(하나도 빠뜨리는 것 없이) 철저한, 완전한</t>
        </is>
      </c>
      <c r="G9" s="9">
        <f>HYPERLINK("https://www.youtube.com/watch?v=LephPM8Odhs", "영상 보기 ▶")</f>
        <v/>
      </c>
    </row>
    <row r="10" ht="26" customHeight="1">
      <c r="A10" s="2" t="n">
        <v>2209</v>
      </c>
      <c r="B10" s="3" t="inlineStr">
        <is>
          <t>실전회화/표현</t>
        </is>
      </c>
      <c r="C10" s="4" t="inlineStr">
        <is>
          <t>build up</t>
        </is>
      </c>
      <c r="D10" s="11" t="inlineStr">
        <is>
          <t>쌓아 올리다</t>
        </is>
      </c>
      <c r="E10" s="11" t="inlineStr">
        <is>
          <t>build up</t>
        </is>
      </c>
      <c r="F10" s="11" t="inlineStr">
        <is>
          <t>쌓아 올리다</t>
        </is>
      </c>
      <c r="G10" s="5">
        <f>HYPERLINK("https://www.youtube.com/watch?v=LephPM8Odhs", "영상 보기 ▶")</f>
        <v/>
      </c>
    </row>
    <row r="11" ht="26" customHeight="1">
      <c r="A11" s="6" t="n">
        <v>2210</v>
      </c>
      <c r="B11" s="7" t="inlineStr">
        <is>
          <t>실전회화/표현</t>
        </is>
      </c>
      <c r="C11" s="8" t="inlineStr">
        <is>
          <t>build on</t>
        </is>
      </c>
      <c r="D11" s="12" t="inlineStr">
        <is>
          <t>~을 기반으로 하다</t>
        </is>
      </c>
      <c r="E11" s="12" t="inlineStr">
        <is>
          <t>build on</t>
        </is>
      </c>
      <c r="F11" s="12" t="inlineStr">
        <is>
          <t>~을 기반으로 하다</t>
        </is>
      </c>
      <c r="G11" s="9">
        <f>HYPERLINK("https://www.youtube.com/watch?v=LephPM8Odhs", "영상 보기 ▶")</f>
        <v/>
      </c>
    </row>
    <row r="12" ht="26" customHeight="1">
      <c r="A12" s="2" t="n">
        <v>2211</v>
      </c>
      <c r="B12" s="3" t="inlineStr">
        <is>
          <t>공감/감정</t>
        </is>
      </c>
      <c r="C12" s="4" t="inlineStr">
        <is>
          <t>bury the hatchet (</t>
        </is>
      </c>
      <c r="D12" s="11" t="inlineStr">
        <is>
          <t>오래된) 싸움을 끝내다/화해하다</t>
        </is>
      </c>
      <c r="E12" s="11" t="inlineStr">
        <is>
          <t>bury the hatchet (</t>
        </is>
      </c>
      <c r="F12" s="11" t="inlineStr">
        <is>
          <t>오래된) 싸움을 끝내다/화해하다</t>
        </is>
      </c>
      <c r="G12" s="5">
        <f>HYPERLINK("https://www.youtube.com/watch?v=LephPM8Odhs", "영상 보기 ▶")</f>
        <v/>
      </c>
    </row>
    <row r="13" ht="26" customHeight="1">
      <c r="A13" s="6" t="n">
        <v>2212</v>
      </c>
      <c r="B13" s="7" t="inlineStr">
        <is>
          <t>실전회화/표현</t>
        </is>
      </c>
      <c r="C13" s="8" t="inlineStr">
        <is>
          <t>out of practice</t>
        </is>
      </c>
      <c r="D13" s="12" t="inlineStr">
        <is>
          <t>연습부족으로 서툰, (오랜만에 해서) 실력이 떨어진</t>
        </is>
      </c>
      <c r="E13" s="12" t="inlineStr">
        <is>
          <t>out of practice</t>
        </is>
      </c>
      <c r="F13" s="12" t="inlineStr">
        <is>
          <t>연습부족으로 서툰, (오랜만에 해서) 실력이 떨어진</t>
        </is>
      </c>
      <c r="G13" s="9">
        <f>HYPERLINK("https://www.youtube.com/watch?v=LephPM8Odhs", "영상 보기 ▶")</f>
        <v/>
      </c>
    </row>
    <row r="14" ht="26" customHeight="1">
      <c r="A14" s="2" t="n">
        <v>2213</v>
      </c>
      <c r="B14" s="3" t="inlineStr">
        <is>
          <t>실전회화/표현</t>
        </is>
      </c>
      <c r="C14" s="4" t="inlineStr">
        <is>
          <t>cut</t>
        </is>
      </c>
      <c r="D14" s="11" t="inlineStr">
        <is>
          <t>사람 some slack 봐주다/사정을 감안해주다</t>
        </is>
      </c>
      <c r="E14" s="11" t="inlineStr">
        <is>
          <t>cut</t>
        </is>
      </c>
      <c r="F14" s="11" t="inlineStr">
        <is>
          <t>사람 some slack 봐주다/사정을 감안해주다</t>
        </is>
      </c>
      <c r="G14" s="5">
        <f>HYPERLINK("https://www.youtube.com/watch?v=LephPM8Odhs", "영상 보기 ▶")</f>
        <v/>
      </c>
    </row>
    <row r="15" ht="26" customHeight="1">
      <c r="A15" s="6" t="n">
        <v>2214</v>
      </c>
      <c r="B15" s="7" t="inlineStr">
        <is>
          <t>실전회화/표현</t>
        </is>
      </c>
      <c r="C15" s="8" t="inlineStr">
        <is>
          <t>slacker</t>
        </is>
      </c>
      <c r="D15" s="12" t="inlineStr">
        <is>
          <t>게으름 벵이/농땡이 부리는 사람</t>
        </is>
      </c>
      <c r="E15" s="12" t="inlineStr">
        <is>
          <t>slacker</t>
        </is>
      </c>
      <c r="F15" s="12" t="inlineStr">
        <is>
          <t>게으름 벵이/농땡이 부리는 사람</t>
        </is>
      </c>
      <c r="G15" s="9">
        <f>HYPERLINK("https://www.youtube.com/watch?v=LephPM8Odhs", "영상 보기 ▶")</f>
        <v/>
      </c>
    </row>
    <row r="16" ht="26" customHeight="1">
      <c r="A16" s="2" t="n">
        <v>2215</v>
      </c>
      <c r="B16" s="3" t="inlineStr">
        <is>
          <t>실전회화/표현</t>
        </is>
      </c>
      <c r="C16" s="4" t="inlineStr">
        <is>
          <t>pursue (</t>
        </is>
      </c>
      <c r="D16" s="11" t="inlineStr">
        <is>
          <t>멈추지 않고 다음 단계로) 계속 진행하다/추진하다</t>
        </is>
      </c>
      <c r="E16" s="11" t="inlineStr">
        <is>
          <t>pursue (</t>
        </is>
      </c>
      <c r="F16" s="11" t="inlineStr">
        <is>
          <t>멈추지 않고 다음 단계로) 계속 진행하다/추진하다</t>
        </is>
      </c>
      <c r="G16" s="5">
        <f>HYPERLINK("https://www.youtube.com/watch?v=LephPM8Odhs", "영상 보기 ▶")</f>
        <v/>
      </c>
    </row>
    <row r="17" ht="26" customHeight="1">
      <c r="A17" s="6" t="n">
        <v>2216</v>
      </c>
      <c r="B17" s="7" t="inlineStr">
        <is>
          <t>실전회화/표현</t>
        </is>
      </c>
      <c r="C17" s="8" t="inlineStr">
        <is>
          <t>동사 pivot</t>
        </is>
      </c>
      <c r="D17" s="12" t="inlineStr">
        <is>
          <t>(축을 중심으로) 회전하다/돌다</t>
        </is>
      </c>
      <c r="E17" s="12" t="inlineStr">
        <is>
          <t>동사 pivot</t>
        </is>
      </c>
      <c r="F17" s="12" t="inlineStr">
        <is>
          <t>(축을 중심으로) 회전하다/돌다</t>
        </is>
      </c>
      <c r="G17" s="9">
        <f>HYPERLINK("https://www.youtube.com/watch?v=LephPM8Odhs", "영상 보기 ▶")</f>
        <v/>
      </c>
    </row>
    <row r="18" ht="26" customHeight="1">
      <c r="A18" s="2" t="n">
        <v>2217</v>
      </c>
      <c r="B18" s="3" t="inlineStr">
        <is>
          <t>의견/의사결정</t>
        </is>
      </c>
      <c r="C18" s="4" t="inlineStr">
        <is>
          <t>pivotal</t>
        </is>
      </c>
      <c r="D18" s="11" t="inlineStr">
        <is>
          <t>(중심, 축이되는) 중요한, 결정적인</t>
        </is>
      </c>
      <c r="E18" s="11" t="inlineStr">
        <is>
          <t>pivotal</t>
        </is>
      </c>
      <c r="F18" s="11" t="inlineStr">
        <is>
          <t>(중심, 축이되는) 중요한, 결정적인</t>
        </is>
      </c>
      <c r="G18" s="5">
        <f>HYPERLINK("https://www.youtube.com/watch?v=LephPM8Odhs", "영상 보기 ▶")</f>
        <v/>
      </c>
    </row>
    <row r="19" ht="26" customHeight="1">
      <c r="A19" s="6" t="n">
        <v>2218</v>
      </c>
      <c r="B19" s="7" t="inlineStr">
        <is>
          <t>실전회화/표현</t>
        </is>
      </c>
      <c r="C19" s="8" t="inlineStr">
        <is>
          <t>shot</t>
        </is>
      </c>
      <c r="D19" s="12" t="inlineStr">
        <is>
          <t>기회/시도</t>
        </is>
      </c>
      <c r="E19" s="12" t="inlineStr">
        <is>
          <t>shot</t>
        </is>
      </c>
      <c r="F19" s="12" t="inlineStr">
        <is>
          <t>기회/시도</t>
        </is>
      </c>
      <c r="G19" s="9">
        <f>HYPERLINK("https://www.youtube.com/watch?v=LephPM8Odhs", "영상 보기 ▶")</f>
        <v/>
      </c>
    </row>
    <row r="20" ht="26" customHeight="1">
      <c r="A20" s="2" t="n">
        <v>2219</v>
      </c>
      <c r="B20" s="3" t="inlineStr">
        <is>
          <t>실전회화/표현</t>
        </is>
      </c>
      <c r="C20" s="4" t="inlineStr">
        <is>
          <t>not my thing</t>
        </is>
      </c>
      <c r="D20" s="11" t="inlineStr">
        <is>
          <t>내 취향/관심사가 아닌, 내 체질이 아닌</t>
        </is>
      </c>
      <c r="E20" s="11" t="inlineStr">
        <is>
          <t>I tried rock climbing, but it's really not my thing.</t>
        </is>
      </c>
      <c r="F20" s="11" t="inlineStr">
        <is>
          <t>암벽등반을 시도해 봤는데, 솔직히 내 체질이나 취향은 아니더라.</t>
        </is>
      </c>
      <c r="G20" s="5">
        <f>HYPERLINK("https://www.youtube.com/watch?v=LephPM8Odhs", "영상 보기 ▶")</f>
        <v/>
      </c>
    </row>
    <row r="21" ht="26" customHeight="1">
      <c r="A21" s="6" t="n">
        <v>2220</v>
      </c>
      <c r="B21" s="7" t="inlineStr">
        <is>
          <t>실전회화/표현</t>
        </is>
      </c>
      <c r="C21" s="8" t="inlineStr">
        <is>
          <t>shelf life</t>
        </is>
      </c>
      <c r="D21" s="12" t="inlineStr">
        <is>
          <t>유통기한</t>
        </is>
      </c>
      <c r="E21" s="12" t="inlineStr">
        <is>
          <t>shelf life</t>
        </is>
      </c>
      <c r="F21" s="12" t="inlineStr">
        <is>
          <t>유통기한</t>
        </is>
      </c>
      <c r="G21" s="9">
        <f>HYPERLINK("https://www.youtube.com/watch?v=LephPM8Odhs", "영상 보기 ▶")</f>
        <v/>
      </c>
    </row>
    <row r="22" ht="26" customHeight="1">
      <c r="A22" s="2" t="n">
        <v>2221</v>
      </c>
      <c r="B22" s="3" t="inlineStr">
        <is>
          <t>실전회화/표현</t>
        </is>
      </c>
      <c r="C22" s="4" t="inlineStr">
        <is>
          <t>out of date</t>
        </is>
      </c>
      <c r="D22" s="11" t="inlineStr">
        <is>
          <t>유효기간이 지난, 뒤떨어진</t>
        </is>
      </c>
      <c r="E22" s="11" t="inlineStr">
        <is>
          <t>out of date</t>
        </is>
      </c>
      <c r="F22" s="11" t="inlineStr">
        <is>
          <t>유효기간이 지난, 뒤떨어진</t>
        </is>
      </c>
      <c r="G22" s="5">
        <f>HYPERLINK("https://www.youtube.com/watch?v=LephPM8Odhs", "영상 보기 ▶")</f>
        <v/>
      </c>
    </row>
    <row r="23" ht="26" customHeight="1">
      <c r="A23" s="6" t="n">
        <v>2222</v>
      </c>
      <c r="B23" s="7" t="inlineStr">
        <is>
          <t>의견/의사결정</t>
        </is>
      </c>
      <c r="C23" s="8" t="inlineStr">
        <is>
          <t>talk 사람 out of</t>
        </is>
      </c>
      <c r="D23" s="12" t="inlineStr">
        <is>
          <t>~을 하지 말라고 설득하다</t>
        </is>
      </c>
      <c r="E23" s="12" t="inlineStr">
        <is>
          <t>talk 사람 out of</t>
        </is>
      </c>
      <c r="F23" s="12" t="inlineStr">
        <is>
          <t>~을 하지 말라고 설득하다</t>
        </is>
      </c>
      <c r="G23" s="9">
        <f>HYPERLINK("https://www.youtube.com/watch?v=LephPM8Odhs", "영상 보기 ▶")</f>
        <v/>
      </c>
    </row>
    <row r="24" ht="26" customHeight="1">
      <c r="A24" s="2" t="n">
        <v>2223</v>
      </c>
      <c r="B24" s="3" t="inlineStr">
        <is>
          <t>실전회화/표현</t>
        </is>
      </c>
      <c r="C24" s="4" t="inlineStr">
        <is>
          <t>Given</t>
        </is>
      </c>
      <c r="D24" s="11" t="inlineStr">
        <is>
          <t>~을 고려해볼 때</t>
        </is>
      </c>
      <c r="E24" s="11" t="inlineStr">
        <is>
          <t>Given</t>
        </is>
      </c>
      <c r="F24" s="11" t="inlineStr">
        <is>
          <t>~을 고려해볼 때</t>
        </is>
      </c>
      <c r="G24" s="5">
        <f>HYPERLINK("https://www.youtube.com/watch?v=LephPM8Odhs", "영상 보기 ▶")</f>
        <v/>
      </c>
    </row>
    <row r="25" ht="26" customHeight="1">
      <c r="A25" s="6" t="n">
        <v>2224</v>
      </c>
      <c r="B25" s="7" t="inlineStr">
        <is>
          <t>실전회화/표현</t>
        </is>
      </c>
      <c r="C25" s="8" t="inlineStr">
        <is>
          <t>I'll let you get back to your work.</t>
        </is>
      </c>
      <c r="D25" s="12" t="inlineStr">
        <is>
          <t>다시 일 봐/하던 일 해.</t>
        </is>
      </c>
      <c r="E25" s="12" t="inlineStr">
        <is>
          <t>I'll let you get back to your work.</t>
        </is>
      </c>
      <c r="F25" s="12" t="inlineStr">
        <is>
          <t>다시 일 봐/하던 일 해.</t>
        </is>
      </c>
      <c r="G25" s="9">
        <f>HYPERLINK("https://www.youtube.com/watch?v=LephPM8Odhs", "영상 보기 ▶")</f>
        <v/>
      </c>
    </row>
    <row r="26" ht="26" customHeight="1">
      <c r="A26" s="2" t="n">
        <v>2225</v>
      </c>
      <c r="B26" s="3" t="inlineStr">
        <is>
          <t>실전회화/표현</t>
        </is>
      </c>
      <c r="C26" s="4" t="inlineStr">
        <is>
          <t>according to plan</t>
        </is>
      </c>
      <c r="D26" s="11" t="inlineStr">
        <is>
          <t>계획대로</t>
        </is>
      </c>
      <c r="E26" s="11" t="inlineStr">
        <is>
          <t>according to plan</t>
        </is>
      </c>
      <c r="F26" s="11" t="inlineStr">
        <is>
          <t>계획대로</t>
        </is>
      </c>
      <c r="G26" s="5">
        <f>HYPERLINK("https://www.youtube.com/watch?v=LephPM8Odhs", "영상 보기 ▶")</f>
        <v/>
      </c>
    </row>
    <row r="27" ht="26" customHeight="1">
      <c r="A27" s="6" t="n">
        <v>2226</v>
      </c>
      <c r="B27" s="7" t="inlineStr">
        <is>
          <t>실전회화/표현</t>
        </is>
      </c>
      <c r="C27" s="8" t="inlineStr">
        <is>
          <t>plan accordingly</t>
        </is>
      </c>
      <c r="D27" s="12" t="inlineStr">
        <is>
          <t>맞춰서 계획하다</t>
        </is>
      </c>
      <c r="E27" s="12" t="inlineStr">
        <is>
          <t>plan accordingly</t>
        </is>
      </c>
      <c r="F27" s="12" t="inlineStr">
        <is>
          <t>맞춰서 계획하다</t>
        </is>
      </c>
      <c r="G27" s="9">
        <f>HYPERLINK("https://www.youtube.com/watch?v=LephPM8Odhs", "영상 보기 ▶")</f>
        <v/>
      </c>
    </row>
    <row r="28" ht="26" customHeight="1">
      <c r="A28" s="2" t="n">
        <v>2227</v>
      </c>
      <c r="B28" s="3" t="inlineStr">
        <is>
          <t>실전회화/표현</t>
        </is>
      </c>
      <c r="C28" s="4" t="inlineStr">
        <is>
          <t>I have no life.</t>
        </is>
      </c>
      <c r="D28" s="11" t="inlineStr">
        <is>
          <t>내 시간이 없어.</t>
        </is>
      </c>
      <c r="E28" s="11" t="inlineStr">
        <is>
          <t>I have no life.</t>
        </is>
      </c>
      <c r="F28" s="11" t="inlineStr">
        <is>
          <t>내 시간이 없어.</t>
        </is>
      </c>
      <c r="G28" s="5">
        <f>HYPERLINK("https://www.youtube.com/watch?v=LephPM8Odhs", "영상 보기 ▶")</f>
        <v/>
      </c>
    </row>
    <row r="29" ht="26" customHeight="1">
      <c r="A29" s="6" t="n">
        <v>2228</v>
      </c>
      <c r="B29" s="7" t="inlineStr">
        <is>
          <t>실전회화/표현</t>
        </is>
      </c>
      <c r="C29" s="8" t="inlineStr">
        <is>
          <t>I can't do this all day. I have a life.</t>
        </is>
      </c>
      <c r="D29" s="12" t="inlineStr">
        <is>
          <t>하루 종일 이것만 할 순 없어. 나도 내 삶이 있는데.</t>
        </is>
      </c>
      <c r="E29" s="12" t="inlineStr">
        <is>
          <t>I can't do this all day. I have a life.</t>
        </is>
      </c>
      <c r="F29" s="12" t="inlineStr">
        <is>
          <t>하루 종일 이것만 할 순 없어. 나도 내 삶이 있는데.</t>
        </is>
      </c>
      <c r="G29" s="9">
        <f>HYPERLINK("https://www.youtube.com/watch?v=LephPM8Odhs", "영상 보기 ▶")</f>
        <v/>
      </c>
    </row>
    <row r="30" ht="26" customHeight="1">
      <c r="A30" s="2" t="n">
        <v>2229</v>
      </c>
      <c r="B30" s="3" t="inlineStr">
        <is>
          <t>실전회화/표현</t>
        </is>
      </c>
      <c r="C30" s="4" t="inlineStr">
        <is>
          <t>put 사람 out</t>
        </is>
      </c>
      <c r="D30" s="11" t="inlineStr">
        <is>
          <t>~에게 폐를 끼치다/수고스럽게 하다</t>
        </is>
      </c>
      <c r="E30" s="11" t="inlineStr">
        <is>
          <t>put 사람 out</t>
        </is>
      </c>
      <c r="F30" s="11" t="inlineStr">
        <is>
          <t>~에게 폐를 끼치다/수고스럽게 하다</t>
        </is>
      </c>
      <c r="G30" s="5">
        <f>HYPERLINK("https://www.youtube.com/watch?v=LephPM8Odhs", "영상 보기 ▶")</f>
        <v/>
      </c>
    </row>
    <row r="31" ht="26" customHeight="1">
      <c r="A31" s="6" t="n">
        <v>2230</v>
      </c>
      <c r="B31" s="7" t="inlineStr">
        <is>
          <t>실전회화/표현</t>
        </is>
      </c>
      <c r="C31" s="8" t="inlineStr">
        <is>
          <t>impose</t>
        </is>
      </c>
      <c r="D31" s="12" t="inlineStr">
        <is>
          <t>폐를 끼치다</t>
        </is>
      </c>
      <c r="E31" s="12" t="inlineStr">
        <is>
          <t>impose</t>
        </is>
      </c>
      <c r="F31" s="12" t="inlineStr">
        <is>
          <t>폐를 끼치다</t>
        </is>
      </c>
      <c r="G31" s="9">
        <f>HYPERLINK("https://www.youtube.com/watch?v=LephPM8Odhs", "영상 보기 ▶")</f>
        <v/>
      </c>
    </row>
    <row r="32" ht="26" customHeight="1">
      <c r="A32" s="2" t="n">
        <v>2231</v>
      </c>
      <c r="B32" s="3" t="inlineStr">
        <is>
          <t>실전회화/표현</t>
        </is>
      </c>
      <c r="C32" s="4" t="inlineStr">
        <is>
          <t>drive</t>
        </is>
      </c>
      <c r="D32" s="11" t="inlineStr">
        <is>
          <t>추진력, 강한 의지, 동력</t>
        </is>
      </c>
      <c r="E32" s="11" t="inlineStr">
        <is>
          <t>drive</t>
        </is>
      </c>
      <c r="F32" s="11" t="inlineStr">
        <is>
          <t>추진력, 강한 의지, 동력</t>
        </is>
      </c>
      <c r="G32" s="5">
        <f>HYPERLINK("https://www.youtube.com/watch?v=LephPM8Odhs", "영상 보기 ▶")</f>
        <v/>
      </c>
    </row>
    <row r="33" ht="26" customHeight="1">
      <c r="A33" s="6" t="n">
        <v>2232</v>
      </c>
      <c r="B33" s="7" t="inlineStr">
        <is>
          <t>실전회화/표현</t>
        </is>
      </c>
      <c r="C33" s="8" t="inlineStr">
        <is>
          <t>Drive safe.</t>
        </is>
      </c>
      <c r="D33" s="12" t="inlineStr">
        <is>
          <t>운전 조심히 가, 안전운전해</t>
        </is>
      </c>
      <c r="E33" s="12" t="inlineStr">
        <is>
          <t>Drive safe and call me as soon as you get home.</t>
        </is>
      </c>
      <c r="F33" s="12" t="inlineStr">
        <is>
          <t>운전 조심히 가고 집에 도착하자마자 전화해 줘.</t>
        </is>
      </c>
      <c r="G33" s="9">
        <f>HYPERLINK("https://www.youtube.com/watch?v=LephPM8Odhs", "영상 보기 ▶")</f>
        <v/>
      </c>
    </row>
    <row r="34" ht="26" customHeight="1">
      <c r="A34" s="2" t="n">
        <v>2233</v>
      </c>
      <c r="B34" s="3" t="inlineStr">
        <is>
          <t>실전회화/표현</t>
        </is>
      </c>
      <c r="C34" s="4" t="inlineStr">
        <is>
          <t>I'm out of shape. (</t>
        </is>
      </c>
      <c r="D34" s="11" t="inlineStr">
        <is>
          <t>운동을 안해서) 몸이 예전같지 않네/체력이 떨어졌어.</t>
        </is>
      </c>
      <c r="E34" s="11" t="inlineStr">
        <is>
          <t>I'm out of shape. (</t>
        </is>
      </c>
      <c r="F34" s="11" t="inlineStr">
        <is>
          <t>운동을 안해서) 몸이 예전같지 않네/체력이 떨어졌어.</t>
        </is>
      </c>
      <c r="G34" s="5">
        <f>HYPERLINK("https://www.youtube.com/watch?v=LephPM8Odhs", "영상 보기 ▶")</f>
        <v/>
      </c>
    </row>
    <row r="35" ht="26" customHeight="1">
      <c r="A35" s="6" t="n">
        <v>2234</v>
      </c>
      <c r="B35" s="7" t="inlineStr">
        <is>
          <t>실전회화/표현</t>
        </is>
      </c>
      <c r="C35" s="8" t="inlineStr">
        <is>
          <t>wiggle room</t>
        </is>
      </c>
      <c r="D35" s="12" t="inlineStr">
        <is>
          <t>자유 재량권, 조정의 여지</t>
        </is>
      </c>
      <c r="E35" s="12" t="inlineStr">
        <is>
          <t>wiggle room</t>
        </is>
      </c>
      <c r="F35" s="12" t="inlineStr">
        <is>
          <t>자유 재량권, 조정의 여지</t>
        </is>
      </c>
      <c r="G35" s="9">
        <f>HYPERLINK("https://www.youtube.com/watch?v=LephPM8Odhs", "영상 보기 ▶")</f>
        <v/>
      </c>
    </row>
    <row r="36" ht="26" customHeight="1">
      <c r="A36" s="2" t="n">
        <v>2235</v>
      </c>
      <c r="B36" s="3" t="inlineStr">
        <is>
          <t>실전회화/표현</t>
        </is>
      </c>
      <c r="C36" s="4" t="inlineStr">
        <is>
          <t>It's out of my comfort zone. (</t>
        </is>
      </c>
      <c r="D36" s="11" t="inlineStr">
        <is>
          <t>평소 안 하는거라) 어색해/불편해/부담돼.</t>
        </is>
      </c>
      <c r="E36" s="11" t="inlineStr">
        <is>
          <t>It's out of my comfort zone. (</t>
        </is>
      </c>
      <c r="F36" s="11" t="inlineStr">
        <is>
          <t>평소 안 하는거라) 어색해/불편해/부담돼.</t>
        </is>
      </c>
      <c r="G36" s="5">
        <f>HYPERLINK("https://www.youtube.com/watch?v=LephPM8Odhs", "영상 보기 ▶")</f>
        <v/>
      </c>
    </row>
    <row r="37" ht="26" customHeight="1">
      <c r="A37" s="6" t="n">
        <v>2236</v>
      </c>
      <c r="B37" s="7" t="inlineStr">
        <is>
          <t>실전회화/표현</t>
        </is>
      </c>
      <c r="C37" s="8" t="inlineStr">
        <is>
          <t>It paid for itself.</t>
        </is>
      </c>
      <c r="D37" s="12" t="inlineStr">
        <is>
          <t>값어치를 했어/본전 뽑았어</t>
        </is>
      </c>
      <c r="E37" s="12" t="inlineStr">
        <is>
          <t>It paid for itself.</t>
        </is>
      </c>
      <c r="F37" s="12" t="inlineStr">
        <is>
          <t>값어치를 했어/본전 뽑았어</t>
        </is>
      </c>
      <c r="G37" s="9">
        <f>HYPERLINK("https://www.youtube.com/watch?v=LephPM8Odhs", "영상 보기 ▶")</f>
        <v/>
      </c>
    </row>
    <row r="38" ht="26" customHeight="1">
      <c r="A38" s="2" t="n">
        <v>2237</v>
      </c>
      <c r="B38" s="3" t="inlineStr">
        <is>
          <t>실전회화/표현</t>
        </is>
      </c>
      <c r="C38" s="4" t="inlineStr">
        <is>
          <t>work itself out</t>
        </is>
      </c>
      <c r="D38" s="11" t="inlineStr">
        <is>
          <t>시간이 지나면 자연스레 해결/풀리다</t>
        </is>
      </c>
      <c r="E38" s="11" t="inlineStr">
        <is>
          <t>work itself out</t>
        </is>
      </c>
      <c r="F38" s="11" t="inlineStr">
        <is>
          <t>시간이 지나면 자연스레 해결/풀리다</t>
        </is>
      </c>
      <c r="G38" s="5">
        <f>HYPERLINK("https://www.youtube.com/watch?v=LephPM8Odhs", "영상 보기 ▶")</f>
        <v/>
      </c>
    </row>
    <row r="39" ht="26" customHeight="1">
      <c r="A39" s="6" t="n">
        <v>2238</v>
      </c>
      <c r="B39" s="7" t="inlineStr">
        <is>
          <t>실전회화/표현</t>
        </is>
      </c>
      <c r="C39" s="8" t="inlineStr">
        <is>
          <t>- Your work speaks for itself. 네가 일한 것만 봐도 실력을 다 알 수 있어. (말이 필요없어)</t>
        </is>
      </c>
      <c r="D39" s="12" t="inlineStr">
        <is>
          <t>따로 설명이 필요 없을 때 speak for itself (자명하다, 분명하다)</t>
        </is>
      </c>
      <c r="E39" s="12" t="inlineStr">
        <is>
          <t>- Your work speaks for itself. 네가 일한 것만 봐도 실력을 다 알 수 있어. (말이 필요없어)</t>
        </is>
      </c>
      <c r="F39" s="12" t="inlineStr">
        <is>
          <t>따로 설명이 필요 없을 때 speak for itself (자명하다, 분명하다)</t>
        </is>
      </c>
      <c r="G39" s="9">
        <f>HYPERLINK("https://www.youtube.com/watch?v=LephPM8Odhs", "영상 보기 ▶")</f>
        <v/>
      </c>
    </row>
    <row r="40" ht="26" customHeight="1">
      <c r="A40" s="2" t="n">
        <v>2239</v>
      </c>
      <c r="B40" s="3" t="inlineStr">
        <is>
          <t>실전회화/표현</t>
        </is>
      </c>
      <c r="C40" s="4" t="inlineStr">
        <is>
          <t>- I'm out of ideas. 아이디어가 바닥 났어.</t>
        </is>
      </c>
      <c r="D40" s="11" t="inlineStr">
        <is>
          <t>다 떨어졌을 때 out of</t>
        </is>
      </c>
      <c r="E40" s="11" t="inlineStr">
        <is>
          <t>- I'm out of ideas. 아이디어가 바닥 났어.</t>
        </is>
      </c>
      <c r="F40" s="11" t="inlineStr">
        <is>
          <t>다 떨어졌을 때 out of</t>
        </is>
      </c>
      <c r="G40" s="5">
        <f>HYPERLINK("https://www.youtube.com/watch?v=LephPM8Odhs", "영상 보기 ▶")</f>
        <v/>
      </c>
    </row>
    <row r="41" ht="26" customHeight="1">
      <c r="A41" s="6" t="n">
        <v>2240</v>
      </c>
      <c r="B41" s="7" t="inlineStr">
        <is>
          <t>실전회화/표현</t>
        </is>
      </c>
      <c r="C41" s="8" t="inlineStr">
        <is>
          <t>- I'm saying this out of concern. 걱정돼서 하는 말이야.</t>
        </is>
      </c>
      <c r="D41" s="12" t="inlineStr">
        <is>
          <t>출처의 out of (~로부터 나온/비롯된)</t>
        </is>
      </c>
      <c r="E41" s="12" t="inlineStr">
        <is>
          <t>- I'm saying this out of concern. 걱정돼서 하는 말이야.</t>
        </is>
      </c>
      <c r="F41" s="12" t="inlineStr">
        <is>
          <t>출처의 out of (~로부터 나온/비롯된)</t>
        </is>
      </c>
      <c r="G41" s="9">
        <f>HYPERLINK("https://www.youtube.com/watch?v=LephPM8Odhs", "영상 보기 ▶")</f>
        <v/>
      </c>
    </row>
    <row r="42" ht="26" customHeight="1">
      <c r="A42" s="2" t="n">
        <v>2241</v>
      </c>
      <c r="B42" s="3" t="inlineStr">
        <is>
          <t>실전회화/표현</t>
        </is>
      </c>
      <c r="C42" s="4" t="inlineStr">
        <is>
          <t>opportune</t>
        </is>
      </c>
      <c r="D42" s="11" t="inlineStr">
        <is>
          <t>(시기상) 적절한, 알맞는</t>
        </is>
      </c>
      <c r="E42" s="11" t="inlineStr">
        <is>
          <t>opportune</t>
        </is>
      </c>
      <c r="F42" s="11" t="inlineStr">
        <is>
          <t>(시기상) 적절한, 알맞는</t>
        </is>
      </c>
      <c r="G42" s="5">
        <f>HYPERLINK("https://www.youtube.com/watch?v=LephPM8Odhs", "영상 보기 ▶")</f>
        <v/>
      </c>
    </row>
    <row r="43" ht="26" customHeight="1">
      <c r="A43" s="6" t="n">
        <v>2242</v>
      </c>
      <c r="B43" s="7" t="inlineStr">
        <is>
          <t>실전회화/표현</t>
        </is>
      </c>
      <c r="C43" s="8" t="inlineStr">
        <is>
          <t>borrow</t>
        </is>
      </c>
      <c r="D43" s="12" t="inlineStr">
        <is>
          <t>(아이디어, 표현 등을) 차용하다, 가져오다</t>
        </is>
      </c>
      <c r="E43" s="12" t="inlineStr">
        <is>
          <t>borrow</t>
        </is>
      </c>
      <c r="F43" s="12" t="inlineStr">
        <is>
          <t>(아이디어, 표현 등을) 차용하다, 가져오다</t>
        </is>
      </c>
      <c r="G43" s="9">
        <f>HYPERLINK("https://www.youtube.com/watch?v=LephPM8Odhs", "영상 보기 ▶")</f>
        <v/>
      </c>
    </row>
    <row r="44" ht="26" customHeight="1">
      <c r="A44" s="2" t="n">
        <v>2243</v>
      </c>
      <c r="B44" s="3" t="inlineStr">
        <is>
          <t>실전회화/표현</t>
        </is>
      </c>
      <c r="C44" s="4" t="inlineStr">
        <is>
          <t>essentially</t>
        </is>
      </c>
      <c r="D44" s="11" t="inlineStr">
        <is>
          <t>본질적으로</t>
        </is>
      </c>
      <c r="E44" s="11" t="inlineStr">
        <is>
          <t>essentially</t>
        </is>
      </c>
      <c r="F44" s="11" t="inlineStr">
        <is>
          <t>본질적으로</t>
        </is>
      </c>
      <c r="G44" s="5">
        <f>HYPERLINK("https://www.youtube.com/watch?v=LephPM8Odhs", "영상 보기 ▶")</f>
        <v/>
      </c>
    </row>
    <row r="45" ht="26" customHeight="1">
      <c r="A45" s="6" t="n">
        <v>2244</v>
      </c>
      <c r="B45" s="7" t="inlineStr">
        <is>
          <t>실전회화/표현</t>
        </is>
      </c>
      <c r="C45" s="8" t="inlineStr">
        <is>
          <t>essentially</t>
        </is>
      </c>
      <c r="D45" s="12" t="inlineStr">
        <is>
          <t>(핵심을 요약) 한 마디로 말하면, 결국, 큰 틀에서 보면</t>
        </is>
      </c>
      <c r="E45" s="12" t="inlineStr">
        <is>
          <t>essentially</t>
        </is>
      </c>
      <c r="F45" s="12" t="inlineStr">
        <is>
          <t>(핵심을 요약) 한 마디로 말하면, 결국, 큰 틀에서 보면</t>
        </is>
      </c>
      <c r="G45" s="9">
        <f>HYPERLINK("https://www.youtube.com/watch?v=LephPM8Odhs", "영상 보기 ▶")</f>
        <v/>
      </c>
    </row>
    <row r="46" ht="26" customHeight="1">
      <c r="A46" s="2" t="n">
        <v>2245</v>
      </c>
      <c r="B46" s="3" t="inlineStr">
        <is>
          <t>실전회화/표현</t>
        </is>
      </c>
      <c r="C46" s="4" t="inlineStr">
        <is>
          <t>gray area</t>
        </is>
      </c>
      <c r="D46" s="11" t="inlineStr">
        <is>
          <t>(명확한 규칙/기준/지침이 없어) 애매한 상황</t>
        </is>
      </c>
      <c r="E46" s="11" t="inlineStr">
        <is>
          <t>gray area</t>
        </is>
      </c>
      <c r="F46" s="11" t="inlineStr">
        <is>
          <t>(명확한 규칙/기준/지침이 없어) 애매한 상황</t>
        </is>
      </c>
      <c r="G46" s="5">
        <f>HYPERLINK("https://www.youtube.com/watch?v=LephPM8Odhs", "영상 보기 ▶")</f>
        <v/>
      </c>
    </row>
    <row r="47" ht="26" customHeight="1">
      <c r="A47" s="6" t="n">
        <v>2246</v>
      </c>
      <c r="B47" s="7" t="inlineStr">
        <is>
          <t>실전회화/표현</t>
        </is>
      </c>
      <c r="C47" s="8" t="inlineStr">
        <is>
          <t>black and white</t>
        </is>
      </c>
      <c r="D47" s="12" t="inlineStr">
        <is>
          <t>흑백논리/이분법적인/명확한 상황</t>
        </is>
      </c>
      <c r="E47" s="12" t="inlineStr">
        <is>
          <t>black and white</t>
        </is>
      </c>
      <c r="F47" s="12" t="inlineStr">
        <is>
          <t>흑백논리/이분법적인/명확한 상황</t>
        </is>
      </c>
      <c r="G47" s="9">
        <f>HYPERLINK("https://www.youtube.com/watch?v=LephPM8Odhs", "영상 보기 ▶")</f>
        <v/>
      </c>
    </row>
    <row r="48" ht="26" customHeight="1">
      <c r="A48" s="2" t="n">
        <v>2247</v>
      </c>
      <c r="B48" s="3" t="inlineStr">
        <is>
          <t>실전회화/표현</t>
        </is>
      </c>
      <c r="C48" s="4" t="inlineStr">
        <is>
          <t>play hooky</t>
        </is>
      </c>
      <c r="D48" s="11" t="inlineStr">
        <is>
          <t>땡땡이 치다</t>
        </is>
      </c>
      <c r="E48" s="11" t="inlineStr">
        <is>
          <t>play hooky</t>
        </is>
      </c>
      <c r="F48" s="11" t="inlineStr">
        <is>
          <t>땡땡이 치다</t>
        </is>
      </c>
      <c r="G48" s="5">
        <f>HYPERLINK("https://www.youtube.com/watch?v=LephPM8Odhs", "영상 보기 ▶")</f>
        <v/>
      </c>
    </row>
    <row r="49" ht="26" customHeight="1">
      <c r="A49" s="6" t="n">
        <v>2248</v>
      </c>
      <c r="B49" s="7" t="inlineStr">
        <is>
          <t>실전회화/표현</t>
        </is>
      </c>
      <c r="C49" s="8" t="inlineStr">
        <is>
          <t>Save it for a rainy day.</t>
        </is>
      </c>
      <c r="D49" s="12" t="inlineStr">
        <is>
          <t>나중을 위해/비상시를 위해 아껴둬.</t>
        </is>
      </c>
      <c r="E49" s="12" t="inlineStr">
        <is>
          <t>Save it for a rainy day.</t>
        </is>
      </c>
      <c r="F49" s="12" t="inlineStr">
        <is>
          <t>나중을 위해/비상시를 위해 아껴둬.</t>
        </is>
      </c>
      <c r="G49" s="9">
        <f>HYPERLINK("https://www.youtube.com/watch?v=LephPM8Odhs", "영상 보기 ▶")</f>
        <v/>
      </c>
    </row>
    <row r="50" ht="26" customHeight="1">
      <c r="A50" s="2" t="n">
        <v>2249</v>
      </c>
      <c r="B50" s="3" t="inlineStr">
        <is>
          <t>공감/감정</t>
        </is>
      </c>
      <c r="C50" s="4" t="inlineStr">
        <is>
          <t>I'm open to it.</t>
        </is>
      </c>
      <c r="D50" s="11" t="inlineStr">
        <is>
          <t>마음은 열려 있어요.</t>
        </is>
      </c>
      <c r="E50" s="11" t="inlineStr">
        <is>
          <t>I'm open to it.</t>
        </is>
      </c>
      <c r="F50" s="11" t="inlineStr">
        <is>
          <t>마음은 열려 있어요.</t>
        </is>
      </c>
      <c r="G50" s="5">
        <f>HYPERLINK("https://www.youtube.com/watch?v=LephPM8Odhs", "영상 보기 ▶")</f>
        <v/>
      </c>
    </row>
    <row r="51" ht="26" customHeight="1">
      <c r="A51" s="6" t="n">
        <v>2250</v>
      </c>
      <c r="B51" s="7" t="inlineStr">
        <is>
          <t>실전회화/표현</t>
        </is>
      </c>
      <c r="C51" s="8" t="inlineStr">
        <is>
          <t>That ship has sailed.</t>
        </is>
      </c>
      <c r="D51" s="12" t="inlineStr">
        <is>
          <t>이미 늦었어, 기회는 물 건너갔어</t>
        </is>
      </c>
      <c r="E51" s="12" t="inlineStr">
        <is>
          <t>It's too late to apply now; that ship has sailed.</t>
        </is>
      </c>
      <c r="F51" s="12" t="inlineStr">
        <is>
          <t>지금 지원하기엔 너무 늦었어, 이미 기회는 물 건너갔다고.</t>
        </is>
      </c>
      <c r="G51" s="9">
        <f>HYPERLINK("https://www.youtube.com/watch?v=LephPM8Odhs", "영상 보기 ▶")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48" customWidth="1" min="4" max="4"/>
    <col width="62" customWidth="1" min="5" max="5"/>
    <col width="65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2251</v>
      </c>
      <c r="B2" s="3" t="inlineStr">
        <is>
          <t>실전회화/표현</t>
        </is>
      </c>
      <c r="C2" s="4" t="inlineStr">
        <is>
          <t>go overboard</t>
        </is>
      </c>
      <c r="D2" s="11" t="inlineStr">
        <is>
          <t>지나치게 하다, 오버하다</t>
        </is>
      </c>
      <c r="E2" s="11" t="inlineStr">
        <is>
          <t>Let's not go overboard.</t>
        </is>
      </c>
      <c r="F2" s="11" t="inlineStr">
        <is>
          <t>너무 과하게 준비하진/오버하진 말자.</t>
        </is>
      </c>
      <c r="G2" s="5">
        <f>HYPERLINK("https://www.youtube.com/watch?v=89lCIeVEJZY", "영상 보기 ▶")</f>
        <v/>
      </c>
    </row>
    <row r="3" ht="26" customHeight="1">
      <c r="A3" s="6" t="n">
        <v>2252</v>
      </c>
      <c r="B3" s="7" t="inlineStr">
        <is>
          <t>실전회화/표현</t>
        </is>
      </c>
      <c r="C3" s="8" t="inlineStr">
        <is>
          <t>dodge</t>
        </is>
      </c>
      <c r="D3" s="12" t="inlineStr">
        <is>
          <t>교묘히 피하다/의도적으로 회피하다</t>
        </is>
      </c>
      <c r="E3" s="12" t="inlineStr">
        <is>
          <t>We dodged a bullet.</t>
        </is>
      </c>
      <c r="F3" s="12" t="inlineStr">
        <is>
          <t>큰일 날 뻔했는데 진짜 다행이야.</t>
        </is>
      </c>
      <c r="G3" s="9">
        <f>HYPERLINK("https://www.youtube.com/watch?v=89lCIeVEJZY", "영상 보기 ▶")</f>
        <v/>
      </c>
    </row>
    <row r="4" ht="26" customHeight="1">
      <c r="A4" s="2" t="n">
        <v>2253</v>
      </c>
      <c r="B4" s="3" t="inlineStr">
        <is>
          <t>실전회화/표현</t>
        </is>
      </c>
      <c r="C4" s="4" t="inlineStr">
        <is>
          <t>bail (on)</t>
        </is>
      </c>
      <c r="D4" s="11" t="inlineStr">
        <is>
          <t>약속을 취소하다/바람맞히다</t>
        </is>
      </c>
      <c r="E4" s="11" t="inlineStr">
        <is>
          <t>Please don't bail on me.</t>
        </is>
      </c>
      <c r="F4" s="11" t="inlineStr">
        <is>
          <t>온다고 해놓고 안 오면 안돼.</t>
        </is>
      </c>
      <c r="G4" s="5">
        <f>HYPERLINK("https://www.youtube.com/watch?v=89lCIeVEJZY", "영상 보기 ▶")</f>
        <v/>
      </c>
    </row>
    <row r="5" ht="26" customHeight="1">
      <c r="A5" s="6" t="n">
        <v>2254</v>
      </c>
      <c r="B5" s="7" t="inlineStr">
        <is>
          <t>실전회화/표현</t>
        </is>
      </c>
      <c r="C5" s="8" t="inlineStr">
        <is>
          <t>such as</t>
        </is>
      </c>
      <c r="D5" s="12" t="inlineStr">
        <is>
          <t>예를 들어, ~같은 (격식차린 like)</t>
        </is>
      </c>
      <c r="E5" s="12" t="inlineStr">
        <is>
          <t>A: Let's do something different.</t>
        </is>
      </c>
      <c r="F5" s="12" t="inlineStr">
        <is>
          <t>좀 색다른걸 해보자.</t>
        </is>
      </c>
      <c r="G5" s="9">
        <f>HYPERLINK("https://www.youtube.com/watch?v=89lCIeVEJZY", "영상 보기 ▶")</f>
        <v/>
      </c>
    </row>
    <row r="6" ht="26" customHeight="1">
      <c r="A6" s="2" t="n">
        <v>2255</v>
      </c>
      <c r="B6" s="3" t="inlineStr">
        <is>
          <t>실전회화/표현</t>
        </is>
      </c>
      <c r="C6" s="4" t="inlineStr">
        <is>
          <t>as such</t>
        </is>
      </c>
      <c r="D6" s="11" t="inlineStr">
        <is>
          <t>그 자체로, 그에 맞게</t>
        </is>
      </c>
      <c r="E6" s="11" t="inlineStr">
        <is>
          <t>We're all professionals. Let's behave as such.</t>
        </is>
      </c>
      <c r="F6" s="11" t="inlineStr">
        <is>
          <t>우리 다 프로잖아. 그럼 그에맞게/프로처럼 행동해야지.</t>
        </is>
      </c>
      <c r="G6" s="5">
        <f>HYPERLINK("https://www.youtube.com/watch?v=89lCIeVEJZY", "영상 보기 ▶")</f>
        <v/>
      </c>
    </row>
    <row r="7" ht="26" customHeight="1">
      <c r="A7" s="6" t="n">
        <v>2256</v>
      </c>
      <c r="B7" s="7" t="inlineStr">
        <is>
          <t>실전회화/표현</t>
        </is>
      </c>
      <c r="C7" s="8" t="inlineStr">
        <is>
          <t>though (문장 끝)</t>
        </is>
      </c>
      <c r="D7" s="12" t="inlineStr">
        <is>
          <t>(문장 끝에서) 그래도, 하지만 (but보다 훨씬 부드러운 어조)</t>
        </is>
      </c>
      <c r="E7" s="12" t="inlineStr">
        <is>
          <t>I'm good. Thank you, though.</t>
        </is>
      </c>
      <c r="F7" s="12" t="inlineStr">
        <is>
          <t>전 괜찮아요. 그래도 신경 써주셔서 고마워요.</t>
        </is>
      </c>
      <c r="G7" s="9">
        <f>HYPERLINK("https://www.youtube.com/watch?v=89lCIeVEJZY", "영상 보기 ▶")</f>
        <v/>
      </c>
    </row>
    <row r="8" ht="26" customHeight="1">
      <c r="A8" s="2" t="n">
        <v>2257</v>
      </c>
      <c r="B8" s="3" t="inlineStr">
        <is>
          <t>실전회화/표현</t>
        </is>
      </c>
      <c r="C8" s="4" t="inlineStr">
        <is>
          <t>unwind</t>
        </is>
      </c>
      <c r="D8" s="11" t="inlineStr">
        <is>
          <t>긴장을 풀다/휴식을 취하다</t>
        </is>
      </c>
      <c r="E8" s="11" t="inlineStr">
        <is>
          <t>What do you do to unwind?</t>
        </is>
      </c>
      <c r="F8" s="11" t="inlineStr">
        <is>
          <t>평소 스트레스 어떻게 풀어?</t>
        </is>
      </c>
      <c r="G8" s="5">
        <f>HYPERLINK("https://www.youtube.com/watch?v=89lCIeVEJZY", "영상 보기 ▶")</f>
        <v/>
      </c>
    </row>
    <row r="9" ht="26" customHeight="1">
      <c r="A9" s="6" t="n">
        <v>2258</v>
      </c>
      <c r="B9" s="7" t="inlineStr">
        <is>
          <t>실전회화/표현</t>
        </is>
      </c>
      <c r="C9" s="8" t="inlineStr">
        <is>
          <t>do 사람 in</t>
        </is>
      </c>
      <c r="D9" s="12" t="inlineStr">
        <is>
          <t>완전 무너뜨리다, 지치게 하다</t>
        </is>
      </c>
      <c r="E9" s="12" t="inlineStr">
        <is>
          <t>That workout did me in. I can't move.</t>
        </is>
      </c>
      <c r="F9" s="12" t="inlineStr">
        <is>
          <t>운동 때문에 힘들어 죽겠네. 몸이 말을 안들어.</t>
        </is>
      </c>
      <c r="G9" s="9">
        <f>HYPERLINK("https://www.youtube.com/watch?v=89lCIeVEJZY", "영상 보기 ▶")</f>
        <v/>
      </c>
    </row>
    <row r="10" ht="26" customHeight="1">
      <c r="A10" s="2" t="n">
        <v>2259</v>
      </c>
      <c r="B10" s="3" t="inlineStr">
        <is>
          <t>실전회화/표현</t>
        </is>
      </c>
      <c r="C10" s="4" t="inlineStr">
        <is>
          <t>There's no such thing as~</t>
        </is>
      </c>
      <c r="D10" s="11" t="inlineStr">
        <is>
          <t>~라는 건 애초에 없어/그런 건 존재하지 않아.</t>
        </is>
      </c>
      <c r="E10" s="11" t="inlineStr">
        <is>
          <t>There's no such thing as a free lunch.</t>
        </is>
      </c>
      <c r="F10" s="11" t="inlineStr">
        <is>
          <t>세상에 공짜는 없어.</t>
        </is>
      </c>
      <c r="G10" s="5">
        <f>HYPERLINK("https://www.youtube.com/watch?v=89lCIeVEJZY", "영상 보기 ▶")</f>
        <v/>
      </c>
    </row>
    <row r="11" ht="26" customHeight="1">
      <c r="A11" s="6" t="n">
        <v>2260</v>
      </c>
      <c r="B11" s="7" t="inlineStr">
        <is>
          <t>공감/감정</t>
        </is>
      </c>
      <c r="C11" s="8" t="inlineStr">
        <is>
          <t>Please keep me honest.</t>
        </is>
      </c>
      <c r="D11" s="12" t="inlineStr">
        <is>
          <t>혹 빠뜨리거나 잘못 이해한 부분이 있으면 말해주세요. (정확한의 의미)</t>
        </is>
      </c>
      <c r="E11" s="12" t="inlineStr">
        <is>
          <t>I think these numbers are correct, but keep me honest.</t>
        </is>
      </c>
      <c r="F11" s="12" t="inlineStr">
        <is>
          <t>내가 보기엔 맞는 것 같은데 혹 틀린 부분이 있다면 말해줘.</t>
        </is>
      </c>
      <c r="G11" s="9">
        <f>HYPERLINK("https://www.youtube.com/watch?v=89lCIeVEJZY", "영상 보기 ▶")</f>
        <v/>
      </c>
    </row>
    <row r="12" ht="26" customHeight="1">
      <c r="A12" s="2" t="n">
        <v>2261</v>
      </c>
      <c r="B12" s="3" t="inlineStr">
        <is>
          <t>실전회화/표현</t>
        </is>
      </c>
      <c r="C12" s="4" t="inlineStr">
        <is>
          <t>honest mistake</t>
        </is>
      </c>
      <c r="D12" s="11" t="inlineStr">
        <is>
          <t>의도치 않은/악의가 없는 실수</t>
        </is>
      </c>
      <c r="E12" s="11" t="inlineStr">
        <is>
          <t>It's an honest mistake.</t>
        </is>
      </c>
      <c r="F12" s="11" t="inlineStr">
        <is>
          <t>그건 의도치 않은/악의가 없는 실수야.</t>
        </is>
      </c>
      <c r="G12" s="5">
        <f>HYPERLINK("https://www.youtube.com/watch?v=89lCIeVEJZY", "영상 보기 ▶")</f>
        <v/>
      </c>
    </row>
    <row r="13" ht="26" customHeight="1">
      <c r="A13" s="6" t="n">
        <v>2262</v>
      </c>
      <c r="B13" s="7" t="inlineStr">
        <is>
          <t>실전회화/표현</t>
        </is>
      </c>
      <c r="C13" s="8" t="inlineStr">
        <is>
          <t>wind up 동사ing</t>
        </is>
      </c>
      <c r="D13" s="12" t="inlineStr">
        <is>
          <t>결국 ~하게 되다</t>
        </is>
      </c>
      <c r="E13" s="12" t="inlineStr">
        <is>
          <t>end up</t>
        </is>
      </c>
      <c r="F13" s="12" t="inlineStr">
        <is>
          <t>보다 캐쥬얼</t>
        </is>
      </c>
      <c r="G13" s="9">
        <f>HYPERLINK("https://www.youtube.com/watch?v=89lCIeVEJZY", "영상 보기 ▶")</f>
        <v/>
      </c>
    </row>
    <row r="14" ht="26" customHeight="1">
      <c r="A14" s="2" t="n">
        <v>2263</v>
      </c>
      <c r="B14" s="3" t="inlineStr">
        <is>
          <t>실전회화/표현</t>
        </is>
      </c>
      <c r="C14" s="4" t="inlineStr">
        <is>
          <t>turn on 사람</t>
        </is>
      </c>
      <c r="D14" s="11" t="inlineStr">
        <is>
          <t>갑자기 공격하다/달려들다</t>
        </is>
      </c>
      <c r="E14" s="11" t="inlineStr">
        <is>
          <t>Why are you turning on me?</t>
        </is>
      </c>
      <c r="F14" s="11" t="inlineStr">
        <is>
          <t>왜 나한테 화살을 돌려/왜 갑자기 나한테 그래</t>
        </is>
      </c>
      <c r="G14" s="5">
        <f>HYPERLINK("https://www.youtube.com/watch?v=89lCIeVEJZY", "영상 보기 ▶")</f>
        <v/>
      </c>
    </row>
    <row r="15" ht="26" customHeight="1">
      <c r="A15" s="6" t="n">
        <v>2264</v>
      </c>
      <c r="B15" s="7" t="inlineStr">
        <is>
          <t>실전회화/표현</t>
        </is>
      </c>
      <c r="C15" s="8" t="inlineStr">
        <is>
          <t>Such is life.</t>
        </is>
      </c>
      <c r="D15" s="12" t="inlineStr">
        <is>
          <t>인생이 다 그런거지, 어쩔수 없지.</t>
        </is>
      </c>
      <c r="E15" s="12" t="inlineStr">
        <is>
          <t>It's not fair, but such is life.</t>
        </is>
      </c>
      <c r="F15" s="12" t="inlineStr">
        <is>
          <t>불공평하지만 인생이 다 그런거지.</t>
        </is>
      </c>
      <c r="G15" s="9">
        <f>HYPERLINK("https://www.youtube.com/watch?v=89lCIeVEJZY", "영상 보기 ▶")</f>
        <v/>
      </c>
    </row>
    <row r="16" ht="26" customHeight="1">
      <c r="A16" s="2" t="n">
        <v>2265</v>
      </c>
      <c r="B16" s="3" t="inlineStr">
        <is>
          <t>실전회화/표현</t>
        </is>
      </c>
      <c r="C16" s="4" t="inlineStr">
        <is>
          <t>stay up late 동사ing</t>
        </is>
      </c>
      <c r="D16" s="11" t="inlineStr">
        <is>
          <t>~하느라 늦게 자다 (늦게까지 깨어있다)</t>
        </is>
      </c>
      <c r="E16" s="11" t="inlineStr">
        <is>
          <t>I stayed up late finishing the project.</t>
        </is>
      </c>
      <c r="F16" s="11" t="inlineStr">
        <is>
          <t>프로젝트 마무리하느라 늦게 잤어.</t>
        </is>
      </c>
      <c r="G16" s="5">
        <f>HYPERLINK("https://www.youtube.com/watch?v=89lCIeVEJZY", "영상 보기 ▶")</f>
        <v/>
      </c>
    </row>
    <row r="17" ht="26" customHeight="1">
      <c r="A17" s="6" t="n">
        <v>2266</v>
      </c>
      <c r="B17" s="7" t="inlineStr">
        <is>
          <t>실전회화/표현</t>
        </is>
      </c>
      <c r="C17" s="8" t="inlineStr">
        <is>
          <t>Don't stay too late.</t>
        </is>
      </c>
      <c r="D17" s="12" t="inlineStr">
        <is>
          <t>(먼저 퇴근할 때) 너무 늦게까지 야근하지 마세요</t>
        </is>
      </c>
      <c r="E17" s="12" t="inlineStr">
        <is>
          <t>I'm heading out first. Don't stay too late!</t>
        </is>
      </c>
      <c r="F17" s="12" t="inlineStr">
        <is>
          <t>저 먼저 일어나 볼게요. 너무 늦게까지 무리해서 일하지 마세요!</t>
        </is>
      </c>
      <c r="G17" s="9">
        <f>HYPERLINK("https://www.youtube.com/watch?v=89lCIeVEJZY", "영상 보기 ▶")</f>
        <v/>
      </c>
    </row>
    <row r="18" ht="26" customHeight="1">
      <c r="A18" s="2" t="n">
        <v>2267</v>
      </c>
      <c r="B18" s="3" t="inlineStr">
        <is>
          <t>실전회화/표현</t>
        </is>
      </c>
      <c r="C18" s="4" t="inlineStr">
        <is>
          <t>come over</t>
        </is>
      </c>
      <c r="D18" s="11" t="inlineStr">
        <is>
          <t>(특히 누군가의 집에) 놀러오다</t>
        </is>
      </c>
      <c r="E18" s="11" t="inlineStr">
        <is>
          <t>Do you wanna come over?</t>
        </is>
      </c>
      <c r="F18" s="11" t="inlineStr">
        <is>
          <t>놀러올래?</t>
        </is>
      </c>
      <c r="G18" s="5">
        <f>HYPERLINK("https://www.youtube.com/watch?v=89lCIeVEJZY", "영상 보기 ▶")</f>
        <v/>
      </c>
    </row>
    <row r="19" ht="26" customHeight="1">
      <c r="A19" s="6" t="n">
        <v>2268</v>
      </c>
      <c r="B19" s="7" t="inlineStr">
        <is>
          <t>실전회화/표현</t>
        </is>
      </c>
      <c r="C19" s="8" t="inlineStr">
        <is>
          <t>'</t>
        </is>
      </c>
      <c r="D19" s="12" t="inlineStr">
        <is>
          <t>잠깐 들르다'의 come by</t>
        </is>
      </c>
      <c r="E19" s="12" t="inlineStr">
        <is>
          <t>Do you wanna come by later?</t>
        </is>
      </c>
      <c r="F19" s="12" t="inlineStr">
        <is>
          <t>이따 잠깐 들를래?</t>
        </is>
      </c>
      <c r="G19" s="9">
        <f>HYPERLINK("https://www.youtube.com/watch?v=89lCIeVEJZY", "영상 보기 ▶")</f>
        <v/>
      </c>
    </row>
    <row r="20" ht="26" customHeight="1">
      <c r="A20" s="2" t="n">
        <v>2269</v>
      </c>
      <c r="B20" s="3" t="inlineStr">
        <is>
          <t>실전회화/표현</t>
        </is>
      </c>
      <c r="C20" s="4" t="inlineStr">
        <is>
          <t>'</t>
        </is>
      </c>
      <c r="D20" s="11" t="inlineStr">
        <is>
          <t>구하다/얻다'의 come by</t>
        </is>
      </c>
      <c r="E20" s="11" t="inlineStr">
        <is>
          <t>It's hard to come by.</t>
        </is>
      </c>
      <c r="F20" s="11" t="inlineStr">
        <is>
          <t>그건 흔치 않아/귀해.</t>
        </is>
      </c>
      <c r="G20" s="5">
        <f>HYPERLINK("https://www.youtube.com/watch?v=89lCIeVEJZY", "영상 보기 ▶")</f>
        <v/>
      </c>
    </row>
    <row r="21" ht="26" customHeight="1">
      <c r="A21" s="6" t="n">
        <v>2270</v>
      </c>
      <c r="B21" s="7" t="inlineStr">
        <is>
          <t>실전회화/표현</t>
        </is>
      </c>
      <c r="C21" s="8" t="inlineStr">
        <is>
          <t>work with</t>
        </is>
      </c>
      <c r="D21" s="12" t="inlineStr">
        <is>
          <t>(주어진 조건에) 맞춰서 진행하다/대처하다</t>
        </is>
      </c>
      <c r="E21" s="12" t="inlineStr">
        <is>
          <t>I can work with this.</t>
        </is>
      </c>
      <c r="F21" s="12" t="inlineStr">
        <is>
          <t>이 정도면 괜찮네/맞춰서 진행해 볼게.</t>
        </is>
      </c>
      <c r="G21" s="9">
        <f>HYPERLINK("https://www.youtube.com/watch?v=89lCIeVEJZY", "영상 보기 ▶")</f>
        <v/>
      </c>
    </row>
    <row r="22" ht="26" customHeight="1">
      <c r="A22" s="2" t="n">
        <v>2271</v>
      </c>
      <c r="B22" s="3" t="inlineStr">
        <is>
          <t>실전회화/표현</t>
        </is>
      </c>
      <c r="C22" s="4" t="inlineStr">
        <is>
          <t>put on</t>
        </is>
      </c>
      <c r="D22" s="11" t="inlineStr">
        <is>
          <t>입다</t>
        </is>
      </c>
      <c r="E22" s="11" t="inlineStr">
        <is>
          <t>It's chilly outside. You should put on a jacket.</t>
        </is>
      </c>
      <c r="F22" s="11" t="inlineStr">
        <is>
          <t>밖에 쌀쌀해서 자켓 입는게 좋겠다.</t>
        </is>
      </c>
      <c r="G22" s="5">
        <f>HYPERLINK("https://www.youtube.com/watch?v=89lCIeVEJZY", "영상 보기 ▶")</f>
        <v/>
      </c>
    </row>
    <row r="23" ht="26" customHeight="1">
      <c r="A23" s="6" t="n">
        <v>2272</v>
      </c>
      <c r="B23" s="7" t="inlineStr">
        <is>
          <t>실전회화/표현</t>
        </is>
      </c>
      <c r="C23" s="8" t="inlineStr">
        <is>
          <t>put 사람 on</t>
        </is>
      </c>
      <c r="D23" s="12" t="inlineStr">
        <is>
          <t>속이다/장난치다</t>
        </is>
      </c>
      <c r="E23" s="12" t="inlineStr">
        <is>
          <t>Are you putting me on?</t>
        </is>
      </c>
      <c r="F23" s="12" t="inlineStr">
        <is>
          <t>농담하는 거지?/나 놀리는 거지</t>
        </is>
      </c>
      <c r="G23" s="9">
        <f>HYPERLINK("https://www.youtube.com/watch?v=89lCIeVEJZY", "영상 보기 ▶")</f>
        <v/>
      </c>
    </row>
    <row r="24" ht="26" customHeight="1">
      <c r="A24" s="2" t="n">
        <v>2273</v>
      </c>
      <c r="B24" s="3" t="inlineStr">
        <is>
          <t>실전회화/표현</t>
        </is>
      </c>
      <c r="C24" s="4" t="inlineStr">
        <is>
          <t>put 사람 on the spot</t>
        </is>
      </c>
      <c r="D24" s="11" t="inlineStr">
        <is>
          <t>~를 난처하게 하다</t>
        </is>
      </c>
      <c r="E24" s="11" t="inlineStr">
        <is>
          <t>Sorry to put you on the spot, but what do you think?</t>
        </is>
      </c>
      <c r="F24" s="11" t="inlineStr">
        <is>
          <t>널 곤란하게 하려는 건 아닌데/갑자기 물어봐서 미안한데 넌 어떻게 생각해?</t>
        </is>
      </c>
      <c r="G24" s="5">
        <f>HYPERLINK("https://www.youtube.com/watch?v=89lCIeVEJZY", "영상 보기 ▶")</f>
        <v/>
      </c>
    </row>
    <row r="25" ht="26" customHeight="1">
      <c r="A25" s="6" t="n">
        <v>2274</v>
      </c>
      <c r="B25" s="7" t="inlineStr">
        <is>
          <t>실전회화/표현</t>
        </is>
      </c>
      <c r="C25" s="8" t="inlineStr">
        <is>
          <t>vibe with</t>
        </is>
      </c>
      <c r="D25" s="12" t="inlineStr">
        <is>
          <t>~와 잘 맞다/어울리다</t>
        </is>
      </c>
      <c r="E25" s="12" t="inlineStr">
        <is>
          <t>I vibe with her.</t>
        </is>
      </c>
      <c r="F25" s="12" t="inlineStr">
        <is>
          <t>난 그녀와 잘 맞아.</t>
        </is>
      </c>
      <c r="G25" s="9">
        <f>HYPERLINK("https://www.youtube.com/watch?v=89lCIeVEJZY", "영상 보기 ▶")</f>
        <v/>
      </c>
    </row>
    <row r="26" ht="26" customHeight="1">
      <c r="A26" s="2" t="n">
        <v>2275</v>
      </c>
      <c r="B26" s="3" t="inlineStr">
        <is>
          <t>공감/감정</t>
        </is>
      </c>
      <c r="C26" s="4" t="inlineStr">
        <is>
          <t>명사 vibe</t>
        </is>
      </c>
      <c r="D26" s="11" t="inlineStr">
        <is>
          <t>분위기, 느낌</t>
        </is>
      </c>
      <c r="E26" s="11" t="inlineStr">
        <is>
          <t>I like the vibe here.</t>
        </is>
      </c>
      <c r="F26" s="11" t="inlineStr">
        <is>
          <t>여기 분위기, 느낌 좋다</t>
        </is>
      </c>
      <c r="G26" s="5">
        <f>HYPERLINK("https://www.youtube.com/watch?v=89lCIeVEJZY", "영상 보기 ▶")</f>
        <v/>
      </c>
    </row>
    <row r="27" ht="26" customHeight="1">
      <c r="A27" s="6" t="n">
        <v>2276</v>
      </c>
      <c r="B27" s="7" t="inlineStr">
        <is>
          <t>실전회화/표현</t>
        </is>
      </c>
      <c r="C27" s="8" t="inlineStr">
        <is>
          <t>such (강조)</t>
        </is>
      </c>
      <c r="D27" s="12" t="inlineStr">
        <is>
          <t>대단히, 정말로, 아주 (a such + 명사 구조)</t>
        </is>
      </c>
      <c r="E27" s="12" t="inlineStr">
        <is>
          <t>It's such a shame that you couldn't join us.</t>
        </is>
      </c>
      <c r="F27" s="12" t="inlineStr">
        <is>
          <t>네가 함께하지 못했다니 정말 너무너무 아쉽다.</t>
        </is>
      </c>
      <c r="G27" s="9">
        <f>HYPERLINK("https://www.youtube.com/watch?v=89lCIeVEJZY", "영상 보기 ▶")</f>
        <v/>
      </c>
    </row>
    <row r="28" ht="26" customHeight="1">
      <c r="A28" s="2" t="n">
        <v>2277</v>
      </c>
      <c r="B28" s="3" t="inlineStr">
        <is>
          <t>실전회화/표현</t>
        </is>
      </c>
      <c r="C28" s="4" t="inlineStr">
        <is>
          <t>'</t>
        </is>
      </c>
      <c r="D28" s="11" t="inlineStr">
        <is>
          <t>어느정도, 다소, 꽤'의 rather</t>
        </is>
      </c>
      <c r="E28" s="11" t="inlineStr">
        <is>
          <t>It's rather good.</t>
        </is>
      </c>
      <c r="F28" s="11" t="inlineStr">
        <is>
          <t>꽤 좋은데.</t>
        </is>
      </c>
      <c r="G28" s="5">
        <f>HYPERLINK("https://www.youtube.com/watch?v=89lCIeVEJZY", "영상 보기 ▶")</f>
        <v/>
      </c>
    </row>
    <row r="29" ht="26" customHeight="1">
      <c r="A29" s="6" t="n">
        <v>2278</v>
      </c>
      <c r="B29" s="7" t="inlineStr">
        <is>
          <t>실전회화/표현</t>
        </is>
      </c>
      <c r="C29" s="8" t="inlineStr">
        <is>
          <t>I'd rather ~</t>
        </is>
      </c>
      <c r="D29" s="12" t="inlineStr">
        <is>
          <t>차라리 ~하고 싶어, ~하는 편이 낫겠어 (부드러운 거절)</t>
        </is>
      </c>
      <c r="E29" s="12" t="inlineStr">
        <is>
          <t>I'd rather not discuss that matter right now.</t>
        </is>
      </c>
      <c r="F29" s="12" t="inlineStr">
        <is>
          <t>지금은 그 문제에 대해 차라리 말하지 않는 게 좋겠어요.</t>
        </is>
      </c>
      <c r="G29" s="9">
        <f>HYPERLINK("https://www.youtube.com/watch?v=89lCIeVEJZY", "영상 보기 ▶")</f>
        <v/>
      </c>
    </row>
    <row r="30" ht="26" customHeight="1">
      <c r="A30" s="2" t="n">
        <v>2279</v>
      </c>
      <c r="B30" s="3" t="inlineStr">
        <is>
          <t>실전회화/표현</t>
        </is>
      </c>
      <c r="C30" s="4" t="inlineStr">
        <is>
          <t>pick up</t>
        </is>
      </c>
      <c r="D30" s="11" t="inlineStr">
        <is>
          <t>(중단된 상황으로 돌아가) 이어서 계속하다</t>
        </is>
      </c>
      <c r="E30" s="11" t="inlineStr">
        <is>
          <t>It's rather late. Let's pick this back up tomorrow.</t>
        </is>
      </c>
      <c r="F30" s="11" t="inlineStr">
        <is>
          <t>꽤 늦었으니 내일 다시 이어서 계속하자.</t>
        </is>
      </c>
      <c r="G30" s="5">
        <f>HYPERLINK("https://www.youtube.com/watch?v=89lCIeVEJZY", "영상 보기 ▶")</f>
        <v/>
      </c>
    </row>
    <row r="31" ht="26" customHeight="1">
      <c r="A31" s="6" t="n">
        <v>2280</v>
      </c>
      <c r="B31" s="7" t="inlineStr">
        <is>
          <t>실전회화/표현</t>
        </is>
      </c>
      <c r="C31" s="8" t="inlineStr">
        <is>
          <t>take it from here</t>
        </is>
      </c>
      <c r="D31" s="12" t="inlineStr">
        <is>
          <t>(상대가 하던 일을) 여기서부터 이어서 진행하다/맡다</t>
        </is>
      </c>
      <c r="E31" s="12" t="inlineStr">
        <is>
          <t>I'll take it from here.</t>
        </is>
      </c>
      <c r="F31" s="12" t="inlineStr">
        <is>
          <t>여기서부턴 내가 맡을게/이제 내가 처리할게.</t>
        </is>
      </c>
      <c r="G31" s="9">
        <f>HYPERLINK("https://www.youtube.com/watch?v=89lCIeVEJZY", "영상 보기 ▶")</f>
        <v/>
      </c>
    </row>
    <row r="32" ht="26" customHeight="1">
      <c r="A32" s="2" t="n">
        <v>2281</v>
      </c>
      <c r="B32" s="3" t="inlineStr">
        <is>
          <t>비즈니스/업무</t>
        </is>
      </c>
      <c r="C32" s="4" t="inlineStr">
        <is>
          <t>Let's take it from there. (</t>
        </is>
      </c>
      <c r="D32" s="11" t="inlineStr">
        <is>
          <t>일단 ~를 해보고) 나머지는 그때가서 어떻게 할건지 결정/진행/봐보자.</t>
        </is>
      </c>
      <c r="E32" s="11" t="inlineStr">
        <is>
          <t>Let's see what happens, and we'll take it from there.</t>
        </is>
      </c>
      <c r="F32" s="11" t="inlineStr">
        <is>
          <t>일단 어떻게 되는지 상황을 지켜봐보고 그때가서 결정하자.</t>
        </is>
      </c>
      <c r="G32" s="5">
        <f>HYPERLINK("https://www.youtube.com/watch?v=89lCIeVEJZY", "영상 보기 ▶")</f>
        <v/>
      </c>
    </row>
    <row r="33" ht="26" customHeight="1">
      <c r="A33" s="6" t="n">
        <v>2282</v>
      </c>
      <c r="B33" s="7" t="inlineStr">
        <is>
          <t>실전회화/표현</t>
        </is>
      </c>
      <c r="C33" s="8" t="inlineStr">
        <is>
          <t>put 사람 on edge</t>
        </is>
      </c>
      <c r="D33" s="12" t="inlineStr">
        <is>
          <t>신경을 곤두서게/예민하게 하다</t>
        </is>
      </c>
      <c r="E33" s="12" t="inlineStr">
        <is>
          <t>This project is putting everyone on edge.</t>
        </is>
      </c>
      <c r="F33" s="12" t="inlineStr">
        <is>
          <t>이 프로젝트 때문에 다들 예민해.</t>
        </is>
      </c>
      <c r="G33" s="9">
        <f>HYPERLINK("https://www.youtube.com/watch?v=89lCIeVEJZY", "영상 보기 ▶")</f>
        <v/>
      </c>
    </row>
    <row r="34" ht="26" customHeight="1">
      <c r="A34" s="2" t="n">
        <v>2283</v>
      </c>
      <c r="B34" s="3" t="inlineStr">
        <is>
          <t>실전회화/표현</t>
        </is>
      </c>
      <c r="C34" s="4" t="inlineStr">
        <is>
          <t>I couldn't agree more. (</t>
        </is>
      </c>
      <c r="D34" s="11" t="inlineStr">
        <is>
          <t>이보다 더 동의할 수 없을 정도로) 완전 동의해.</t>
        </is>
      </c>
      <c r="E34" s="11" t="inlineStr">
        <is>
          <t>I couldn't agree more. (</t>
        </is>
      </c>
      <c r="F34" s="11" t="inlineStr">
        <is>
          <t>이보다 더 동의할 수 없을 정도로) 완전 동의해.</t>
        </is>
      </c>
      <c r="G34" s="5">
        <f>HYPERLINK("https://www.youtube.com/watch?v=89lCIeVEJZY", "영상 보기 ▶")</f>
        <v/>
      </c>
    </row>
    <row r="35" ht="26" customHeight="1">
      <c r="A35" s="6" t="n">
        <v>2284</v>
      </c>
      <c r="B35" s="7" t="inlineStr">
        <is>
          <t>실전회화/표현</t>
        </is>
      </c>
      <c r="C35" s="8" t="inlineStr">
        <is>
          <t>I couldn't care less. (</t>
        </is>
      </c>
      <c r="D35" s="12" t="inlineStr">
        <is>
          <t>이보다 덜 신경쓸 수 없을 정도로) 완전 관심 없어/신경 안써.</t>
        </is>
      </c>
      <c r="E35" s="12" t="inlineStr">
        <is>
          <t>I couldn't care less. (</t>
        </is>
      </c>
      <c r="F35" s="12" t="inlineStr">
        <is>
          <t>이보다 덜 신경쓸 수 없을 정도로) 완전 관심 없어/신경 안써.</t>
        </is>
      </c>
      <c r="G35" s="9">
        <f>HYPERLINK("https://www.youtube.com/watch?v=89lCIeVEJZY", "영상 보기 ▶")</f>
        <v/>
      </c>
    </row>
    <row r="36" ht="26" customHeight="1">
      <c r="A36" s="2" t="n">
        <v>2285</v>
      </c>
      <c r="B36" s="3" t="inlineStr">
        <is>
          <t>실전회화/표현</t>
        </is>
      </c>
      <c r="C36" s="4" t="inlineStr">
        <is>
          <t>You can't put a price on ~</t>
        </is>
      </c>
      <c r="D36" s="11" t="inlineStr">
        <is>
          <t>~는 돈으로 환산할 수 없어 (값을 매길 수 없이 귀중해)</t>
        </is>
      </c>
      <c r="E36" s="11" t="inlineStr">
        <is>
          <t>You can't put a price on good mental health.</t>
        </is>
      </c>
      <c r="F36" s="11" t="inlineStr">
        <is>
          <t>마음의 평화와 건강은 결코 돈으로 값을 매길 수 없는 소중한 것이야.</t>
        </is>
      </c>
      <c r="G36" s="5">
        <f>HYPERLINK("https://www.youtube.com/watch?v=89lCIeVEJZY", "영상 보기 ▶")</f>
        <v/>
      </c>
    </row>
    <row r="37" ht="26" customHeight="1">
      <c r="A37" s="6" t="n">
        <v>2286</v>
      </c>
      <c r="B37" s="7" t="inlineStr">
        <is>
          <t>실전회화/표현</t>
        </is>
      </c>
      <c r="C37" s="8" t="inlineStr">
        <is>
          <t>hold off</t>
        </is>
      </c>
      <c r="D37" s="12" t="inlineStr">
        <is>
          <t>보류하다</t>
        </is>
      </c>
      <c r="E37" s="12" t="inlineStr">
        <is>
          <t>It's rather expensive. I'd rather hold off for now.</t>
        </is>
      </c>
      <c r="F37" s="12" t="inlineStr">
        <is>
          <t>꽤 비싸네. 일단은 보류하는게 좋겠어.</t>
        </is>
      </c>
      <c r="G37" s="9">
        <f>HYPERLINK("https://www.youtube.com/watch?v=89lCIeVEJZY", "영상 보기 ▶")</f>
        <v/>
      </c>
    </row>
    <row r="38" ht="26" customHeight="1">
      <c r="A38" s="2" t="n">
        <v>2287</v>
      </c>
      <c r="B38" s="3" t="inlineStr">
        <is>
          <t>실전회화/표현</t>
        </is>
      </c>
      <c r="C38" s="4" t="inlineStr">
        <is>
          <t>run with</t>
        </is>
      </c>
      <c r="D38" s="11" t="inlineStr">
        <is>
          <t>~를 밀고 나가다/추진하다</t>
        </is>
      </c>
      <c r="E38" s="11" t="inlineStr">
        <is>
          <t>If everyone's okay, let's run with it.</t>
        </is>
      </c>
      <c r="F38" s="11" t="inlineStr">
        <is>
          <t>다들 괜찮으시면 그걸로 진행하죠.</t>
        </is>
      </c>
      <c r="G38" s="5">
        <f>HYPERLINK("https://www.youtube.com/watch?v=89lCIeVEJZY", "영상 보기 ▶")</f>
        <v/>
      </c>
    </row>
    <row r="39" ht="26" customHeight="1">
      <c r="A39" s="6" t="n">
        <v>2288</v>
      </c>
      <c r="B39" s="7" t="inlineStr">
        <is>
          <t>실전회화/표현</t>
        </is>
      </c>
      <c r="C39" s="8" t="inlineStr">
        <is>
          <t>Is it just me, or..?</t>
        </is>
      </c>
      <c r="D39" s="12" t="inlineStr">
        <is>
          <t>나만 그래?</t>
        </is>
      </c>
      <c r="E39" s="12" t="inlineStr">
        <is>
          <t>Is it just me, or is it cold in here?</t>
        </is>
      </c>
      <c r="F39" s="12" t="inlineStr">
        <is>
          <t>여기 좀 춥지 않아? 나만 그런가?</t>
        </is>
      </c>
      <c r="G39" s="9">
        <f>HYPERLINK("https://www.youtube.com/watch?v=89lCIeVEJZY", "영상 보기 ▶")</f>
        <v/>
      </c>
    </row>
    <row r="40" ht="26" customHeight="1">
      <c r="A40" s="2" t="n">
        <v>2289</v>
      </c>
      <c r="B40" s="3" t="inlineStr">
        <is>
          <t>의견/의사결정</t>
        </is>
      </c>
      <c r="C40" s="4" t="inlineStr">
        <is>
          <t>I'm feeling nostalgic.</t>
        </is>
      </c>
      <c r="D40" s="11" t="inlineStr">
        <is>
          <t>옛날 생각 나네/추억돋네</t>
        </is>
      </c>
      <c r="E40" s="11" t="inlineStr">
        <is>
          <t>I'm feeling nostalgic.</t>
        </is>
      </c>
      <c r="F40" s="11" t="inlineStr">
        <is>
          <t>옛날 생각 나네/추억돋네</t>
        </is>
      </c>
      <c r="G40" s="5">
        <f>HYPERLINK("https://www.youtube.com/watch?v=89lCIeVEJZY", "영상 보기 ▶")</f>
        <v/>
      </c>
    </row>
    <row r="41" ht="26" customHeight="1">
      <c r="A41" s="6" t="n">
        <v>2290</v>
      </c>
      <c r="B41" s="7" t="inlineStr">
        <is>
          <t>실전회화/표현</t>
        </is>
      </c>
      <c r="C41" s="8" t="inlineStr">
        <is>
          <t>I don't mean to 동사원형</t>
        </is>
      </c>
      <c r="D41" s="12" t="inlineStr">
        <is>
          <t>일부러 ~하려는 건 아니야/의도한건 아니야 (변명 조)</t>
        </is>
      </c>
      <c r="E41" s="12" t="inlineStr">
        <is>
          <t>I don't mean to put you on the spot, but what do you think?</t>
        </is>
      </c>
      <c r="F41" s="12" t="inlineStr">
        <is>
          <t>널 곤란하게/부담주려는 건 아닌데 넌 어떻게 생각해?</t>
        </is>
      </c>
      <c r="G41" s="9">
        <f>HYPERLINK("https://www.youtube.com/watch?v=89lCIeVEJZY", "영상 보기 ▶")</f>
        <v/>
      </c>
    </row>
    <row r="42" ht="26" customHeight="1">
      <c r="A42" s="2" t="n">
        <v>2291</v>
      </c>
      <c r="B42" s="3" t="inlineStr">
        <is>
          <t>실전회화/표현</t>
        </is>
      </c>
      <c r="C42" s="4" t="inlineStr">
        <is>
          <t>How's ~ treating you? ~</t>
        </is>
      </c>
      <c r="D42" s="11" t="inlineStr">
        <is>
          <t>는 좀 어때?</t>
        </is>
      </c>
      <c r="E42" s="11" t="inlineStr">
        <is>
          <t>How's work treating you?</t>
        </is>
      </c>
      <c r="F42" s="11" t="inlineStr">
        <is>
          <t>일은 좀 어때?/할만해?</t>
        </is>
      </c>
      <c r="G42" s="5">
        <f>HYPERLINK("https://www.youtube.com/watch?v=89lCIeVEJZY", "영상 보기 ▶")</f>
        <v/>
      </c>
    </row>
    <row r="43" ht="26" customHeight="1">
      <c r="A43" s="6" t="n">
        <v>2292</v>
      </c>
      <c r="B43" s="7" t="inlineStr">
        <is>
          <t>전화 영어</t>
        </is>
      </c>
      <c r="C43" s="8" t="inlineStr">
        <is>
          <t>put on speaker</t>
        </is>
      </c>
      <c r="D43" s="12" t="inlineStr">
        <is>
          <t>스피커폰으로 켜다/전환하다 (통화 상대에게 사전 양해)</t>
        </is>
      </c>
      <c r="E43" s="12" t="inlineStr">
        <is>
          <t>I'm putting you on speaker so the entire team can hear.</t>
        </is>
      </c>
      <c r="F43" s="12" t="inlineStr">
        <is>
          <t>팀원들 모두가 들을 수 있도록 지금 스피커폰으로 켤게요.</t>
        </is>
      </c>
      <c r="G43" s="9">
        <f>HYPERLINK("https://www.youtube.com/watch?v=89lCIeVEJZY", "영상 보기 ▶")</f>
        <v/>
      </c>
    </row>
    <row r="44" ht="26" customHeight="1">
      <c r="A44" s="2" t="n">
        <v>2293</v>
      </c>
      <c r="B44" s="3" t="inlineStr">
        <is>
          <t>실전회화/표현</t>
        </is>
      </c>
      <c r="C44" s="4" t="inlineStr">
        <is>
          <t>oversleep</t>
        </is>
      </c>
      <c r="D44" s="11" t="inlineStr">
        <is>
          <t>(실수로) 늦잠자다</t>
        </is>
      </c>
      <c r="E44" s="11" t="inlineStr">
        <is>
          <t>Sorry I'm late. I overslept.</t>
        </is>
      </c>
      <c r="F44" s="11" t="inlineStr">
        <is>
          <t>늦어서 미안해. 늦잠잤어.</t>
        </is>
      </c>
      <c r="G44" s="5">
        <f>HYPERLINK("https://www.youtube.com/watch?v=89lCIeVEJZY", "영상 보기 ▶")</f>
        <v/>
      </c>
    </row>
    <row r="45" ht="26" customHeight="1">
      <c r="A45" s="6" t="n">
        <v>2294</v>
      </c>
      <c r="B45" s="7" t="inlineStr">
        <is>
          <t>실전회화/표현</t>
        </is>
      </c>
      <c r="C45" s="8" t="inlineStr">
        <is>
          <t>sleep in</t>
        </is>
      </c>
      <c r="D45" s="12" t="inlineStr">
        <is>
          <t>늦잠자다</t>
        </is>
      </c>
      <c r="E45" s="12" t="inlineStr">
        <is>
          <t>I can sleep in tomorrow. (</t>
        </is>
      </c>
      <c r="F45" s="12" t="inlineStr">
        <is>
          <t>휴일 전) 내일 늦게 일어나도 되네.</t>
        </is>
      </c>
      <c r="G45" s="9">
        <f>HYPERLINK("https://www.youtube.com/watch?v=89lCIeVEJZY", "영상 보기 ▶")</f>
        <v/>
      </c>
    </row>
    <row r="46" ht="26" customHeight="1">
      <c r="A46" s="2" t="n">
        <v>2295</v>
      </c>
      <c r="B46" s="3" t="inlineStr">
        <is>
          <t>실전회화/표현</t>
        </is>
      </c>
      <c r="C46" s="4" t="inlineStr">
        <is>
          <t>I'm on my way.</t>
        </is>
      </c>
      <c r="D46" s="11" t="inlineStr">
        <is>
          <t>지금 가는 중/이동 중이야.</t>
        </is>
      </c>
      <c r="E46" s="11" t="inlineStr">
        <is>
          <t>Are you on your way?</t>
        </is>
      </c>
      <c r="F46" s="11" t="inlineStr">
        <is>
          <t>지금 오고 있지?</t>
        </is>
      </c>
      <c r="G46" s="5">
        <f>HYPERLINK("https://www.youtube.com/watch?v=89lCIeVEJZY", "영상 보기 ▶")</f>
        <v/>
      </c>
    </row>
    <row r="47" ht="26" customHeight="1">
      <c r="A47" s="6" t="n">
        <v>2296</v>
      </c>
      <c r="B47" s="7" t="inlineStr">
        <is>
          <t>실전회화/표현</t>
        </is>
      </c>
      <c r="C47" s="8" t="inlineStr">
        <is>
          <t>'</t>
        </is>
      </c>
      <c r="D47" s="12" t="inlineStr">
        <is>
          <t>중요하다'의 matter</t>
        </is>
      </c>
      <c r="E47" s="12" t="inlineStr">
        <is>
          <t>It doesn't matter.</t>
        </is>
      </c>
      <c r="F47" s="12" t="inlineStr">
        <is>
          <t>그건 안 중요해/상관 없어</t>
        </is>
      </c>
      <c r="G47" s="9">
        <f>HYPERLINK("https://www.youtube.com/watch?v=89lCIeVEJZY", "영상 보기 ▶")</f>
        <v/>
      </c>
    </row>
    <row r="48" ht="26" customHeight="1">
      <c r="A48" s="2" t="n">
        <v>2297</v>
      </c>
      <c r="B48" s="3" t="inlineStr">
        <is>
          <t>실전회화/표현</t>
        </is>
      </c>
      <c r="C48" s="4" t="inlineStr">
        <is>
          <t>That's all that matters.</t>
        </is>
      </c>
      <c r="D48" s="11" t="inlineStr">
        <is>
          <t>그게 가장 중요해/그거면 충분해.</t>
        </is>
      </c>
      <c r="E48" s="11" t="inlineStr">
        <is>
          <t>You're happy. That's all that matters.</t>
        </is>
      </c>
      <c r="F48" s="11" t="inlineStr">
        <is>
          <t>너가 행복하면 된거지, 뭐.</t>
        </is>
      </c>
      <c r="G48" s="5">
        <f>HYPERLINK("https://www.youtube.com/watch?v=89lCIeVEJZY", "영상 보기 ▶")</f>
        <v/>
      </c>
    </row>
    <row r="49" ht="26" customHeight="1">
      <c r="A49" s="6" t="n">
        <v>2298</v>
      </c>
      <c r="B49" s="7" t="inlineStr">
        <is>
          <t>실전회화/표현</t>
        </is>
      </c>
      <c r="C49" s="8" t="inlineStr">
        <is>
          <t>overhear</t>
        </is>
      </c>
      <c r="D49" s="12" t="inlineStr">
        <is>
          <t>우연히 듣다</t>
        </is>
      </c>
      <c r="E49" s="12" t="inlineStr">
        <is>
          <t>A: How do you know?</t>
        </is>
      </c>
      <c r="F49" s="12" t="inlineStr">
        <is>
          <t>어떻게 알아?</t>
        </is>
      </c>
      <c r="G49" s="9">
        <f>HYPERLINK("https://www.youtube.com/watch?v=89lCIeVEJZY", "영상 보기 ▶")</f>
        <v/>
      </c>
    </row>
    <row r="50" ht="26" customHeight="1">
      <c r="A50" s="2" t="n">
        <v>2299</v>
      </c>
      <c r="B50" s="3" t="inlineStr">
        <is>
          <t>실전회화/표현</t>
        </is>
      </c>
      <c r="C50" s="4" t="inlineStr">
        <is>
          <t>eavesdrop</t>
        </is>
      </c>
      <c r="D50" s="11" t="inlineStr">
        <is>
          <t>(의도적으로) 엿듣다</t>
        </is>
      </c>
      <c r="E50" s="11" t="inlineStr">
        <is>
          <t>Come on, let's not eavesdrop.</t>
        </is>
      </c>
      <c r="F50" s="11" t="inlineStr">
        <is>
          <t>에이, 엿듣지 말자.</t>
        </is>
      </c>
      <c r="G50" s="5">
        <f>HYPERLINK("https://www.youtube.com/watch?v=89lCIeVEJZY", "영상 보기 ▶")</f>
        <v/>
      </c>
    </row>
    <row r="51" ht="26" customHeight="1">
      <c r="A51" s="6" t="n">
        <v>2300</v>
      </c>
      <c r="B51" s="7" t="inlineStr">
        <is>
          <t>실전회화/표현</t>
        </is>
      </c>
      <c r="C51" s="8" t="inlineStr">
        <is>
          <t>I couldn't help but 동사원형</t>
        </is>
      </c>
      <c r="D51" s="12" t="inlineStr">
        <is>
          <t>~하지 않을 수/~할 수 밖에 없었어</t>
        </is>
      </c>
      <c r="E51" s="12" t="inlineStr">
        <is>
          <t>I couldn't help but wonder what happened.</t>
        </is>
      </c>
      <c r="F51" s="12" t="inlineStr">
        <is>
          <t>어떻게 된건지 궁금할 수 밖에 없었어.</t>
        </is>
      </c>
      <c r="G51" s="9">
        <f>HYPERLINK("https://www.youtube.com/watch?v=89lCIeVEJZY", "영상 보기 ▶")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1.6" customWidth="1" min="3" max="3"/>
    <col width="48" customWidth="1" min="4" max="4"/>
    <col width="61" customWidth="1" min="5" max="5"/>
    <col width="73.09999999999999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2301</v>
      </c>
      <c r="B2" s="3" t="inlineStr">
        <is>
          <t>의견/의사결정</t>
        </is>
      </c>
      <c r="C2" s="4" t="inlineStr">
        <is>
          <t>take 사람 up on</t>
        </is>
      </c>
      <c r="D2" s="11" t="inlineStr">
        <is>
          <t>~가 한 제안/초대를 받아들이다</t>
        </is>
      </c>
      <c r="E2" s="11" t="inlineStr">
        <is>
          <t>I'll take you up on that.</t>
        </is>
      </c>
      <c r="F2" s="11" t="inlineStr">
        <is>
          <t>제안 받아들일게/진짜 얻어먹는다~</t>
        </is>
      </c>
      <c r="G2" s="5">
        <f>HYPERLINK("https://www.youtube.com/watch?v=0v7FzPh99QY", "영상 보기 ▶")</f>
        <v/>
      </c>
    </row>
    <row r="3" ht="26" customHeight="1">
      <c r="A3" s="6" t="n">
        <v>2302</v>
      </c>
      <c r="B3" s="7" t="inlineStr">
        <is>
          <t>실전회화/표현</t>
        </is>
      </c>
      <c r="C3" s="8" t="inlineStr">
        <is>
          <t>usual</t>
        </is>
      </c>
      <c r="D3" s="12" t="inlineStr">
        <is>
          <t>평소 흔히 하는, 늘 먹는/마시는 것</t>
        </is>
      </c>
      <c r="E3" s="12" t="inlineStr">
        <is>
          <t>Do you want your usual?</t>
        </is>
      </c>
      <c r="F3" s="12" t="inlineStr">
        <is>
          <t>평소 마시는 걸로 살까?</t>
        </is>
      </c>
      <c r="G3" s="9">
        <f>HYPERLINK("https://www.youtube.com/watch?v=0v7FzPh99QY", "영상 보기 ▶")</f>
        <v/>
      </c>
    </row>
    <row r="4" ht="26" customHeight="1">
      <c r="A4" s="2" t="n">
        <v>2303</v>
      </c>
      <c r="B4" s="3" t="inlineStr">
        <is>
          <t>실전회화/표현</t>
        </is>
      </c>
      <c r="C4" s="4" t="inlineStr">
        <is>
          <t>lay off</t>
        </is>
      </c>
      <c r="D4" s="11" t="inlineStr">
        <is>
          <t>해고하다/감원하다</t>
        </is>
      </c>
      <c r="E4" s="11" t="inlineStr">
        <is>
          <t>He got laid off last month.</t>
        </is>
      </c>
      <c r="F4" s="11" t="inlineStr">
        <is>
          <t>그는 지난달에 해고됐어.</t>
        </is>
      </c>
      <c r="G4" s="5">
        <f>HYPERLINK("https://www.youtube.com/watch?v=0v7FzPh99QY", "영상 보기 ▶")</f>
        <v/>
      </c>
    </row>
    <row r="5" ht="26" customHeight="1">
      <c r="A5" s="6" t="n">
        <v>2304</v>
      </c>
      <c r="B5" s="7" t="inlineStr">
        <is>
          <t>실전회화/표현</t>
        </is>
      </c>
      <c r="C5" s="8" t="inlineStr">
        <is>
          <t>lay off 대상</t>
        </is>
      </c>
      <c r="D5" s="12" t="inlineStr">
        <is>
          <t>~를 그만하다</t>
        </is>
      </c>
      <c r="E5" s="12" t="inlineStr">
        <is>
          <t>I should lay off the beer.</t>
        </is>
      </c>
      <c r="F5" s="12" t="inlineStr">
        <is>
          <t>맥주 좀 줄여야겠어/자제해야겠어.</t>
        </is>
      </c>
      <c r="G5" s="9">
        <f>HYPERLINK("https://www.youtube.com/watch?v=0v7FzPh99QY", "영상 보기 ▶")</f>
        <v/>
      </c>
    </row>
    <row r="6" ht="26" customHeight="1">
      <c r="A6" s="2" t="n">
        <v>2305</v>
      </c>
      <c r="B6" s="3" t="inlineStr">
        <is>
          <t>실전회화/표현</t>
        </is>
      </c>
      <c r="C6" s="4" t="inlineStr">
        <is>
          <t>take in</t>
        </is>
      </c>
      <c r="D6" s="11" t="inlineStr">
        <is>
          <t>받아들이다, 만끽하다</t>
        </is>
      </c>
      <c r="E6" s="11" t="inlineStr">
        <is>
          <t>I'm just taking it all in.</t>
        </is>
      </c>
      <c r="F6" s="11" t="inlineStr">
        <is>
          <t>온전히 느끼며 감상 중이야/다 눈에 담고 있어.</t>
        </is>
      </c>
      <c r="G6" s="5">
        <f>HYPERLINK("https://www.youtube.com/watch?v=0v7FzPh99QY", "영상 보기 ▶")</f>
        <v/>
      </c>
    </row>
    <row r="7" ht="26" customHeight="1">
      <c r="A7" s="6" t="n">
        <v>2306</v>
      </c>
      <c r="B7" s="7" t="inlineStr">
        <is>
          <t>공감/감정</t>
        </is>
      </c>
      <c r="C7" s="8" t="inlineStr">
        <is>
          <t>It's a lot to take in.</t>
        </is>
      </c>
      <c r="D7" s="12" t="inlineStr">
        <is>
          <t>바로 이해하기/흡수하기 힘드네요.</t>
        </is>
      </c>
      <c r="E7" s="12" t="inlineStr">
        <is>
          <t>It's a lot to take in.</t>
        </is>
      </c>
      <c r="F7" s="12" t="inlineStr">
        <is>
          <t>바로 이해하기/흡수하기 힘드네요.</t>
        </is>
      </c>
      <c r="G7" s="9">
        <f>HYPERLINK("https://www.youtube.com/watch?v=0v7FzPh99QY", "영상 보기 ▶")</f>
        <v/>
      </c>
    </row>
    <row r="8" ht="26" customHeight="1">
      <c r="A8" s="2" t="n">
        <v>2307</v>
      </c>
      <c r="B8" s="3" t="inlineStr">
        <is>
          <t>실전회화/표현</t>
        </is>
      </c>
      <c r="C8" s="4" t="inlineStr">
        <is>
          <t>jump through hoops</t>
        </is>
      </c>
      <c r="D8" s="11" t="inlineStr">
        <is>
          <t>(복잡한 절차, 작업을 통과하느라) 고생하다</t>
        </is>
      </c>
      <c r="E8" s="11" t="inlineStr">
        <is>
          <t>I had to jump through hoops to get this approved.</t>
        </is>
      </c>
      <c r="F8" s="11" t="inlineStr">
        <is>
          <t>이거 승인 받으려 엄청 고생했어.</t>
        </is>
      </c>
      <c r="G8" s="5">
        <f>HYPERLINK("https://www.youtube.com/watch?v=0v7FzPh99QY", "영상 보기 ▶")</f>
        <v/>
      </c>
    </row>
    <row r="9" ht="26" customHeight="1">
      <c r="A9" s="6" t="n">
        <v>2308</v>
      </c>
      <c r="B9" s="7" t="inlineStr">
        <is>
          <t>실전회화/표현</t>
        </is>
      </c>
      <c r="C9" s="8" t="inlineStr">
        <is>
          <t>show 사람 up</t>
        </is>
      </c>
      <c r="D9" s="12" t="inlineStr">
        <is>
          <t>망신주다/무안하게 만들다</t>
        </is>
      </c>
      <c r="E9" s="12" t="inlineStr">
        <is>
          <t>You're showing me up today!</t>
        </is>
      </c>
      <c r="F9" s="12" t="inlineStr">
        <is>
          <t>야, 너 때문에 내가 오늘 초라해보인다, 야.</t>
        </is>
      </c>
      <c r="G9" s="9">
        <f>HYPERLINK("https://www.youtube.com/watch?v=0v7FzPh99QY", "영상 보기 ▶")</f>
        <v/>
      </c>
    </row>
    <row r="10" ht="26" customHeight="1">
      <c r="A10" s="2" t="n">
        <v>2309</v>
      </c>
      <c r="B10" s="3" t="inlineStr">
        <is>
          <t>실전회화/표현</t>
        </is>
      </c>
      <c r="C10" s="4" t="inlineStr">
        <is>
          <t>Tell me about it.</t>
        </is>
      </c>
      <c r="D10" s="11" t="inlineStr">
        <is>
          <t>그러니까/내말이</t>
        </is>
      </c>
      <c r="E10" s="11" t="inlineStr">
        <is>
          <t>A: I'm tired of these long meetings.</t>
        </is>
      </c>
      <c r="F10" s="11" t="inlineStr">
        <is>
          <t>이 긴 미팅들 지긋지긋하다.</t>
        </is>
      </c>
      <c r="G10" s="5">
        <f>HYPERLINK("https://www.youtube.com/watch?v=0v7FzPh99QY", "영상 보기 ▶")</f>
        <v/>
      </c>
    </row>
    <row r="11" ht="26" customHeight="1">
      <c r="A11" s="6" t="n">
        <v>2310</v>
      </c>
      <c r="B11" s="7" t="inlineStr">
        <is>
          <t>실전회화/표현</t>
        </is>
      </c>
      <c r="C11" s="8" t="inlineStr">
        <is>
          <t>This is a Hail Mary.</t>
        </is>
      </c>
      <c r="D11" s="12" t="inlineStr">
        <is>
          <t>마지막으로 한 번 해보는거야/어차피 이거 아니면 끝이야.</t>
        </is>
      </c>
      <c r="E11" s="12" t="inlineStr">
        <is>
          <t>This is a Hail Mary.</t>
        </is>
      </c>
      <c r="F11" s="12" t="inlineStr">
        <is>
          <t>마지막으로 한 번 해보는거야/어차피 이거 아니면 끝이야.</t>
        </is>
      </c>
      <c r="G11" s="9">
        <f>HYPERLINK("https://www.youtube.com/watch?v=0v7FzPh99QY", "영상 보기 ▶")</f>
        <v/>
      </c>
    </row>
    <row r="12" ht="26" customHeight="1">
      <c r="A12" s="2" t="n">
        <v>2311</v>
      </c>
      <c r="B12" s="3" t="inlineStr">
        <is>
          <t>실전회화/표현</t>
        </is>
      </c>
      <c r="C12" s="4" t="inlineStr">
        <is>
          <t>It's a long shot.</t>
        </is>
      </c>
      <c r="D12" s="11" t="inlineStr">
        <is>
          <t>거의 승산 없어/잘될 가능성이 희박해.</t>
        </is>
      </c>
      <c r="E12" s="11" t="inlineStr">
        <is>
          <t>It's a long shot, but it's worth a try.</t>
        </is>
      </c>
      <c r="F12" s="11" t="inlineStr">
        <is>
          <t>가능성은 낮지만 그래도 시도해볼만 해.</t>
        </is>
      </c>
      <c r="G12" s="5">
        <f>HYPERLINK("https://www.youtube.com/watch?v=0v7FzPh99QY", "영상 보기 ▶")</f>
        <v/>
      </c>
    </row>
    <row r="13" ht="26" customHeight="1">
      <c r="A13" s="6" t="n">
        <v>2312</v>
      </c>
      <c r="B13" s="7" t="inlineStr">
        <is>
          <t>실전회화/표현</t>
        </is>
      </c>
      <c r="C13" s="8" t="inlineStr">
        <is>
          <t>lay out</t>
        </is>
      </c>
      <c r="D13" s="12" t="inlineStr">
        <is>
          <t>펼쳐놓다, (잘 정리해) 제시/설명하다</t>
        </is>
      </c>
      <c r="E13" s="12" t="inlineStr">
        <is>
          <t>Just lay it out for me.</t>
        </is>
      </c>
      <c r="F13" s="12" t="inlineStr">
        <is>
          <t>그냥 어떤 상황인지 말해줘.</t>
        </is>
      </c>
      <c r="G13" s="9">
        <f>HYPERLINK("https://www.youtube.com/watch?v=0v7FzPh99QY", "영상 보기 ▶")</f>
        <v/>
      </c>
    </row>
    <row r="14" ht="26" customHeight="1">
      <c r="A14" s="2" t="n">
        <v>2313</v>
      </c>
      <c r="B14" s="3" t="inlineStr">
        <is>
          <t>실전회화/표현</t>
        </is>
      </c>
      <c r="C14" s="4" t="inlineStr">
        <is>
          <t>far from</t>
        </is>
      </c>
      <c r="D14" s="11" t="inlineStr">
        <is>
          <t>~와는 거리가 먼</t>
        </is>
      </c>
      <c r="E14" s="11" t="inlineStr">
        <is>
          <t>It's far from over.</t>
        </is>
      </c>
      <c r="F14" s="11" t="inlineStr">
        <is>
          <t>끝나려면 아직 멀었어/한참 남았어.</t>
        </is>
      </c>
      <c r="G14" s="5">
        <f>HYPERLINK("https://www.youtube.com/watch?v=0v7FzPh99QY", "영상 보기 ▶")</f>
        <v/>
      </c>
    </row>
    <row r="15" ht="26" customHeight="1">
      <c r="A15" s="6" t="n">
        <v>2314</v>
      </c>
      <c r="B15" s="7" t="inlineStr">
        <is>
          <t>실전회화/표현</t>
        </is>
      </c>
      <c r="C15" s="8" t="inlineStr">
        <is>
          <t>pull the trigger</t>
        </is>
      </c>
      <c r="D15" s="12" t="inlineStr">
        <is>
          <t>결단을 내리다, (고민 끝에) 실행에 옮기다</t>
        </is>
      </c>
      <c r="E15" s="12" t="inlineStr">
        <is>
          <t>I've always wanted to, but I never pulled the trigger.</t>
        </is>
      </c>
      <c r="F15" s="12" t="inlineStr">
        <is>
          <t>늘 해보고 싶었는데 결국 실행에 옮기진 못했</t>
        </is>
      </c>
      <c r="G15" s="9">
        <f>HYPERLINK("https://www.youtube.com/watch?v=0v7FzPh99QY", "영상 보기 ▶")</f>
        <v/>
      </c>
    </row>
    <row r="16" ht="26" customHeight="1">
      <c r="A16" s="2" t="n">
        <v>2315</v>
      </c>
      <c r="B16" s="3" t="inlineStr">
        <is>
          <t>의견/의사결정</t>
        </is>
      </c>
      <c r="C16" s="4" t="inlineStr">
        <is>
          <t>make of</t>
        </is>
      </c>
      <c r="D16" s="11" t="inlineStr">
        <is>
          <t>해석하다/생각하다</t>
        </is>
      </c>
      <c r="E16" s="11" t="inlineStr">
        <is>
          <t>What do you make of this?</t>
        </is>
      </c>
      <c r="F16" s="11" t="inlineStr">
        <is>
          <t>이거 어떻게 생각해/어떻게 봐?</t>
        </is>
      </c>
      <c r="G16" s="5">
        <f>HYPERLINK("https://www.youtube.com/watch?v=0v7FzPh99QY", "영상 보기 ▶")</f>
        <v/>
      </c>
    </row>
    <row r="17" ht="26" customHeight="1">
      <c r="A17" s="6" t="n">
        <v>2316</v>
      </c>
      <c r="B17" s="7" t="inlineStr">
        <is>
          <t>실전회화/표현</t>
        </is>
      </c>
      <c r="C17" s="8" t="inlineStr">
        <is>
          <t>lay down (lie down)</t>
        </is>
      </c>
      <c r="D17" s="12" t="inlineStr">
        <is>
          <t>(편히 쉬기 위해) 잠시 눕다, 몸을 뉘다</t>
        </is>
      </c>
      <c r="E17" s="12" t="inlineStr">
        <is>
          <t>I'm just going to lay down for twenty minutes.</t>
        </is>
      </c>
      <c r="F17" s="12" t="inlineStr">
        <is>
          <t>나 피곤해서 20분만 잠시 편하게 누워 있을게.</t>
        </is>
      </c>
      <c r="G17" s="9">
        <f>HYPERLINK("https://www.youtube.com/watch?v=0v7FzPh99QY", "영상 보기 ▶")</f>
        <v/>
      </c>
    </row>
    <row r="18" ht="26" customHeight="1">
      <c r="A18" s="2" t="n">
        <v>2317</v>
      </c>
      <c r="B18" s="3" t="inlineStr">
        <is>
          <t>실전회화/표현</t>
        </is>
      </c>
      <c r="C18" s="4" t="inlineStr">
        <is>
          <t>lay down</t>
        </is>
      </c>
      <c r="D18" s="11" t="inlineStr">
        <is>
          <t>(규칙, 기준 등을 공식적으로) 정하다</t>
        </is>
      </c>
      <c r="E18" s="11" t="inlineStr">
        <is>
          <t>We should lay down some guidelines.</t>
        </is>
      </c>
      <c r="F18" s="11" t="inlineStr">
        <is>
          <t>가이드라인을 좀 정해놓는게 좋겠어.</t>
        </is>
      </c>
      <c r="G18" s="5">
        <f>HYPERLINK("https://www.youtube.com/watch?v=0v7FzPh99QY", "영상 보기 ▶")</f>
        <v/>
      </c>
    </row>
    <row r="19" ht="26" customHeight="1">
      <c r="A19" s="6" t="n">
        <v>2318</v>
      </c>
      <c r="B19" s="7" t="inlineStr">
        <is>
          <t>실전회화/표현</t>
        </is>
      </c>
      <c r="C19" s="8" t="inlineStr">
        <is>
          <t>lay into 사람</t>
        </is>
      </c>
      <c r="D19" s="12" t="inlineStr">
        <is>
          <t>~을 몰아붙이다/나무라다/비난하다</t>
        </is>
      </c>
      <c r="E19" s="12" t="inlineStr">
        <is>
          <t>He laid into me.</t>
        </is>
      </c>
      <c r="F19" s="12" t="inlineStr">
        <is>
          <t>날 엄청 몰아붙였어.</t>
        </is>
      </c>
      <c r="G19" s="9">
        <f>HYPERLINK("https://www.youtube.com/watch?v=0v7FzPh99QY", "영상 보기 ▶")</f>
        <v/>
      </c>
    </row>
    <row r="20" ht="26" customHeight="1">
      <c r="A20" s="2" t="n">
        <v>2319</v>
      </c>
      <c r="B20" s="3" t="inlineStr">
        <is>
          <t>실전회화/표현</t>
        </is>
      </c>
      <c r="C20" s="4" t="inlineStr">
        <is>
          <t>I couldn't care less.</t>
        </is>
      </c>
      <c r="D20" s="11" t="inlineStr">
        <is>
          <t>전혀 눈곱만큼도 신경 안 써 (완전 무관심)</t>
        </is>
      </c>
      <c r="E20" s="11" t="inlineStr">
        <is>
          <t>What competitors do? Honestly, I couldn't care less.</t>
        </is>
      </c>
      <c r="F20" s="11" t="inlineStr">
        <is>
          <t>경쟁사들이 무얼 하든 솔직히 난 눈곱만큼도 신경 안 써.</t>
        </is>
      </c>
      <c r="G20" s="5">
        <f>HYPERLINK("https://www.youtube.com/watch?v=0v7FzPh99QY", "영상 보기 ▶")</f>
        <v/>
      </c>
    </row>
    <row r="21" ht="26" customHeight="1">
      <c r="A21" s="6" t="n">
        <v>2320</v>
      </c>
      <c r="B21" s="7" t="inlineStr">
        <is>
          <t>실전회화/표현</t>
        </is>
      </c>
      <c r="C21" s="8" t="inlineStr">
        <is>
          <t>couldn't vs. could</t>
        </is>
      </c>
      <c r="D21" s="12" t="inlineStr">
        <is>
          <t>대표 표현</t>
        </is>
      </c>
      <c r="E21" s="12" t="inlineStr">
        <is>
          <t>Things couldn't be better.</t>
        </is>
      </c>
      <c r="F21" s="12" t="inlineStr">
        <is>
          <t>이보다 더 좋을 순 없어.</t>
        </is>
      </c>
      <c r="G21" s="9">
        <f>HYPERLINK("https://www.youtube.com/watch?v=0v7FzPh99QY", "영상 보기 ▶")</f>
        <v/>
      </c>
    </row>
    <row r="22" ht="26" customHeight="1">
      <c r="A22" s="2" t="n">
        <v>2321</v>
      </c>
      <c r="B22" s="3" t="inlineStr">
        <is>
          <t>실전회화/표현</t>
        </is>
      </c>
      <c r="C22" s="4" t="inlineStr">
        <is>
          <t>You're glowing.</t>
        </is>
      </c>
      <c r="D22" s="11" t="inlineStr">
        <is>
          <t>너한테 빛이나네/얼굴이 폈네!</t>
        </is>
      </c>
      <c r="E22" s="11" t="inlineStr">
        <is>
          <t>What's going on? You're glowing!</t>
        </is>
      </c>
      <c r="F22" s="11" t="inlineStr">
        <is>
          <t>요즘 좋은일 있어? 얼굴이 폈네!</t>
        </is>
      </c>
      <c r="G22" s="5">
        <f>HYPERLINK("https://www.youtube.com/watch?v=0v7FzPh99QY", "영상 보기 ▶")</f>
        <v/>
      </c>
    </row>
    <row r="23" ht="26" customHeight="1">
      <c r="A23" s="6" t="n">
        <v>2322</v>
      </c>
      <c r="B23" s="7" t="inlineStr">
        <is>
          <t>실전회화/표현</t>
        </is>
      </c>
      <c r="C23" s="8" t="inlineStr">
        <is>
          <t>make something of</t>
        </is>
      </c>
      <c r="D23" s="12" t="inlineStr">
        <is>
          <t>~를 가치/의미있게 만들다, 성공하다</t>
        </is>
      </c>
      <c r="E23" s="12" t="inlineStr">
        <is>
          <t>He made something of himself.</t>
        </is>
      </c>
      <c r="F23" s="12" t="inlineStr">
        <is>
          <t>걔 성공했어.</t>
        </is>
      </c>
      <c r="G23" s="9">
        <f>HYPERLINK("https://www.youtube.com/watch?v=0v7FzPh99QY", "영상 보기 ▶")</f>
        <v/>
      </c>
    </row>
    <row r="24" ht="26" customHeight="1">
      <c r="A24" s="2" t="n">
        <v>2323</v>
      </c>
      <c r="B24" s="3" t="inlineStr">
        <is>
          <t>실전회화/표현</t>
        </is>
      </c>
      <c r="C24" s="4" t="inlineStr">
        <is>
          <t>make the most of</t>
        </is>
      </c>
      <c r="D24" s="11" t="inlineStr">
        <is>
          <t>(아깝지 않게) 최대한 활용하다, 알차게 쓰다</t>
        </is>
      </c>
      <c r="E24" s="11" t="inlineStr">
        <is>
          <t>Make the most of your day.</t>
        </is>
      </c>
      <c r="F24" s="11" t="inlineStr">
        <is>
          <t>오늘 하루 알차게 보내.</t>
        </is>
      </c>
      <c r="G24" s="5">
        <f>HYPERLINK("https://www.youtube.com/watch?v=0v7FzPh99QY", "영상 보기 ▶")</f>
        <v/>
      </c>
    </row>
    <row r="25" ht="26" customHeight="1">
      <c r="A25" s="6" t="n">
        <v>2324</v>
      </c>
      <c r="B25" s="7" t="inlineStr">
        <is>
          <t>실전회화/표현</t>
        </is>
      </c>
      <c r="C25" s="8" t="inlineStr">
        <is>
          <t>laid-back</t>
        </is>
      </c>
      <c r="D25" s="12" t="inlineStr">
        <is>
          <t>느긋한 되게 편하고 여유로운</t>
        </is>
      </c>
      <c r="E25" s="12" t="inlineStr">
        <is>
          <t>I like how laid-back he is.</t>
        </is>
      </c>
      <c r="F25" s="12" t="inlineStr">
        <is>
          <t>느긋해서 마음에 들어.</t>
        </is>
      </c>
      <c r="G25" s="9">
        <f>HYPERLINK("https://www.youtube.com/watch?v=0v7FzPh99QY", "영상 보기 ▶")</f>
        <v/>
      </c>
    </row>
    <row r="26" ht="26" customHeight="1">
      <c r="A26" s="2" t="n">
        <v>2325</v>
      </c>
      <c r="B26" s="3" t="inlineStr">
        <is>
          <t>실전회화/표현</t>
        </is>
      </c>
      <c r="C26" s="4" t="inlineStr">
        <is>
          <t>I'm invested in this.</t>
        </is>
      </c>
      <c r="D26" s="11" t="inlineStr">
        <is>
          <t>나 이거에 진심이야/완전 몰입해있어.</t>
        </is>
      </c>
      <c r="E26" s="11" t="inlineStr">
        <is>
          <t>I'm invested in this project.</t>
        </is>
      </c>
      <c r="F26" s="11" t="inlineStr">
        <is>
          <t>이 프로젝트에 진심이야/완전 몰입해 있어.</t>
        </is>
      </c>
      <c r="G26" s="5">
        <f>HYPERLINK("https://www.youtube.com/watch?v=0v7FzPh99QY", "영상 보기 ▶")</f>
        <v/>
      </c>
    </row>
    <row r="27" ht="26" customHeight="1">
      <c r="A27" s="6" t="n">
        <v>2326</v>
      </c>
      <c r="B27" s="7" t="inlineStr">
        <is>
          <t>실전회화/표현</t>
        </is>
      </c>
      <c r="C27" s="8" t="inlineStr">
        <is>
          <t>be obsessed with</t>
        </is>
      </c>
      <c r="D27" s="12" t="inlineStr">
        <is>
          <t>~에 집착하다시피 좋아하다</t>
        </is>
      </c>
      <c r="E27" s="12" t="inlineStr">
        <is>
          <t>I'm obsessed with that show.</t>
        </is>
      </c>
      <c r="F27" s="12" t="inlineStr">
        <is>
          <t>나 그 쇼 진짜 엄청 좋아해.</t>
        </is>
      </c>
      <c r="G27" s="9">
        <f>HYPERLINK("https://www.youtube.com/watch?v=0v7FzPh99QY", "영상 보기 ▶")</f>
        <v/>
      </c>
    </row>
    <row r="28" ht="26" customHeight="1">
      <c r="A28" s="2" t="n">
        <v>2327</v>
      </c>
      <c r="B28" s="3" t="inlineStr">
        <is>
          <t>실전회화/표현</t>
        </is>
      </c>
      <c r="C28" s="4" t="inlineStr">
        <is>
          <t>get sidetracked</t>
        </is>
      </c>
      <c r="D28" s="11" t="inlineStr">
        <is>
          <t>딴길로 새다</t>
        </is>
      </c>
      <c r="E28" s="11" t="inlineStr">
        <is>
          <t>I think we're getting sidetracked. (</t>
        </is>
      </c>
      <c r="F28" s="11" t="inlineStr">
        <is>
          <t>대화 중 갑자기 딴얘기로 빠질 때) 지금 얘기가 좀 샌것 같아요.</t>
        </is>
      </c>
      <c r="G28" s="5">
        <f>HYPERLINK("https://www.youtube.com/watch?v=0v7FzPh99QY", "영상 보기 ▶")</f>
        <v/>
      </c>
    </row>
    <row r="29" ht="26" customHeight="1">
      <c r="A29" s="6" t="n">
        <v>2328</v>
      </c>
      <c r="B29" s="7" t="inlineStr">
        <is>
          <t>실전회화/표현</t>
        </is>
      </c>
      <c r="C29" s="8" t="inlineStr">
        <is>
          <t>go sideways</t>
        </is>
      </c>
      <c r="D29" s="12" t="inlineStr">
        <is>
          <t>계획이 틀어지다, 상황이 꼬이다</t>
        </is>
      </c>
      <c r="E29" s="12" t="inlineStr">
        <is>
          <t>It went sideways real fast.</t>
        </is>
      </c>
      <c r="F29" s="12" t="inlineStr">
        <is>
          <t>순식간에 상황이 꼬여버렸어.</t>
        </is>
      </c>
      <c r="G29" s="9">
        <f>HYPERLINK("https://www.youtube.com/watch?v=0v7FzPh99QY", "영상 보기 ▶")</f>
        <v/>
      </c>
    </row>
    <row r="30" ht="26" customHeight="1">
      <c r="A30" s="2" t="n">
        <v>2329</v>
      </c>
      <c r="B30" s="3" t="inlineStr">
        <is>
          <t>실전회화/표현</t>
        </is>
      </c>
      <c r="C30" s="4" t="inlineStr">
        <is>
          <t>It's a slim chance.</t>
        </is>
      </c>
      <c r="D30" s="11" t="inlineStr">
        <is>
          <t>가능성이 희박해.</t>
        </is>
      </c>
      <c r="E30" s="11" t="inlineStr">
        <is>
          <t>It's a slim chance.</t>
        </is>
      </c>
      <c r="F30" s="11" t="inlineStr">
        <is>
          <t>가능성이 희박해.</t>
        </is>
      </c>
      <c r="G30" s="5">
        <f>HYPERLINK("https://www.youtube.com/watch?v=0v7FzPh99QY", "영상 보기 ▶")</f>
        <v/>
      </c>
    </row>
    <row r="31" ht="26" customHeight="1">
      <c r="A31" s="6" t="n">
        <v>2330</v>
      </c>
      <c r="B31" s="7" t="inlineStr">
        <is>
          <t>실전회화/표현</t>
        </is>
      </c>
      <c r="C31" s="8" t="inlineStr">
        <is>
          <t>가능성이 거의 0일 때 fat chance</t>
        </is>
      </c>
      <c r="D31" s="12" t="inlineStr">
        <is>
          <t>어림도 없어, 그럴리가</t>
        </is>
      </c>
      <c r="E31" s="12" t="inlineStr">
        <is>
          <t>A: He might say yes. Yes</t>
        </is>
      </c>
      <c r="F31" s="12" t="inlineStr">
        <is>
          <t>라고 할지도 몰라.</t>
        </is>
      </c>
      <c r="G31" s="9">
        <f>HYPERLINK("https://www.youtube.com/watch?v=0v7FzPh99QY", "영상 보기 ▶")</f>
        <v/>
      </c>
    </row>
    <row r="32" ht="26" customHeight="1">
      <c r="A32" s="2" t="n">
        <v>2331</v>
      </c>
      <c r="B32" s="3" t="inlineStr">
        <is>
          <t>실전회화/표현</t>
        </is>
      </c>
      <c r="C32" s="4" t="inlineStr">
        <is>
          <t>show off</t>
        </is>
      </c>
      <c r="D32" s="11" t="inlineStr">
        <is>
          <t>자랑하다/잘난척하다/뽐내다</t>
        </is>
      </c>
      <c r="E32" s="11" t="inlineStr">
        <is>
          <t>You should show off your cooking skills.</t>
        </is>
      </c>
      <c r="F32" s="11" t="inlineStr">
        <is>
          <t>요리 실력 좀 뽐내봐/자랑해봐.</t>
        </is>
      </c>
      <c r="G32" s="5">
        <f>HYPERLINK("https://www.youtube.com/watch?v=0v7FzPh99QY", "영상 보기 ▶")</f>
        <v/>
      </c>
    </row>
    <row r="33" ht="26" customHeight="1">
      <c r="A33" s="6" t="n">
        <v>2332</v>
      </c>
      <c r="B33" s="7" t="inlineStr">
        <is>
          <t>실전회화/표현</t>
        </is>
      </c>
      <c r="C33" s="8" t="inlineStr">
        <is>
          <t>by a long shot</t>
        </is>
      </c>
      <c r="D33" s="12" t="inlineStr">
        <is>
          <t>(차이/격차가 큰거) 큰 차이로</t>
        </is>
      </c>
      <c r="E33" s="12" t="inlineStr">
        <is>
          <t>They won by a long shot.</t>
        </is>
      </c>
      <c r="F33" s="12" t="inlineStr">
        <is>
          <t>큰 차이로 이겼어.</t>
        </is>
      </c>
      <c r="G33" s="9">
        <f>HYPERLINK("https://www.youtube.com/watch?v=0v7FzPh99QY", "영상 보기 ▶")</f>
        <v/>
      </c>
    </row>
    <row r="34" ht="26" customHeight="1">
      <c r="A34" s="2" t="n">
        <v>2333</v>
      </c>
      <c r="B34" s="3" t="inlineStr">
        <is>
          <t>실전회화/표현</t>
        </is>
      </c>
      <c r="C34" s="4" t="inlineStr">
        <is>
          <t>Not by a long shot.</t>
        </is>
      </c>
      <c r="D34" s="11" t="inlineStr">
        <is>
          <t>전혀 아니야, 택도 없어</t>
        </is>
      </c>
      <c r="E34" s="11" t="inlineStr">
        <is>
          <t>A: Are you almost done?</t>
        </is>
      </c>
      <c r="F34" s="11" t="inlineStr">
        <is>
          <t>거의 다 됐어?</t>
        </is>
      </c>
      <c r="G34" s="5">
        <f>HYPERLINK("https://www.youtube.com/watch?v=0v7FzPh99QY", "영상 보기 ▶")</f>
        <v/>
      </c>
    </row>
    <row r="35" ht="26" customHeight="1">
      <c r="A35" s="6" t="n">
        <v>2334</v>
      </c>
      <c r="B35" s="7" t="inlineStr">
        <is>
          <t>실전회화/표현</t>
        </is>
      </c>
      <c r="C35" s="8" t="inlineStr">
        <is>
          <t>~suits you</t>
        </is>
      </c>
      <c r="D35" s="12" t="inlineStr">
        <is>
          <t>~가 잘 어울려/잘 맞아</t>
        </is>
      </c>
      <c r="E35" s="12" t="inlineStr">
        <is>
          <t>It suits your vibe.</t>
        </is>
      </c>
      <c r="F35" s="12" t="inlineStr">
        <is>
          <t>네 느낌/분위기랑 잘 어울려.</t>
        </is>
      </c>
      <c r="G35" s="9">
        <f>HYPERLINK("https://www.youtube.com/watch?v=0v7FzPh99QY", "영상 보기 ▶")</f>
        <v/>
      </c>
    </row>
    <row r="36" ht="26" customHeight="1">
      <c r="A36" s="2" t="n">
        <v>2335</v>
      </c>
      <c r="B36" s="3" t="inlineStr">
        <is>
          <t>실전회화/표현</t>
        </is>
      </c>
      <c r="C36" s="4" t="inlineStr">
        <is>
          <t>a couple / a couple of</t>
        </is>
      </c>
      <c r="D36" s="11" t="inlineStr">
        <is>
          <t>한 두번</t>
        </is>
      </c>
      <c r="E36" s="11" t="inlineStr">
        <is>
          <t>I've seen it a couple times.</t>
        </is>
      </c>
      <c r="F36" s="11" t="inlineStr">
        <is>
          <t>그거 한 두번 봤어.</t>
        </is>
      </c>
      <c r="G36" s="5">
        <f>HYPERLINK("https://www.youtube.com/watch?v=0v7FzPh99QY", "영상 보기 ▶")</f>
        <v/>
      </c>
    </row>
    <row r="37" ht="26" customHeight="1">
      <c r="A37" s="6" t="n">
        <v>2336</v>
      </c>
      <c r="B37" s="7" t="inlineStr">
        <is>
          <t>공감/감정</t>
        </is>
      </c>
      <c r="C37" s="8" t="inlineStr">
        <is>
          <t>It's perfectly normal to ~</t>
        </is>
      </c>
      <c r="D37" s="12" t="inlineStr">
        <is>
          <t>~하는 건 지극히 당연하고 정상이야 (공감과 위로)</t>
        </is>
      </c>
      <c r="E37" s="12" t="inlineStr">
        <is>
          <t>It's perfectly normal to feel nervous before a keynote.</t>
        </is>
      </c>
      <c r="F37" s="12" t="inlineStr">
        <is>
          <t>기조연설 발표를 앞두고 긴장되는 건 지극히 당연한 일이야.</t>
        </is>
      </c>
      <c r="G37" s="9">
        <f>HYPERLINK("https://www.youtube.com/watch?v=0v7FzPh99QY", "영상 보기 ▶")</f>
        <v/>
      </c>
    </row>
    <row r="38" ht="26" customHeight="1">
      <c r="A38" s="2" t="n">
        <v>2337</v>
      </c>
      <c r="B38" s="3" t="inlineStr">
        <is>
          <t>실전회화/표현</t>
        </is>
      </c>
      <c r="C38" s="4" t="inlineStr">
        <is>
          <t>show up</t>
        </is>
      </c>
      <c r="D38" s="11" t="inlineStr">
        <is>
          <t>나타나다 *오다</t>
        </is>
      </c>
      <c r="E38" s="11" t="inlineStr">
        <is>
          <t>Did he show up?</t>
        </is>
      </c>
      <c r="F38" s="11" t="inlineStr">
        <is>
          <t>걔 왔어?</t>
        </is>
      </c>
      <c r="G38" s="5">
        <f>HYPERLINK("https://www.youtube.com/watch?v=0v7FzPh99QY", "영상 보기 ▶")</f>
        <v/>
      </c>
    </row>
    <row r="39" ht="26" customHeight="1">
      <c r="A39" s="6" t="n">
        <v>2338</v>
      </c>
      <c r="B39" s="7" t="inlineStr">
        <is>
          <t>실전회화/표현</t>
        </is>
      </c>
      <c r="C39" s="8" t="inlineStr">
        <is>
          <t>show up for 사람</t>
        </is>
      </c>
      <c r="D39" s="12" t="inlineStr">
        <is>
          <t>~를 지지하다/힘이 돼주다</t>
        </is>
      </c>
      <c r="E39" s="12" t="inlineStr">
        <is>
          <t>He showed up for me.</t>
        </is>
      </c>
      <c r="F39" s="12" t="inlineStr">
        <is>
          <t>걔가 날 지지해줬어/내 편이 되어줬어.</t>
        </is>
      </c>
      <c r="G39" s="9">
        <f>HYPERLINK("https://www.youtube.com/watch?v=0v7FzPh99QY", "영상 보기 ▶")</f>
        <v/>
      </c>
    </row>
    <row r="40" ht="26" customHeight="1">
      <c r="A40" s="2" t="n">
        <v>2339</v>
      </c>
      <c r="B40" s="3" t="inlineStr">
        <is>
          <t>의견/의사결정</t>
        </is>
      </c>
      <c r="C40" s="4" t="inlineStr">
        <is>
          <t>owe</t>
        </is>
      </c>
      <c r="D40" s="11" t="inlineStr">
        <is>
          <t>빚지다, ~해야 한다고 생각한다</t>
        </is>
      </c>
      <c r="E40" s="11" t="inlineStr">
        <is>
          <t>I owe you one. (</t>
        </is>
      </c>
      <c r="F40" s="11" t="inlineStr">
        <is>
          <t>도움 받고) 네게 빚졌네/나중에 꼭 갚을게.</t>
        </is>
      </c>
      <c r="G40" s="5">
        <f>HYPERLINK("https://www.youtube.com/watch?v=0v7FzPh99QY", "영상 보기 ▶")</f>
        <v/>
      </c>
    </row>
    <row r="41" ht="26" customHeight="1">
      <c r="A41" s="6" t="n">
        <v>2340</v>
      </c>
      <c r="B41" s="7" t="inlineStr">
        <is>
          <t>비즈니스/업무</t>
        </is>
      </c>
      <c r="C41" s="8" t="inlineStr">
        <is>
          <t>Where should we start?</t>
        </is>
      </c>
      <c r="D41" s="12" t="inlineStr">
        <is>
          <t>(회의나 논의를 시작하며) 뭐부터 먼저 이야기해 볼까요?</t>
        </is>
      </c>
      <c r="E41" s="12" t="inlineStr">
        <is>
          <t>Welcome everyone. Where should we start on today's agenda?</t>
        </is>
      </c>
      <c r="F41" s="12" t="inlineStr">
        <is>
          <t>모두 환영합니다. 오늘의 안건 중 뭐부터 먼저 논의해 볼까요?</t>
        </is>
      </c>
      <c r="G41" s="9">
        <f>HYPERLINK("https://www.youtube.com/watch?v=0v7FzPh99QY", "영상 보기 ▶")</f>
        <v/>
      </c>
    </row>
    <row r="42" ht="26" customHeight="1">
      <c r="A42" s="2" t="n">
        <v>2341</v>
      </c>
      <c r="B42" s="3" t="inlineStr">
        <is>
          <t>실전회화/표현</t>
        </is>
      </c>
      <c r="C42" s="4" t="inlineStr">
        <is>
          <t>dive in</t>
        </is>
      </c>
      <c r="D42" s="11" t="inlineStr">
        <is>
          <t>본격적으로 착수하다</t>
        </is>
      </c>
      <c r="E42" s="11" t="inlineStr">
        <is>
          <t>Let's dive right in.</t>
        </is>
      </c>
      <c r="F42" s="11" t="inlineStr">
        <is>
          <t>바로 시작하죠.</t>
        </is>
      </c>
      <c r="G42" s="5">
        <f>HYPERLINK("https://www.youtube.com/watch?v=0v7FzPh99QY", "영상 보기 ▶")</f>
        <v/>
      </c>
    </row>
    <row r="43" ht="26" customHeight="1">
      <c r="A43" s="6" t="n">
        <v>2342</v>
      </c>
      <c r="B43" s="7" t="inlineStr">
        <is>
          <t>의견/의사결정</t>
        </is>
      </c>
      <c r="C43" s="8" t="inlineStr">
        <is>
          <t>sit with</t>
        </is>
      </c>
      <c r="D43" s="12" t="inlineStr">
        <is>
          <t>(있는 그대로 받아들이며) 곰곰이 생각해보다</t>
        </is>
      </c>
      <c r="E43" s="12" t="inlineStr">
        <is>
          <t>Don't do anything rash. Let it sit with you.</t>
        </is>
      </c>
      <c r="F43" s="12" t="inlineStr">
        <is>
          <t>섣불리 행동하지 말고 충분히 생각해봐.</t>
        </is>
      </c>
      <c r="G43" s="9">
        <f>HYPERLINK("https://www.youtube.com/watch?v=0v7FzPh99QY", "영상 보기 ▶")</f>
        <v/>
      </c>
    </row>
    <row r="44" ht="26" customHeight="1">
      <c r="A44" s="2" t="n">
        <v>2343</v>
      </c>
      <c r="B44" s="3" t="inlineStr">
        <is>
          <t>실전회화/표현</t>
        </is>
      </c>
      <c r="C44" s="4" t="inlineStr">
        <is>
          <t>It doesn't sit well with me.</t>
        </is>
      </c>
      <c r="D44" s="11" t="inlineStr">
        <is>
          <t>그건 받아들이기 힘들어/납득이 안돼/불편해.</t>
        </is>
      </c>
      <c r="E44" s="11" t="inlineStr">
        <is>
          <t>It doesn't sit well with me.</t>
        </is>
      </c>
      <c r="F44" s="11" t="inlineStr">
        <is>
          <t>그건 받아들이기 힘들어/납득이 안돼/불편해.</t>
        </is>
      </c>
      <c r="G44" s="5">
        <f>HYPERLINK("https://www.youtube.com/watch?v=0v7FzPh99QY", "영상 보기 ▶")</f>
        <v/>
      </c>
    </row>
    <row r="45" ht="26" customHeight="1">
      <c r="A45" s="6" t="n">
        <v>2344</v>
      </c>
      <c r="B45" s="7" t="inlineStr">
        <is>
          <t>실전회화/표현</t>
        </is>
      </c>
      <c r="C45" s="8" t="inlineStr">
        <is>
          <t>clarify</t>
        </is>
      </c>
      <c r="D45" s="12" t="inlineStr">
        <is>
          <t>명확하게/분명히 하다</t>
        </is>
      </c>
      <c r="E45" s="12" t="inlineStr">
        <is>
          <t>Could you clarify that?</t>
        </is>
      </c>
      <c r="F45" s="12" t="inlineStr">
        <is>
          <t>그 부분 좀 더 명확히 설명해줄 수 있어?</t>
        </is>
      </c>
      <c r="G45" s="9">
        <f>HYPERLINK("https://www.youtube.com/watch?v=0v7FzPh99QY", "영상 보기 ▶")</f>
        <v/>
      </c>
    </row>
    <row r="46" ht="26" customHeight="1">
      <c r="A46" s="2" t="n">
        <v>2345</v>
      </c>
      <c r="B46" s="3" t="inlineStr">
        <is>
          <t>실전회화/표현</t>
        </is>
      </c>
      <c r="C46" s="4" t="inlineStr">
        <is>
          <t>walk through</t>
        </is>
      </c>
      <c r="D46" s="11" t="inlineStr">
        <is>
          <t>하나하나/차근차근 설명하다</t>
        </is>
      </c>
      <c r="E46" s="11" t="inlineStr">
        <is>
          <t>Could you walk me through what happened? (</t>
        </is>
      </c>
      <c r="F46" s="11" t="inlineStr">
        <is>
          <t>복잡한 절차/과정를 손을 잡고 걸어가듯) 어떻게 된건지 차근차근 설명해 줄 수 있어?</t>
        </is>
      </c>
      <c r="G46" s="5">
        <f>HYPERLINK("https://www.youtube.com/watch?v=0v7FzPh99QY", "영상 보기 ▶")</f>
        <v/>
      </c>
    </row>
    <row r="47" ht="26" customHeight="1">
      <c r="A47" s="6" t="n">
        <v>2346</v>
      </c>
      <c r="B47" s="7" t="inlineStr">
        <is>
          <t>실전회화/표현</t>
        </is>
      </c>
      <c r="C47" s="8" t="inlineStr">
        <is>
          <t>elaborate</t>
        </is>
      </c>
      <c r="D47" s="12" t="inlineStr">
        <is>
          <t>더 자세히 말하다</t>
        </is>
      </c>
      <c r="E47" s="12" t="inlineStr">
        <is>
          <t>Could you elaborate on that?</t>
        </is>
      </c>
      <c r="F47" s="12" t="inlineStr">
        <is>
          <t>부연설명/더 자세히 말해줄 수 있어?</t>
        </is>
      </c>
      <c r="G47" s="9">
        <f>HYPERLINK("https://www.youtube.com/watch?v=0v7FzPh99QY", "영상 보기 ▶")</f>
        <v/>
      </c>
    </row>
    <row r="48" ht="26" customHeight="1">
      <c r="A48" s="2" t="n">
        <v>2347</v>
      </c>
      <c r="B48" s="3" t="inlineStr">
        <is>
          <t>실전회화/표현</t>
        </is>
      </c>
      <c r="C48" s="4" t="inlineStr">
        <is>
          <t>remarkable</t>
        </is>
      </c>
      <c r="D48" s="11" t="inlineStr">
        <is>
          <t>정말 놀라운/대단한</t>
        </is>
      </c>
      <c r="E48" s="11" t="inlineStr">
        <is>
          <t>It's remarkable.</t>
        </is>
      </c>
      <c r="F48" s="11" t="inlineStr">
        <is>
          <t>정말 놀라워/대단해.</t>
        </is>
      </c>
      <c r="G48" s="5">
        <f>HYPERLINK("https://www.youtube.com/watch?v=0v7FzPh99QY", "영상 보기 ▶")</f>
        <v/>
      </c>
    </row>
    <row r="49" ht="26" customHeight="1">
      <c r="A49" s="6" t="n">
        <v>2348</v>
      </c>
      <c r="B49" s="7" t="inlineStr">
        <is>
          <t>실전회화/표현</t>
        </is>
      </c>
      <c r="C49" s="8" t="inlineStr">
        <is>
          <t>thrilled</t>
        </is>
      </c>
      <c r="D49" s="12" t="inlineStr">
        <is>
          <t>정말 신나는/기쁜</t>
        </is>
      </c>
      <c r="E49" s="12" t="inlineStr">
        <is>
          <t>I'm thrilled for you.</t>
        </is>
      </c>
      <c r="F49" s="12" t="inlineStr">
        <is>
          <t>정말 잘됐다.</t>
        </is>
      </c>
      <c r="G49" s="9">
        <f>HYPERLINK("https://www.youtube.com/watch?v=0v7FzPh99QY", "영상 보기 ▶")</f>
        <v/>
      </c>
    </row>
    <row r="50" ht="26" customHeight="1">
      <c r="A50" s="2" t="n">
        <v>2349</v>
      </c>
      <c r="B50" s="3" t="inlineStr">
        <is>
          <t>실전회화/표현</t>
        </is>
      </c>
      <c r="C50" s="4" t="inlineStr">
        <is>
          <t>touch base</t>
        </is>
      </c>
      <c r="D50" s="11" t="inlineStr">
        <is>
          <t>(가볍게) 다시 연락/얘기하다</t>
        </is>
      </c>
      <c r="E50" s="11" t="inlineStr">
        <is>
          <t>Let's touch base next week.</t>
        </is>
      </c>
      <c r="F50" s="11" t="inlineStr">
        <is>
          <t>다음주에 다시 연락/얘기하자.</t>
        </is>
      </c>
      <c r="G50" s="5">
        <f>HYPERLINK("https://www.youtube.com/watch?v=0v7FzPh99QY", "영상 보기 ▶")</f>
        <v/>
      </c>
    </row>
    <row r="51" ht="26" customHeight="1">
      <c r="A51" s="6" t="n">
        <v>2350</v>
      </c>
      <c r="B51" s="7" t="inlineStr">
        <is>
          <t>실전회화/표현</t>
        </is>
      </c>
      <c r="C51" s="8" t="inlineStr">
        <is>
          <t>I can't get over~ ~</t>
        </is>
      </c>
      <c r="D51" s="12" t="inlineStr">
        <is>
          <t>를 잊지 못하다/믿기지 않다/놀랍다</t>
        </is>
      </c>
      <c r="E51" s="12" t="inlineStr">
        <is>
          <t>I can't get over the design. 1)</t>
        </is>
      </c>
      <c r="F51" s="12" t="inlineStr">
        <is>
          <t>디자인이 너무 멋져서 계속 생각나 2) 디자인이 너무 이상해서 계속 생각</t>
        </is>
      </c>
      <c r="G51" s="9">
        <f>HYPERLINK("https://www.youtube.com/watch?v=0v7FzPh99QY", "영상 보기 ▶")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9" customWidth="1" min="3" max="3"/>
    <col width="48" customWidth="1" min="4" max="4"/>
    <col width="56" customWidth="1" min="5" max="5"/>
    <col width="60.1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2351</v>
      </c>
      <c r="B2" s="3" t="inlineStr">
        <is>
          <t>실전회화/표현</t>
        </is>
      </c>
      <c r="C2" s="4" t="inlineStr">
        <is>
          <t>Fair enough.</t>
        </is>
      </c>
      <c r="D2" s="11" t="inlineStr">
        <is>
          <t>그럴만하네/알겠어/인정</t>
        </is>
      </c>
      <c r="E2" s="11" t="inlineStr">
        <is>
          <t>A: That's why we need to raise the price.</t>
        </is>
      </c>
      <c r="F2" s="11" t="inlineStr">
        <is>
          <t>그래서 가격을 올려야 돼요.</t>
        </is>
      </c>
      <c r="G2" s="5">
        <f>HYPERLINK("https://www.youtube.com/watch?v=ju8QXhDzKms", "영상 보기 ▶")</f>
        <v/>
      </c>
    </row>
    <row r="3" ht="26" customHeight="1">
      <c r="A3" s="6" t="n">
        <v>2352</v>
      </c>
      <c r="B3" s="7" t="inlineStr">
        <is>
          <t>공감/감정</t>
        </is>
      </c>
      <c r="C3" s="8" t="inlineStr">
        <is>
          <t>resonate with</t>
        </is>
      </c>
      <c r="D3" s="12" t="inlineStr">
        <is>
          <t>~에게 깊이 와닿다/공감되다</t>
        </is>
      </c>
      <c r="E3" s="12" t="inlineStr">
        <is>
          <t>That really resonated with me.</t>
        </is>
      </c>
      <c r="F3" s="12" t="inlineStr">
        <is>
          <t>그 부분이 정말 와닿았어/공감됐어.</t>
        </is>
      </c>
      <c r="G3" s="9">
        <f>HYPERLINK("https://www.youtube.com/watch?v=ju8QXhDzKms", "영상 보기 ▶")</f>
        <v/>
      </c>
    </row>
    <row r="4" ht="26" customHeight="1">
      <c r="A4" s="2" t="n">
        <v>2353</v>
      </c>
      <c r="B4" s="3" t="inlineStr">
        <is>
          <t>실전회화/표현</t>
        </is>
      </c>
      <c r="C4" s="4" t="inlineStr">
        <is>
          <t>hit home</t>
        </is>
      </c>
      <c r="D4" s="11" t="inlineStr">
        <is>
          <t>크게 와닿다/(현실로 확) 느껴지다</t>
        </is>
      </c>
      <c r="E4" s="11" t="inlineStr">
        <is>
          <t>Her story really hit home.</t>
        </is>
      </c>
      <c r="F4" s="11" t="inlineStr">
        <is>
          <t>그녀의 얘기가 완전 와닿았어.</t>
        </is>
      </c>
      <c r="G4" s="5">
        <f>HYPERLINK("https://www.youtube.com/watch?v=ju8QXhDzKms", "영상 보기 ▶")</f>
        <v/>
      </c>
    </row>
    <row r="5" ht="26" customHeight="1">
      <c r="A5" s="6" t="n">
        <v>2354</v>
      </c>
      <c r="B5" s="7" t="inlineStr">
        <is>
          <t>실전회화/표현</t>
        </is>
      </c>
      <c r="C5" s="8" t="inlineStr">
        <is>
          <t>make do</t>
        </is>
      </c>
      <c r="D5" s="12" t="inlineStr">
        <is>
          <t>(있는걸로) 어떻게든 버티다/해결하다</t>
        </is>
      </c>
      <c r="E5" s="12" t="inlineStr">
        <is>
          <t>We'll make do.</t>
        </is>
      </c>
      <c r="F5" s="12" t="inlineStr">
        <is>
          <t>어쩔 수 없지만 이걸로 해결해보자/있는걸로 어떻게든 해보자</t>
        </is>
      </c>
      <c r="G5" s="9">
        <f>HYPERLINK("https://www.youtube.com/watch?v=ju8QXhDzKms", "영상 보기 ▶")</f>
        <v/>
      </c>
    </row>
    <row r="6" ht="26" customHeight="1">
      <c r="A6" s="2" t="n">
        <v>2355</v>
      </c>
      <c r="B6" s="3" t="inlineStr">
        <is>
          <t>실전회화/표현</t>
        </is>
      </c>
      <c r="C6" s="4" t="inlineStr">
        <is>
          <t>I figured.</t>
        </is>
      </c>
      <c r="D6" s="11" t="inlineStr">
        <is>
          <t>난 그럴 줄 알았어/내 예상대로네</t>
        </is>
      </c>
      <c r="E6" s="11" t="inlineStr">
        <is>
          <t>I figured.</t>
        </is>
      </c>
      <c r="F6" s="11" t="inlineStr">
        <is>
          <t>난 그럴 줄 알았어/내 예상대로네</t>
        </is>
      </c>
      <c r="G6" s="5">
        <f>HYPERLINK("https://www.youtube.com/watch?v=ju8QXhDzKms", "영상 보기 ▶")</f>
        <v/>
      </c>
    </row>
    <row r="7" ht="26" customHeight="1">
      <c r="A7" s="6" t="n">
        <v>2356</v>
      </c>
      <c r="B7" s="7" t="inlineStr">
        <is>
          <t>실전회화/표현</t>
        </is>
      </c>
      <c r="C7" s="8" t="inlineStr">
        <is>
          <t>That figures.</t>
        </is>
      </c>
      <c r="D7" s="12" t="inlineStr">
        <is>
          <t>역시 그렇지/말 되네/그럴만해</t>
        </is>
      </c>
      <c r="E7" s="12" t="inlineStr">
        <is>
          <t>That figures.</t>
        </is>
      </c>
      <c r="F7" s="12" t="inlineStr">
        <is>
          <t>역시 그렇지/말 되네/그럴만해</t>
        </is>
      </c>
      <c r="G7" s="9">
        <f>HYPERLINK("https://www.youtube.com/watch?v=ju8QXhDzKms", "영상 보기 ▶")</f>
        <v/>
      </c>
    </row>
    <row r="8" ht="26" customHeight="1">
      <c r="A8" s="2" t="n">
        <v>2357</v>
      </c>
      <c r="B8" s="3" t="inlineStr">
        <is>
          <t>공감/감정</t>
        </is>
      </c>
      <c r="C8" s="4" t="inlineStr">
        <is>
          <t>Go figure. (</t>
        </is>
      </c>
      <c r="D8" s="11" t="inlineStr">
        <is>
          <t>놀람 / 아이러니 / 비꼼) 이해가 안돼, 기가 막히네, 어이가 없네.</t>
        </is>
      </c>
      <c r="E8" s="11" t="inlineStr">
        <is>
          <t>Go figure. (</t>
        </is>
      </c>
      <c r="F8" s="11" t="inlineStr">
        <is>
          <t>놀람 / 아이러니 / 비꼼) 이해가 안돼, 기가 막히네, 어이가 없네.</t>
        </is>
      </c>
      <c r="G8" s="5">
        <f>HYPERLINK("https://www.youtube.com/watch?v=ju8QXhDzKms", "영상 보기 ▶")</f>
        <v/>
      </c>
    </row>
    <row r="9" ht="26" customHeight="1">
      <c r="A9" s="6" t="n">
        <v>2358</v>
      </c>
      <c r="B9" s="7" t="inlineStr">
        <is>
          <t>실전회화/표현</t>
        </is>
      </c>
      <c r="C9" s="8" t="inlineStr">
        <is>
          <t>hit the spot</t>
        </is>
      </c>
      <c r="D9" s="12" t="inlineStr">
        <is>
          <t>딱 좋다/바로 그거지</t>
        </is>
      </c>
      <c r="E9" s="12" t="inlineStr">
        <is>
          <t>This coffee hits the spot. (</t>
        </is>
      </c>
      <c r="F9" s="12" t="inlineStr">
        <is>
          <t>갈증 해소/카페인, 당 충전) 커피 진짜 딱 좋다.</t>
        </is>
      </c>
      <c r="G9" s="9">
        <f>HYPERLINK("https://www.youtube.com/watch?v=ju8QXhDzKms", "영상 보기 ▶")</f>
        <v/>
      </c>
    </row>
    <row r="10" ht="26" customHeight="1">
      <c r="A10" s="2" t="n">
        <v>2359</v>
      </c>
      <c r="B10" s="3" t="inlineStr">
        <is>
          <t>실전회화/표현</t>
        </is>
      </c>
      <c r="C10" s="4" t="inlineStr">
        <is>
          <t>Tomato, Tomahto.</t>
        </is>
      </c>
      <c r="D10" s="11" t="inlineStr">
        <is>
          <t>뭐, 그게 그거지.</t>
        </is>
      </c>
      <c r="E10" s="11" t="inlineStr">
        <is>
          <t>Tomato, Tomahto. It's basically the same thing.</t>
        </is>
      </c>
      <c r="F10" s="11" t="inlineStr">
        <is>
          <t>뭐, 그거나 저거나. 거의 같은거나 마찬가지야.</t>
        </is>
      </c>
      <c r="G10" s="5">
        <f>HYPERLINK("https://www.youtube.com/watch?v=ju8QXhDzKms", "영상 보기 ▶")</f>
        <v/>
      </c>
    </row>
    <row r="11" ht="26" customHeight="1">
      <c r="A11" s="6" t="n">
        <v>2360</v>
      </c>
      <c r="B11" s="7" t="inlineStr">
        <is>
          <t>실전회화/표현</t>
        </is>
      </c>
      <c r="C11" s="8" t="inlineStr">
        <is>
          <t>I'll leave you to it.</t>
        </is>
      </c>
      <c r="D11" s="12" t="inlineStr">
        <is>
          <t>그럼 계속 일 봐/방해 안할게/난 이만 가볼게</t>
        </is>
      </c>
      <c r="E11" s="12" t="inlineStr">
        <is>
          <t>You look busy, so I'll leave you to it.</t>
        </is>
      </c>
      <c r="F11" s="12" t="inlineStr">
        <is>
          <t>바빠 보이는데 그럼 난 이만 가볼게</t>
        </is>
      </c>
      <c r="G11" s="9">
        <f>HYPERLINK("https://www.youtube.com/watch?v=ju8QXhDzKms", "영상 보기 ▶")</f>
        <v/>
      </c>
    </row>
    <row r="12" ht="26" customHeight="1">
      <c r="A12" s="2" t="n">
        <v>2361</v>
      </c>
      <c r="B12" s="3" t="inlineStr">
        <is>
          <t>실전회화/표현</t>
        </is>
      </c>
      <c r="C12" s="4" t="inlineStr">
        <is>
          <t>I'll leave it to you. (</t>
        </is>
      </c>
      <c r="D12" s="11" t="inlineStr">
        <is>
          <t>일/권한/책임 토스) 네게 맡길게/네 판단대로 해/알아서 처리해줘</t>
        </is>
      </c>
      <c r="E12" s="11" t="inlineStr">
        <is>
          <t>A: Which one should we go with?</t>
        </is>
      </c>
      <c r="F12" s="11" t="inlineStr">
        <is>
          <t>어떤걸로 하는게 좋을까?</t>
        </is>
      </c>
      <c r="G12" s="5">
        <f>HYPERLINK("https://www.youtube.com/watch?v=ju8QXhDzKms", "영상 보기 ▶")</f>
        <v/>
      </c>
    </row>
    <row r="13" ht="26" customHeight="1">
      <c r="A13" s="6" t="n">
        <v>2362</v>
      </c>
      <c r="B13" s="7" t="inlineStr">
        <is>
          <t>전화 영어</t>
        </is>
      </c>
      <c r="C13" s="8" t="inlineStr">
        <is>
          <t>hit on</t>
        </is>
      </c>
      <c r="D13" s="12" t="inlineStr">
        <is>
          <t>작업걸다</t>
        </is>
      </c>
      <c r="E13" s="12" t="inlineStr">
        <is>
          <t>Are you hitting on me?</t>
        </is>
      </c>
      <c r="F13" s="12" t="inlineStr">
        <is>
          <t>너 지금 나한테 작업거는거야?</t>
        </is>
      </c>
      <c r="G13" s="9">
        <f>HYPERLINK("https://www.youtube.com/watch?v=ju8QXhDzKms", "영상 보기 ▶")</f>
        <v/>
      </c>
    </row>
    <row r="14" ht="26" customHeight="1">
      <c r="A14" s="2" t="n">
        <v>2363</v>
      </c>
      <c r="B14" s="3" t="inlineStr">
        <is>
          <t>실전회화/표현</t>
        </is>
      </c>
      <c r="C14" s="4" t="inlineStr">
        <is>
          <t>promising</t>
        </is>
      </c>
      <c r="D14" s="11" t="inlineStr">
        <is>
          <t>유망한/촉망되는/조짐이 좋은</t>
        </is>
      </c>
      <c r="E14" s="11" t="inlineStr">
        <is>
          <t>That's a promising field.</t>
        </is>
      </c>
      <c r="F14" s="11" t="inlineStr">
        <is>
          <t>전망이 좋은 분야야.</t>
        </is>
      </c>
      <c r="G14" s="5">
        <f>HYPERLINK("https://www.youtube.com/watch?v=ju8QXhDzKms", "영상 보기 ▶")</f>
        <v/>
      </c>
    </row>
    <row r="15" ht="26" customHeight="1">
      <c r="A15" s="6" t="n">
        <v>2364</v>
      </c>
      <c r="B15" s="7" t="inlineStr">
        <is>
          <t>실전회화/표현</t>
        </is>
      </c>
      <c r="C15" s="8" t="inlineStr">
        <is>
          <t>You wish.</t>
        </is>
      </c>
      <c r="D15" s="12" t="inlineStr">
        <is>
          <t>꿈깨, 어림도 없어, 그럴리가 (네 희망사항일뿐)</t>
        </is>
      </c>
      <c r="E15" s="12" t="inlineStr">
        <is>
          <t>A: I'm gonna beat you this time.</t>
        </is>
      </c>
      <c r="F15" s="12" t="inlineStr">
        <is>
          <t>이번엔 내가 너 이길거야.</t>
        </is>
      </c>
      <c r="G15" s="9">
        <f>HYPERLINK("https://www.youtube.com/watch?v=ju8QXhDzKms", "영상 보기 ▶")</f>
        <v/>
      </c>
    </row>
    <row r="16" ht="26" customHeight="1">
      <c r="A16" s="2" t="n">
        <v>2365</v>
      </c>
      <c r="B16" s="3" t="inlineStr">
        <is>
          <t>실전회화/표현</t>
        </is>
      </c>
      <c r="C16" s="4" t="inlineStr">
        <is>
          <t>I wish.</t>
        </is>
      </c>
      <c r="D16" s="11" t="inlineStr">
        <is>
          <t>그럼 좋겠지만 그럴리가/나도 그러고싶다</t>
        </is>
      </c>
      <c r="E16" s="11" t="inlineStr">
        <is>
          <t>A: Do you get off at 6 today?</t>
        </is>
      </c>
      <c r="F16" s="11" t="inlineStr">
        <is>
          <t>오늘 6시에 퇴근해?</t>
        </is>
      </c>
      <c r="G16" s="5">
        <f>HYPERLINK("https://www.youtube.com/watch?v=ju8QXhDzKms", "영상 보기 ▶")</f>
        <v/>
      </c>
    </row>
    <row r="17" ht="26" customHeight="1">
      <c r="A17" s="6" t="n">
        <v>2366</v>
      </c>
      <c r="B17" s="7" t="inlineStr">
        <is>
          <t>실전회화/표현</t>
        </is>
      </c>
      <c r="C17" s="8" t="inlineStr">
        <is>
          <t>That's rich! (</t>
        </is>
      </c>
      <c r="D17" s="12" t="inlineStr">
        <is>
          <t>위선, 모순, 뻔뻔함) 진짜 웃기네/어이가 없네</t>
        </is>
      </c>
      <c r="E17" s="12" t="inlineStr">
        <is>
          <t>That's rich coming from her. (</t>
        </is>
      </c>
      <c r="F17" s="12" t="inlineStr">
        <is>
          <t>다른 사람도 아니고) 걔가 그런 말을 하다니 어이가 없다.</t>
        </is>
      </c>
      <c r="G17" s="9">
        <f>HYPERLINK("https://www.youtube.com/watch?v=ju8QXhDzKms", "영상 보기 ▶")</f>
        <v/>
      </c>
    </row>
    <row r="18" ht="26" customHeight="1">
      <c r="A18" s="2" t="n">
        <v>2367</v>
      </c>
      <c r="B18" s="3" t="inlineStr">
        <is>
          <t>실전회화/표현</t>
        </is>
      </c>
      <c r="C18" s="4" t="inlineStr">
        <is>
          <t>I'm on it. 1) 아직 하기 전</t>
        </is>
      </c>
      <c r="D18" s="11" t="inlineStr">
        <is>
          <t>"바로 할게요" 2) 이미 하고 있을 때: "지금 하고 있어/처리 중이야"</t>
        </is>
      </c>
      <c r="E18" s="11" t="inlineStr">
        <is>
          <t>I'm on it. 1) 아직 하기 전</t>
        </is>
      </c>
      <c r="F18" s="11" t="inlineStr">
        <is>
          <t>"바로 할게요" 2) 이미 하고 있을 때: "지금 하고 있어/처리 중이야"</t>
        </is>
      </c>
      <c r="G18" s="5">
        <f>HYPERLINK("https://www.youtube.com/watch?v=ju8QXhDzKms", "영상 보기 ▶")</f>
        <v/>
      </c>
    </row>
    <row r="19" ht="26" customHeight="1">
      <c r="A19" s="6" t="n">
        <v>2368</v>
      </c>
      <c r="B19" s="7" t="inlineStr">
        <is>
          <t>의견/의사결정</t>
        </is>
      </c>
      <c r="C19" s="8" t="inlineStr">
        <is>
          <t>It hit me (that)</t>
        </is>
      </c>
      <c r="D19" s="12" t="inlineStr">
        <is>
          <t>~란 생각이 들었어/~란걸 깨달았어</t>
        </is>
      </c>
      <c r="E19" s="12" t="inlineStr">
        <is>
          <t>It hit me that I need to exercise.</t>
        </is>
      </c>
      <c r="F19" s="12" t="inlineStr">
        <is>
          <t>운동해야겠다는 생각이 들더라고.</t>
        </is>
      </c>
      <c r="G19" s="9">
        <f>HYPERLINK("https://www.youtube.com/watch?v=ju8QXhDzKms", "영상 보기 ▶")</f>
        <v/>
      </c>
    </row>
    <row r="20" ht="26" customHeight="1">
      <c r="A20" s="2" t="n">
        <v>2369</v>
      </c>
      <c r="B20" s="3" t="inlineStr">
        <is>
          <t>실전회화/표현</t>
        </is>
      </c>
      <c r="C20" s="4" t="inlineStr">
        <is>
          <t>count on</t>
        </is>
      </c>
      <c r="D20" s="11" t="inlineStr">
        <is>
          <t>기대하다/믿다/의지하다</t>
        </is>
      </c>
      <c r="E20" s="11" t="inlineStr">
        <is>
          <t>I'm counting on you. (</t>
        </is>
      </c>
      <c r="F20" s="11" t="inlineStr">
        <is>
          <t>네가 잘 해줄거라) 믿고 있어/기대하고 있어/(의역) 그럼, 부탁해</t>
        </is>
      </c>
      <c r="G20" s="5">
        <f>HYPERLINK("https://www.youtube.com/watch?v=ju8QXhDzKms", "영상 보기 ▶")</f>
        <v/>
      </c>
    </row>
    <row r="21" ht="26" customHeight="1">
      <c r="A21" s="6" t="n">
        <v>2370</v>
      </c>
      <c r="B21" s="7" t="inlineStr">
        <is>
          <t>실전회화/표현</t>
        </is>
      </c>
      <c r="C21" s="8" t="inlineStr">
        <is>
          <t>Suit yourself.</t>
        </is>
      </c>
      <c r="D21" s="12" t="inlineStr">
        <is>
          <t>네 맘대로 해/너가 그렇다면야</t>
        </is>
      </c>
      <c r="E21" s="12" t="inlineStr">
        <is>
          <t>A: I'm not gonna go.</t>
        </is>
      </c>
      <c r="F21" s="12" t="inlineStr">
        <is>
          <t>난 안갈래.</t>
        </is>
      </c>
      <c r="G21" s="9">
        <f>HYPERLINK("https://www.youtube.com/watch?v=ju8QXhDzKms", "영상 보기 ▶")</f>
        <v/>
      </c>
    </row>
    <row r="22" ht="26" customHeight="1">
      <c r="A22" s="2" t="n">
        <v>2371</v>
      </c>
      <c r="B22" s="3" t="inlineStr">
        <is>
          <t>실전회화/표현</t>
        </is>
      </c>
      <c r="C22" s="4" t="inlineStr">
        <is>
          <t>buy</t>
        </is>
      </c>
      <c r="D22" s="11" t="inlineStr">
        <is>
          <t>(어떤 말이 사실이라고) 믿다</t>
        </is>
      </c>
      <c r="E22" s="11" t="inlineStr">
        <is>
          <t>I'm not buying it. (</t>
        </is>
      </c>
      <c r="F22" s="11" t="inlineStr">
        <is>
          <t>수상할 때) 그말 안 믿어/납득이 안돼</t>
        </is>
      </c>
      <c r="G22" s="5">
        <f>HYPERLINK("https://www.youtube.com/watch?v=ju8QXhDzKms", "영상 보기 ▶")</f>
        <v/>
      </c>
    </row>
    <row r="23" ht="26" customHeight="1">
      <c r="A23" s="6" t="n">
        <v>2372</v>
      </c>
      <c r="B23" s="7" t="inlineStr">
        <is>
          <t>실전회화/표현</t>
        </is>
      </c>
      <c r="C23" s="8" t="inlineStr">
        <is>
          <t>I'll pass.</t>
        </is>
      </c>
      <c r="D23" s="12" t="inlineStr">
        <is>
          <t>난 이번엔 안 할래, 정중히 사양할게</t>
        </is>
      </c>
      <c r="E23" s="12" t="inlineStr">
        <is>
          <t>Do you want some dessert? - Thanks, but I'll pass.</t>
        </is>
      </c>
      <c r="F23" s="12" t="inlineStr">
        <is>
          <t>디저트 좀 드실래요? - 고맙지만 이번엔 사양할게요.</t>
        </is>
      </c>
      <c r="G23" s="9">
        <f>HYPERLINK("https://www.youtube.com/watch?v=ju8QXhDzKms", "영상 보기 ▶")</f>
        <v/>
      </c>
    </row>
    <row r="24" ht="26" customHeight="1">
      <c r="A24" s="2" t="n">
        <v>2373</v>
      </c>
      <c r="B24" s="3" t="inlineStr">
        <is>
          <t>실전회화/표현</t>
        </is>
      </c>
      <c r="C24" s="4" t="inlineStr">
        <is>
          <t>pushover</t>
        </is>
      </c>
      <c r="D24" s="11" t="inlineStr">
        <is>
          <t>호락호락한/만만한 사람</t>
        </is>
      </c>
      <c r="E24" s="11" t="inlineStr">
        <is>
          <t>Don't be a pushover.</t>
        </is>
      </c>
      <c r="F24" s="11" t="inlineStr">
        <is>
          <t>너무 다 받아주지 마/만만하게 굴지 마.</t>
        </is>
      </c>
      <c r="G24" s="5">
        <f>HYPERLINK("https://www.youtube.com/watch?v=ju8QXhDzKms", "영상 보기 ▶")</f>
        <v/>
      </c>
    </row>
    <row r="25" ht="26" customHeight="1">
      <c r="A25" s="6" t="n">
        <v>2374</v>
      </c>
      <c r="B25" s="7" t="inlineStr">
        <is>
          <t>실전회화/표현</t>
        </is>
      </c>
      <c r="C25" s="8" t="inlineStr">
        <is>
          <t>hit a wall</t>
        </is>
      </c>
      <c r="D25" s="12" t="inlineStr">
        <is>
          <t>벽에 부딪히다, 막히다</t>
        </is>
      </c>
      <c r="E25" s="12" t="inlineStr">
        <is>
          <t>I've hit a wall.</t>
        </is>
      </c>
      <c r="F25" s="12" t="inlineStr">
        <is>
          <t>답이 안나와/방법이 안 보여/완전 막혔어</t>
        </is>
      </c>
      <c r="G25" s="9">
        <f>HYPERLINK("https://www.youtube.com/watch?v=ju8QXhDzKms", "영상 보기 ▶")</f>
        <v/>
      </c>
    </row>
    <row r="26" ht="26" customHeight="1">
      <c r="A26" s="2" t="n">
        <v>2375</v>
      </c>
      <c r="B26" s="3" t="inlineStr">
        <is>
          <t>실전회화/표현</t>
        </is>
      </c>
      <c r="C26" s="4" t="inlineStr">
        <is>
          <t>My bad. (</t>
        </is>
      </c>
      <c r="D26" s="11" t="inlineStr">
        <is>
          <t>실수나 잘못을 가볍게 인정) 아, 내가 틀렸네/미안/내 실수야</t>
        </is>
      </c>
      <c r="E26" s="11" t="inlineStr">
        <is>
          <t>A: You sent the wrong file.</t>
        </is>
      </c>
      <c r="F26" s="11" t="inlineStr">
        <is>
          <t>파일 잘못 보냈어.</t>
        </is>
      </c>
      <c r="G26" s="5">
        <f>HYPERLINK("https://www.youtube.com/watch?v=ju8QXhDzKms", "영상 보기 ▶")</f>
        <v/>
      </c>
    </row>
    <row r="27" ht="26" customHeight="1">
      <c r="A27" s="6" t="n">
        <v>2376</v>
      </c>
      <c r="B27" s="7" t="inlineStr">
        <is>
          <t>의견/의사결정</t>
        </is>
      </c>
      <c r="C27" s="8" t="inlineStr">
        <is>
          <t>call out</t>
        </is>
      </c>
      <c r="D27" s="12" t="inlineStr">
        <is>
          <t>(특히 공개적/직접적으로) 지적하다</t>
        </is>
      </c>
      <c r="E27" s="12" t="inlineStr">
        <is>
          <t>You didn't have to call her out in front of everyone.</t>
        </is>
      </c>
      <c r="F27" s="12" t="inlineStr">
        <is>
          <t>그렇게 대놓고 뭐라고 할 필요는 없었잖아.</t>
        </is>
      </c>
      <c r="G27" s="9">
        <f>HYPERLINK("https://www.youtube.com/watch?v=ju8QXhDzKms", "영상 보기 ▶")</f>
        <v/>
      </c>
    </row>
    <row r="28" ht="26" customHeight="1">
      <c r="A28" s="2" t="n">
        <v>2377</v>
      </c>
      <c r="B28" s="3" t="inlineStr">
        <is>
          <t>실전회화/표현</t>
        </is>
      </c>
      <c r="C28" s="4" t="inlineStr">
        <is>
          <t>back out</t>
        </is>
      </c>
      <c r="D28" s="11" t="inlineStr">
        <is>
          <t>(하기로 했던 일에서) 발 빼다/취소하다/빠지다</t>
        </is>
      </c>
      <c r="E28" s="11" t="inlineStr">
        <is>
          <t>He backed out.</t>
        </is>
      </c>
      <c r="F28" s="11" t="inlineStr">
        <is>
          <t>걔 발 뺐어/취소했어/안한대.</t>
        </is>
      </c>
      <c r="G28" s="5">
        <f>HYPERLINK("https://www.youtube.com/watch?v=ju8QXhDzKms", "영상 보기 ▶")</f>
        <v/>
      </c>
    </row>
    <row r="29" ht="26" customHeight="1">
      <c r="A29" s="6" t="n">
        <v>2378</v>
      </c>
      <c r="B29" s="7" t="inlineStr">
        <is>
          <t>실전회화/표현</t>
        </is>
      </c>
      <c r="C29" s="8" t="inlineStr">
        <is>
          <t>bail</t>
        </is>
      </c>
      <c r="D29" s="12" t="inlineStr">
        <is>
          <t>(약속이나 계획을) 취소하다/바람 맞히다</t>
        </is>
      </c>
      <c r="E29" s="12" t="inlineStr">
        <is>
          <t>Don't bail on me.</t>
        </is>
      </c>
      <c r="F29" s="12" t="inlineStr">
        <is>
          <t>온다고 해놓고 안 오면 안돼/나 혼자 가게 하지마.</t>
        </is>
      </c>
      <c r="G29" s="9">
        <f>HYPERLINK("https://www.youtube.com/watch?v=ju8QXhDzKms", "영상 보기 ▶")</f>
        <v/>
      </c>
    </row>
    <row r="30" ht="26" customHeight="1">
      <c r="A30" s="2" t="n">
        <v>2379</v>
      </c>
      <c r="B30" s="3" t="inlineStr">
        <is>
          <t>실전회화/표현</t>
        </is>
      </c>
      <c r="C30" s="4" t="inlineStr">
        <is>
          <t>hit up 사람</t>
        </is>
      </c>
      <c r="D30" s="11" t="inlineStr">
        <is>
          <t>연락하다</t>
        </is>
      </c>
      <c r="E30" s="11" t="inlineStr">
        <is>
          <t>Just hit me up when you're free.</t>
        </is>
      </c>
      <c r="F30" s="11" t="inlineStr">
        <is>
          <t>시간될 때 연락해.</t>
        </is>
      </c>
      <c r="G30" s="5">
        <f>HYPERLINK("https://www.youtube.com/watch?v=ju8QXhDzKms", "영상 보기 ▶")</f>
        <v/>
      </c>
    </row>
    <row r="31" ht="26" customHeight="1">
      <c r="A31" s="6" t="n">
        <v>2380</v>
      </c>
      <c r="B31" s="7" t="inlineStr">
        <is>
          <t>실전회화/표현</t>
        </is>
      </c>
      <c r="C31" s="8" t="inlineStr">
        <is>
          <t>hit up 장소</t>
        </is>
      </c>
      <c r="D31" s="12" t="inlineStr">
        <is>
          <t>(즉흥적/가법게) 들르다, 가다</t>
        </is>
      </c>
      <c r="E31" s="12" t="inlineStr">
        <is>
          <t>What do you say we hit up the bar?</t>
        </is>
      </c>
      <c r="F31" s="12" t="inlineStr">
        <is>
          <t>술 한 잔 하러 가는게 어때?</t>
        </is>
      </c>
      <c r="G31" s="9">
        <f>HYPERLINK("https://www.youtube.com/watch?v=ju8QXhDzKms", "영상 보기 ▶")</f>
        <v/>
      </c>
    </row>
    <row r="32" ht="26" customHeight="1">
      <c r="A32" s="2" t="n">
        <v>2381</v>
      </c>
      <c r="B32" s="3" t="inlineStr">
        <is>
          <t>실전회화/표현</t>
        </is>
      </c>
      <c r="C32" s="4" t="inlineStr">
        <is>
          <t>Coming through!</t>
        </is>
      </c>
      <c r="D32" s="11" t="inlineStr">
        <is>
          <t>(인파나 뜨거운 음식을 들고) 잠시 지나갈게요! 비켜주세요!</t>
        </is>
      </c>
      <c r="E32" s="11" t="inlineStr">
        <is>
          <t>Watch your step, hot soup coming through!</t>
        </is>
      </c>
      <c r="F32" s="11" t="inlineStr">
        <is>
          <t>발밑 조심하세요, 뜨거운 국물 지나갑니다!</t>
        </is>
      </c>
      <c r="G32" s="5">
        <f>HYPERLINK("https://www.youtube.com/watch?v=ju8QXhDzKms", "영상 보기 ▶")</f>
        <v/>
      </c>
    </row>
    <row r="33" ht="26" customHeight="1">
      <c r="A33" s="6" t="n">
        <v>2382</v>
      </c>
      <c r="B33" s="7" t="inlineStr">
        <is>
          <t>실전회화/표현</t>
        </is>
      </c>
      <c r="C33" s="8" t="inlineStr">
        <is>
          <t>come through</t>
        </is>
      </c>
      <c r="D33" s="12" t="inlineStr">
        <is>
          <t>(기대/약속한대로) 해내다/완수하다</t>
        </is>
      </c>
      <c r="E33" s="12" t="inlineStr">
        <is>
          <t>Don't worry. He'll come through.</t>
        </is>
      </c>
      <c r="F33" s="12" t="inlineStr">
        <is>
          <t>잘 해낼거니 걱정마.</t>
        </is>
      </c>
      <c r="G33" s="9">
        <f>HYPERLINK("https://www.youtube.com/watch?v=ju8QXhDzKms", "영상 보기 ▶")</f>
        <v/>
      </c>
    </row>
    <row r="34" ht="26" customHeight="1">
      <c r="A34" s="2" t="n">
        <v>2383</v>
      </c>
      <c r="B34" s="3" t="inlineStr">
        <is>
          <t>실전회화/표현</t>
        </is>
      </c>
      <c r="C34" s="4" t="inlineStr">
        <is>
          <t>rhetorical question</t>
        </is>
      </c>
      <c r="D34" s="11" t="inlineStr">
        <is>
          <t>수사의문문</t>
        </is>
      </c>
      <c r="E34" s="11" t="inlineStr">
        <is>
          <t>It's a rhetorical question.</t>
        </is>
      </c>
      <c r="F34" s="11" t="inlineStr">
        <is>
          <t>답 안해도 돼.</t>
        </is>
      </c>
      <c r="G34" s="5">
        <f>HYPERLINK("https://www.youtube.com/watch?v=ju8QXhDzKms", "영상 보기 ▶")</f>
        <v/>
      </c>
    </row>
    <row r="35" ht="26" customHeight="1">
      <c r="A35" s="6" t="n">
        <v>2384</v>
      </c>
      <c r="B35" s="7" t="inlineStr">
        <is>
          <t>실전회화/표현</t>
        </is>
      </c>
      <c r="C35" s="8" t="inlineStr">
        <is>
          <t>Isn't that something?</t>
        </is>
      </c>
      <c r="D35" s="12" t="inlineStr">
        <is>
          <t>정말 대단하지/놀랍지 않아?</t>
        </is>
      </c>
      <c r="E35" s="12" t="inlineStr">
        <is>
          <t>Isn't that something?</t>
        </is>
      </c>
      <c r="F35" s="12" t="inlineStr">
        <is>
          <t>정말 대단하지/놀랍지 않아?</t>
        </is>
      </c>
      <c r="G35" s="9">
        <f>HYPERLINK("https://www.youtube.com/watch?v=ju8QXhDzKms", "영상 보기 ▶")</f>
        <v/>
      </c>
    </row>
    <row r="36" ht="26" customHeight="1">
      <c r="A36" s="2" t="n">
        <v>2385</v>
      </c>
      <c r="B36" s="3" t="inlineStr">
        <is>
          <t>실전회화/표현</t>
        </is>
      </c>
      <c r="C36" s="4" t="inlineStr">
        <is>
          <t>What are the odds?</t>
        </is>
      </c>
      <c r="D36" s="11" t="inlineStr">
        <is>
          <t>이런 우연이/그럴 확률이 얼마나 돼?</t>
        </is>
      </c>
      <c r="E36" s="11" t="inlineStr">
        <is>
          <t>I can't believe I ran into you. What are the odds?</t>
        </is>
      </c>
      <c r="F36" s="11" t="inlineStr">
        <is>
          <t>여기서 널 보다니 이런 우연이/정말 신기하다</t>
        </is>
      </c>
      <c r="G36" s="5">
        <f>HYPERLINK("https://www.youtube.com/watch?v=ju8QXhDzKms", "영상 보기 ▶")</f>
        <v/>
      </c>
    </row>
    <row r="37" ht="26" customHeight="1">
      <c r="A37" s="6" t="n">
        <v>2386</v>
      </c>
      <c r="B37" s="7" t="inlineStr">
        <is>
          <t>실전회화/표현</t>
        </is>
      </c>
      <c r="C37" s="8" t="inlineStr">
        <is>
          <t>What's not to like?</t>
        </is>
      </c>
      <c r="D37" s="12" t="inlineStr">
        <is>
          <t>안 좋아할 이유가 뭐 있어?</t>
        </is>
      </c>
      <c r="E37" s="12" t="inlineStr">
        <is>
          <t>It's free. What's not to like?</t>
        </is>
      </c>
      <c r="F37" s="12" t="inlineStr">
        <is>
          <t>공짠데, 안 좋아할 이유가 뭐가 있어?</t>
        </is>
      </c>
      <c r="G37" s="9">
        <f>HYPERLINK("https://www.youtube.com/watch?v=ju8QXhDzKms", "영상 보기 ▶")</f>
        <v/>
      </c>
    </row>
    <row r="38" ht="26" customHeight="1">
      <c r="A38" s="2" t="n">
        <v>2387</v>
      </c>
      <c r="B38" s="3" t="inlineStr">
        <is>
          <t>실전회화/표현</t>
        </is>
      </c>
      <c r="C38" s="4" t="inlineStr">
        <is>
          <t>hit it off</t>
        </is>
      </c>
      <c r="D38" s="11" t="inlineStr">
        <is>
          <t>금방 친해지다, 죽이 잘 맞다</t>
        </is>
      </c>
      <c r="E38" s="11" t="inlineStr">
        <is>
          <t>I knew you guys would hit it off.</t>
        </is>
      </c>
      <c r="F38" s="11" t="inlineStr">
        <is>
          <t>너네 잘 통할 줄 알았어.</t>
        </is>
      </c>
      <c r="G38" s="5">
        <f>HYPERLINK("https://www.youtube.com/watch?v=ju8QXhDzKms", "영상 보기 ▶")</f>
        <v/>
      </c>
    </row>
    <row r="39" ht="26" customHeight="1">
      <c r="A39" s="6" t="n">
        <v>2388</v>
      </c>
      <c r="B39" s="7" t="inlineStr">
        <is>
          <t>실전회화/표현</t>
        </is>
      </c>
      <c r="C39" s="8" t="inlineStr">
        <is>
          <t>right off the bat</t>
        </is>
      </c>
      <c r="D39" s="12" t="inlineStr">
        <is>
          <t>곧바로/즉시  (&amp;#x3D; immediately)</t>
        </is>
      </c>
      <c r="E39" s="12" t="inlineStr">
        <is>
          <t>We hit it off right off the bat.</t>
        </is>
      </c>
      <c r="F39" s="12" t="inlineStr">
        <is>
          <t>처음부터 잘 통했어/죽이 잘 맞았어.</t>
        </is>
      </c>
      <c r="G39" s="9">
        <f>HYPERLINK("https://www.youtube.com/watch?v=ju8QXhDzKms", "영상 보기 ▶")</f>
        <v/>
      </c>
    </row>
    <row r="40" ht="26" customHeight="1">
      <c r="A40" s="2" t="n">
        <v>2389</v>
      </c>
      <c r="B40" s="3" t="inlineStr">
        <is>
          <t>실전회화/표현</t>
        </is>
      </c>
      <c r="C40" s="4" t="inlineStr">
        <is>
          <t>be up for</t>
        </is>
      </c>
      <c r="D40" s="11" t="inlineStr">
        <is>
          <t>~ 하고 싶다/~할 의향이 있다.</t>
        </is>
      </c>
      <c r="E40" s="11" t="inlineStr">
        <is>
          <t>Are you up for coffee later?</t>
        </is>
      </c>
      <c r="F40" s="11" t="inlineStr">
        <is>
          <t>이따 커피 마실래?</t>
        </is>
      </c>
      <c r="G40" s="5">
        <f>HYPERLINK("https://www.youtube.com/watch?v=ju8QXhDzKms", "영상 보기 ▶")</f>
        <v/>
      </c>
    </row>
    <row r="41" ht="26" customHeight="1">
      <c r="A41" s="6" t="n">
        <v>2390</v>
      </c>
      <c r="B41" s="7" t="inlineStr">
        <is>
          <t>실전회화/표현</t>
        </is>
      </c>
      <c r="C41" s="8" t="inlineStr">
        <is>
          <t>be up to</t>
        </is>
      </c>
      <c r="D41" s="12" t="inlineStr">
        <is>
          <t>(육체적/정신적/능력상) ~를 해낼 수/감당할 수 있다</t>
        </is>
      </c>
      <c r="E41" s="12" t="inlineStr">
        <is>
          <t>I don't think he's up to the job.</t>
        </is>
      </c>
      <c r="F41" s="12" t="inlineStr">
        <is>
          <t>걔가 그 일을 해낼 그릇은 안되는 것 같은데.</t>
        </is>
      </c>
      <c r="G41" s="9">
        <f>HYPERLINK("https://www.youtube.com/watch?v=ju8QXhDzKms", "영상 보기 ▶")</f>
        <v/>
      </c>
    </row>
    <row r="42" ht="26" customHeight="1">
      <c r="A42" s="2" t="n">
        <v>2391</v>
      </c>
      <c r="B42" s="3" t="inlineStr">
        <is>
          <t>실전회화/표현</t>
        </is>
      </c>
      <c r="C42" s="4" t="inlineStr">
        <is>
          <t>be up to something</t>
        </is>
      </c>
      <c r="D42" s="11" t="inlineStr">
        <is>
          <t>뭔가 일을 꾸미고 있다/꿍꿍이가 있다</t>
        </is>
      </c>
      <c r="E42" s="11" t="inlineStr">
        <is>
          <t>He's up to something.</t>
        </is>
      </c>
      <c r="F42" s="11" t="inlineStr">
        <is>
          <t>걔 뭔가 수상해/뭔가 꾸미고 있어.</t>
        </is>
      </c>
      <c r="G42" s="5">
        <f>HYPERLINK("https://www.youtube.com/watch?v=ju8QXhDzKms", "영상 보기 ▶")</f>
        <v/>
      </c>
    </row>
    <row r="43" ht="26" customHeight="1">
      <c r="A43" s="6" t="n">
        <v>2392</v>
      </c>
      <c r="B43" s="7" t="inlineStr">
        <is>
          <t>실전회화/표현</t>
        </is>
      </c>
      <c r="C43" s="8" t="inlineStr">
        <is>
          <t>'</t>
        </is>
      </c>
      <c r="D43" s="12" t="inlineStr">
        <is>
          <t>피하다'의 beat</t>
        </is>
      </c>
      <c r="E43" s="12" t="inlineStr">
        <is>
          <t>We should hit the road to beat the traffic.</t>
        </is>
      </c>
      <c r="F43" s="12" t="inlineStr">
        <is>
          <t>차 막히니 지금 출발하는게 좋겠어.</t>
        </is>
      </c>
      <c r="G43" s="9">
        <f>HYPERLINK("https://www.youtube.com/watch?v=ju8QXhDzKms", "영상 보기 ▶")</f>
        <v/>
      </c>
    </row>
    <row r="44" ht="26" customHeight="1">
      <c r="A44" s="2" t="n">
        <v>2393</v>
      </c>
      <c r="B44" s="3" t="inlineStr">
        <is>
          <t>실전회화/표현</t>
        </is>
      </c>
      <c r="C44" s="4" t="inlineStr">
        <is>
          <t>hit the gym / hit the road</t>
        </is>
      </c>
      <c r="D44" s="11" t="inlineStr">
        <is>
          <t>(어떤 장소로) 향하다, 가다 (hit the gym: 헬스장 가다)</t>
        </is>
      </c>
      <c r="E44" s="11" t="inlineStr">
        <is>
          <t>I try to hit the gym at least four days a week.</t>
        </is>
      </c>
      <c r="F44" s="11" t="inlineStr">
        <is>
          <t>난 적어도 일주일에 나흘은 헬스장에 운동하러 가려고 해.</t>
        </is>
      </c>
      <c r="G44" s="5">
        <f>HYPERLINK("https://www.youtube.com/watch?v=ju8QXhDzKms", "영상 보기 ▶")</f>
        <v/>
      </c>
    </row>
    <row r="45" ht="26" customHeight="1">
      <c r="A45" s="6" t="n">
        <v>2394</v>
      </c>
      <c r="B45" s="7" t="inlineStr">
        <is>
          <t>실전회화/표현</t>
        </is>
      </c>
      <c r="C45" s="8" t="inlineStr">
        <is>
          <t>be into</t>
        </is>
      </c>
      <c r="D45" s="12" t="inlineStr">
        <is>
          <t>(푹 빠지듯) ~를 좋아하다/~에 관심있다</t>
        </is>
      </c>
      <c r="E45" s="12" t="inlineStr">
        <is>
          <t>What are you into? (</t>
        </is>
      </c>
      <c r="F45" s="12" t="inlineStr">
        <is>
          <t>스몰톡) 뭐 하는 거 좋아해?/뭐에 관심 있어?</t>
        </is>
      </c>
      <c r="G45" s="9">
        <f>HYPERLINK("https://www.youtube.com/watch?v=ju8QXhDzKms", "영상 보기 ▶")</f>
        <v/>
      </c>
    </row>
    <row r="46" ht="26" customHeight="1">
      <c r="A46" s="2" t="n">
        <v>2395</v>
      </c>
      <c r="B46" s="3" t="inlineStr">
        <is>
          <t>비즈니스/업무</t>
        </is>
      </c>
      <c r="C46" s="4" t="inlineStr">
        <is>
          <t>push back</t>
        </is>
      </c>
      <c r="D46" s="11" t="inlineStr">
        <is>
          <t>① (일정을) 뒤로 미루다, 연기하다 ② 이의를 제기하다</t>
        </is>
      </c>
      <c r="E46" s="11" t="inlineStr">
        <is>
          <t>Can we push back the deadline to next Wednesday?</t>
        </is>
      </c>
      <c r="F46" s="11" t="inlineStr">
        <is>
          <t>마감 기한을 다음 주 수요일로 조금 늦출 수 있을까요?</t>
        </is>
      </c>
      <c r="G46" s="5">
        <f>HYPERLINK("https://www.youtube.com/watch?v=ju8QXhDzKms", "영상 보기 ▶")</f>
        <v/>
      </c>
    </row>
    <row r="47" ht="26" customHeight="1">
      <c r="A47" s="6" t="n">
        <v>2396</v>
      </c>
      <c r="B47" s="7" t="inlineStr">
        <is>
          <t>공감/감정</t>
        </is>
      </c>
      <c r="C47" s="8" t="inlineStr">
        <is>
          <t>명사 pushback</t>
        </is>
      </c>
      <c r="D47" s="12" t="inlineStr">
        <is>
          <t>(계획/변화 등에 대한) 반발, 부정적인 반응</t>
        </is>
      </c>
      <c r="E47" s="12" t="inlineStr">
        <is>
          <t>I got some pushback.</t>
        </is>
      </c>
      <c r="F47" s="12" t="inlineStr">
        <is>
          <t>반발이 좀 있었어.</t>
        </is>
      </c>
      <c r="G47" s="9">
        <f>HYPERLINK("https://www.youtube.com/watch?v=ju8QXhDzKms", "영상 보기 ▶")</f>
        <v/>
      </c>
    </row>
    <row r="48" ht="26" customHeight="1">
      <c r="A48" s="2" t="n">
        <v>2397</v>
      </c>
      <c r="B48" s="3" t="inlineStr">
        <is>
          <t>실전회화/표현</t>
        </is>
      </c>
      <c r="C48" s="4" t="inlineStr">
        <is>
          <t>hit out (at)</t>
        </is>
      </c>
      <c r="D48" s="11" t="inlineStr">
        <is>
          <t>강하게 비난하다</t>
        </is>
      </c>
      <c r="E48" s="11" t="inlineStr">
        <is>
          <t>He hit out at the policy.</t>
        </is>
      </c>
      <c r="F48" s="11" t="inlineStr">
        <is>
          <t>그 정책을 강하게 비난했어.</t>
        </is>
      </c>
      <c r="G48" s="5">
        <f>HYPERLINK("https://www.youtube.com/watch?v=ju8QXhDzKms", "영상 보기 ▶")</f>
        <v/>
      </c>
    </row>
    <row r="49" ht="26" customHeight="1">
      <c r="A49" s="6" t="n">
        <v>2398</v>
      </c>
      <c r="B49" s="7" t="inlineStr">
        <is>
          <t>실전회화/표현</t>
        </is>
      </c>
      <c r="C49" s="8" t="inlineStr">
        <is>
          <t>hit back</t>
        </is>
      </c>
      <c r="D49" s="12" t="inlineStr">
        <is>
          <t>반박/맞대응하다</t>
        </is>
      </c>
      <c r="E49" s="12" t="inlineStr">
        <is>
          <t>You should hit back.</t>
        </is>
      </c>
      <c r="F49" s="12" t="inlineStr">
        <is>
          <t>너도 맞대응 해.</t>
        </is>
      </c>
      <c r="G49" s="9">
        <f>HYPERLINK("https://www.youtube.com/watch?v=ju8QXhDzKms", "영상 보기 ▶")</f>
        <v/>
      </c>
    </row>
    <row r="50" ht="26" customHeight="1">
      <c r="A50" s="2" t="n">
        <v>2399</v>
      </c>
      <c r="B50" s="3" t="inlineStr">
        <is>
          <t>실전회화/표현</t>
        </is>
      </c>
      <c r="C50" s="4" t="inlineStr">
        <is>
          <t>tension</t>
        </is>
      </c>
      <c r="D50" s="11" t="inlineStr">
        <is>
          <t>긴장/갈등</t>
        </is>
      </c>
      <c r="E50" s="11" t="inlineStr">
        <is>
          <t>I'm sensing some tension here.</t>
        </is>
      </c>
      <c r="F50" s="11" t="inlineStr">
        <is>
          <t>긴장감이 좀 느껴지네/분위기가 좀 이상한데.</t>
        </is>
      </c>
      <c r="G50" s="5">
        <f>HYPERLINK("https://www.youtube.com/watch?v=ju8QXhDzKms", "영상 보기 ▶")</f>
        <v/>
      </c>
    </row>
    <row r="51" ht="26" customHeight="1">
      <c r="A51" s="6" t="n">
        <v>2400</v>
      </c>
      <c r="B51" s="7" t="inlineStr">
        <is>
          <t>실전회화/표현</t>
        </is>
      </c>
      <c r="C51" s="8" t="inlineStr">
        <is>
          <t>Guess what?</t>
        </is>
      </c>
      <c r="D51" s="12" t="inlineStr">
        <is>
          <t>무슨 일이 있었게?, 그거 알아?, 놀라지마, 들어봐</t>
        </is>
      </c>
      <c r="E51" s="12" t="inlineStr">
        <is>
          <t>Guess what? I got the job!</t>
        </is>
      </c>
      <c r="F51" s="12" t="inlineStr">
        <is>
          <t>놀라지 마, 나 그 일 따냈어!</t>
        </is>
      </c>
      <c r="G51" s="9">
        <f>HYPERLINK("https://www.youtube.com/watch?v=ju8QXhDzKms", "영상 보기 ▶")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6" customWidth="1" min="3" max="3"/>
    <col width="48" customWidth="1" min="4" max="4"/>
    <col width="54" customWidth="1" min="5" max="5"/>
    <col width="51.8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2401</v>
      </c>
      <c r="B2" s="3" t="inlineStr">
        <is>
          <t>공감/감정</t>
        </is>
      </c>
      <c r="C2" s="4" t="inlineStr">
        <is>
          <t>lean toward(s)</t>
        </is>
      </c>
      <c r="D2" s="11" t="inlineStr">
        <is>
          <t>~쪽으로 마음이 기울다</t>
        </is>
      </c>
      <c r="E2" s="11" t="inlineStr">
        <is>
          <t>I'm leaning towards option A. option A</t>
        </is>
      </c>
      <c r="F2" s="11" t="inlineStr">
        <is>
          <t>로 마음이 기울고 있어.</t>
        </is>
      </c>
      <c r="G2" s="5">
        <f>HYPERLINK("https://www.youtube.com/watch?v=CuzNMPzAnpo", "영상 보기 ▶")</f>
        <v/>
      </c>
    </row>
    <row r="3" ht="26" customHeight="1">
      <c r="A3" s="6" t="n">
        <v>2402</v>
      </c>
      <c r="B3" s="7" t="inlineStr">
        <is>
          <t>실전회화/표현</t>
        </is>
      </c>
      <c r="C3" s="8" t="inlineStr">
        <is>
          <t>gravitate toward(s)</t>
        </is>
      </c>
      <c r="D3" s="12" t="inlineStr">
        <is>
          <t>(자연스레) 관심이가다, 끌리다</t>
        </is>
      </c>
      <c r="E3" s="12" t="inlineStr">
        <is>
          <t>I gravitate towards simple designs.</t>
        </is>
      </c>
      <c r="F3" s="12" t="inlineStr">
        <is>
          <t>난 심플한 디자인을 선호해/끌려.</t>
        </is>
      </c>
      <c r="G3" s="9">
        <f>HYPERLINK("https://www.youtube.com/watch?v=CuzNMPzAnpo", "영상 보기 ▶")</f>
        <v/>
      </c>
    </row>
    <row r="4" ht="26" customHeight="1">
      <c r="A4" s="2" t="n">
        <v>2403</v>
      </c>
      <c r="B4" s="3" t="inlineStr">
        <is>
          <t>실전회화/표현</t>
        </is>
      </c>
      <c r="C4" s="4" t="inlineStr">
        <is>
          <t>It's just a matter of preference.</t>
        </is>
      </c>
      <c r="D4" s="11" t="inlineStr">
        <is>
          <t>그건 정답이 없고 순전히 개인 취향 차이일 뿐이야</t>
        </is>
      </c>
      <c r="E4" s="11" t="inlineStr">
        <is>
          <t>Coffee vs tea? It's just a matter of preference.</t>
        </is>
      </c>
      <c r="F4" s="11" t="inlineStr">
        <is>
          <t>커피냐 차냐는 그냥 개인 취향 차이일 뿐이지.</t>
        </is>
      </c>
      <c r="G4" s="5">
        <f>HYPERLINK("https://www.youtube.com/watch?v=CuzNMPzAnpo", "영상 보기 ▶")</f>
        <v/>
      </c>
    </row>
    <row r="5" ht="26" customHeight="1">
      <c r="A5" s="6" t="n">
        <v>2404</v>
      </c>
      <c r="B5" s="7" t="inlineStr">
        <is>
          <t>실전회화/표현</t>
        </is>
      </c>
      <c r="C5" s="8" t="inlineStr">
        <is>
          <t>blow over</t>
        </is>
      </c>
      <c r="D5" s="12" t="inlineStr">
        <is>
          <t>(심각한 피해 없이) 사그라들다, 잠잠해지다</t>
        </is>
      </c>
      <c r="E5" s="12" t="inlineStr">
        <is>
          <t>Don't worry, it'll blow over.</t>
        </is>
      </c>
      <c r="F5" s="12" t="inlineStr">
        <is>
          <t>곧 괜찮아질 거니 걱정 마.</t>
        </is>
      </c>
      <c r="G5" s="9">
        <f>HYPERLINK("https://www.youtube.com/watch?v=CuzNMPzAnpo", "영상 보기 ▶")</f>
        <v/>
      </c>
    </row>
    <row r="6" ht="26" customHeight="1">
      <c r="A6" s="2" t="n">
        <v>2405</v>
      </c>
      <c r="B6" s="3" t="inlineStr">
        <is>
          <t>실전회화/표현</t>
        </is>
      </c>
      <c r="C6" s="4" t="inlineStr">
        <is>
          <t>blow up</t>
        </is>
      </c>
      <c r="D6" s="11" t="inlineStr">
        <is>
          <t>터지다, 폭발하다</t>
        </is>
      </c>
      <c r="E6" s="11" t="inlineStr">
        <is>
          <t>blow over (</t>
        </is>
      </c>
      <c r="F6" s="11" t="inlineStr">
        <is>
          <t>사그라지는거) vs. blow up (터지는 거)</t>
        </is>
      </c>
      <c r="G6" s="5">
        <f>HYPERLINK("https://www.youtube.com/watch?v=CuzNMPzAnpo", "영상 보기 ▶")</f>
        <v/>
      </c>
    </row>
    <row r="7" ht="26" customHeight="1">
      <c r="A7" s="6" t="n">
        <v>2406</v>
      </c>
      <c r="B7" s="7" t="inlineStr">
        <is>
          <t>실전회화/표현</t>
        </is>
      </c>
      <c r="C7" s="8" t="inlineStr">
        <is>
          <t>chalk it up to</t>
        </is>
      </c>
      <c r="D7" s="12" t="inlineStr">
        <is>
          <t>~때문이라 여기다/~라고 치다</t>
        </is>
      </c>
      <c r="E7" s="12" t="inlineStr">
        <is>
          <t>Let's chalk it up to bad luck.</t>
        </is>
      </c>
      <c r="F7" s="12" t="inlineStr">
        <is>
          <t>그냥 운이 안 좋았던 걸로 치자.</t>
        </is>
      </c>
      <c r="G7" s="9">
        <f>HYPERLINK("https://www.youtube.com/watch?v=CuzNMPzAnpo", "영상 보기 ▶")</f>
        <v/>
      </c>
    </row>
    <row r="8" ht="26" customHeight="1">
      <c r="A8" s="2" t="n">
        <v>2407</v>
      </c>
      <c r="B8" s="3" t="inlineStr">
        <is>
          <t>실전회화/표현</t>
        </is>
      </c>
      <c r="C8" s="4" t="inlineStr">
        <is>
          <t>at all</t>
        </is>
      </c>
      <c r="D8" s="11" t="inlineStr">
        <is>
          <t>조금이라도 - Did you eat at all? 뭐 좀 먹었어?</t>
        </is>
      </c>
      <c r="E8" s="11" t="inlineStr">
        <is>
          <t>Do you like it at all?</t>
        </is>
      </c>
      <c r="F8" s="11" t="inlineStr">
        <is>
          <t>조금이라도 마음에 들어?</t>
        </is>
      </c>
      <c r="G8" s="5">
        <f>HYPERLINK("https://www.youtube.com/watch?v=CuzNMPzAnpo", "영상 보기 ▶")</f>
        <v/>
      </c>
    </row>
    <row r="9" ht="26" customHeight="1">
      <c r="A9" s="6" t="n">
        <v>2408</v>
      </c>
      <c r="B9" s="7" t="inlineStr">
        <is>
          <t>실전회화/표현</t>
        </is>
      </c>
      <c r="C9" s="8" t="inlineStr">
        <is>
          <t>not at all</t>
        </is>
      </c>
      <c r="D9" s="12" t="inlineStr">
        <is>
          <t>전혀</t>
        </is>
      </c>
      <c r="E9" s="12" t="inlineStr">
        <is>
          <t>It's no problem at all.</t>
        </is>
      </c>
      <c r="F9" s="12" t="inlineStr">
        <is>
          <t>전혀 문제 안돼/신경쓰지 마</t>
        </is>
      </c>
      <c r="G9" s="9">
        <f>HYPERLINK("https://www.youtube.com/watch?v=CuzNMPzAnpo", "영상 보기 ▶")</f>
        <v/>
      </c>
    </row>
    <row r="10" ht="26" customHeight="1">
      <c r="A10" s="2" t="n">
        <v>2409</v>
      </c>
      <c r="B10" s="3" t="inlineStr">
        <is>
          <t>실전회화/표현</t>
        </is>
      </c>
      <c r="C10" s="4" t="inlineStr">
        <is>
          <t>not remotely</t>
        </is>
      </c>
      <c r="D10" s="11" t="inlineStr">
        <is>
          <t>조금도 ~하지 않은, 전혀</t>
        </is>
      </c>
      <c r="E10" s="11" t="inlineStr">
        <is>
          <t>remotely</t>
        </is>
      </c>
      <c r="F10" s="11" t="inlineStr">
        <is>
          <t>멀리서, 아주 희박하게, 조금이라도</t>
        </is>
      </c>
      <c r="G10" s="5">
        <f>HYPERLINK("https://www.youtube.com/watch?v=CuzNMPzAnpo", "영상 보기 ▶")</f>
        <v/>
      </c>
    </row>
    <row r="11" ht="26" customHeight="1">
      <c r="A11" s="6" t="n">
        <v>2410</v>
      </c>
      <c r="B11" s="7" t="inlineStr">
        <is>
          <t>실전회화/표현</t>
        </is>
      </c>
      <c r="C11" s="8" t="inlineStr">
        <is>
          <t>lash out</t>
        </is>
      </c>
      <c r="D11" s="12" t="inlineStr">
        <is>
          <t>격하게 쏘아붙이다, 마구 비난하다</t>
        </is>
      </c>
      <c r="E11" s="12" t="inlineStr">
        <is>
          <t>He lashed out at his employee.</t>
        </is>
      </c>
      <c r="F11" s="12" t="inlineStr">
        <is>
          <t>직원한테 엄청 쏘아붙였어.</t>
        </is>
      </c>
      <c r="G11" s="9">
        <f>HYPERLINK("https://www.youtube.com/watch?v=CuzNMPzAnpo", "영상 보기 ▶")</f>
        <v/>
      </c>
    </row>
    <row r="12" ht="26" customHeight="1">
      <c r="A12" s="2" t="n">
        <v>2411</v>
      </c>
      <c r="B12" s="3" t="inlineStr">
        <is>
          <t>공감/감정</t>
        </is>
      </c>
      <c r="C12" s="4" t="inlineStr">
        <is>
          <t>snap at</t>
        </is>
      </c>
      <c r="D12" s="11" t="inlineStr">
        <is>
          <t>~에게 화내다</t>
        </is>
      </c>
      <c r="E12" s="11" t="inlineStr">
        <is>
          <t>Sorry for snapping at you.</t>
        </is>
      </c>
      <c r="F12" s="11" t="inlineStr">
        <is>
          <t>너한테 쏘아붙여서/버럭해서 미안해.</t>
        </is>
      </c>
      <c r="G12" s="5">
        <f>HYPERLINK("https://www.youtube.com/watch?v=CuzNMPzAnpo", "영상 보기 ▶")</f>
        <v/>
      </c>
    </row>
    <row r="13" ht="26" customHeight="1">
      <c r="A13" s="6" t="n">
        <v>2412</v>
      </c>
      <c r="B13" s="7" t="inlineStr">
        <is>
          <t>실전회화/표현</t>
        </is>
      </c>
      <c r="C13" s="8" t="inlineStr">
        <is>
          <t>Snap out of it</t>
        </is>
      </c>
      <c r="D13" s="12" t="inlineStr">
        <is>
          <t>(안 좋은 상황에서) 빠져나와/정신차려</t>
        </is>
      </c>
      <c r="E13" s="12" t="inlineStr">
        <is>
          <t>Snap out of it.</t>
        </is>
      </c>
      <c r="F13" s="12" t="inlineStr">
        <is>
          <t>정신차려.</t>
        </is>
      </c>
      <c r="G13" s="9">
        <f>HYPERLINK("https://www.youtube.com/watch?v=CuzNMPzAnpo", "영상 보기 ▶")</f>
        <v/>
      </c>
    </row>
    <row r="14" ht="26" customHeight="1">
      <c r="A14" s="2" t="n">
        <v>2413</v>
      </c>
      <c r="B14" s="3" t="inlineStr">
        <is>
          <t>실전회화/표현</t>
        </is>
      </c>
      <c r="C14" s="4" t="inlineStr">
        <is>
          <t>동사 jinx</t>
        </is>
      </c>
      <c r="D14" s="11" t="inlineStr">
        <is>
          <t>불운을 가져오다</t>
        </is>
      </c>
      <c r="E14" s="11" t="inlineStr">
        <is>
          <t>Don't jinx it.</t>
        </is>
      </c>
      <c r="F14" s="11" t="inlineStr">
        <is>
          <t>괜히 그런 말 하지 마/부정타게 그러지마</t>
        </is>
      </c>
      <c r="G14" s="5">
        <f>HYPERLINK("https://www.youtube.com/watch?v=CuzNMPzAnpo", "영상 보기 ▶")</f>
        <v/>
      </c>
    </row>
    <row r="15" ht="26" customHeight="1">
      <c r="A15" s="6" t="n">
        <v>2414</v>
      </c>
      <c r="B15" s="7" t="inlineStr">
        <is>
          <t>실전회화/표현</t>
        </is>
      </c>
      <c r="C15" s="8" t="inlineStr">
        <is>
          <t>It's a stretch.</t>
        </is>
      </c>
      <c r="D15" s="12" t="inlineStr">
        <is>
          <t>그건 억지야/너무 나갔어/무리야 1) 억지해석 2) 힘든일</t>
        </is>
      </c>
      <c r="E15" s="12" t="inlineStr">
        <is>
          <t>It's a stretch, but it's doable.</t>
        </is>
      </c>
      <c r="F15" s="12" t="inlineStr">
        <is>
          <t>무리긴 한데 그래도 할 수는 있어.</t>
        </is>
      </c>
      <c r="G15" s="9">
        <f>HYPERLINK("https://www.youtube.com/watch?v=CuzNMPzAnpo", "영상 보기 ▶")</f>
        <v/>
      </c>
    </row>
    <row r="16" ht="26" customHeight="1">
      <c r="A16" s="2" t="n">
        <v>2415</v>
      </c>
      <c r="B16" s="3" t="inlineStr">
        <is>
          <t>공감/감정</t>
        </is>
      </c>
      <c r="C16" s="4" t="inlineStr">
        <is>
          <t>go through the motions</t>
        </is>
      </c>
      <c r="D16" s="11" t="inlineStr">
        <is>
          <t>형식적으로만/마음없이 하다</t>
        </is>
      </c>
      <c r="E16" s="11" t="inlineStr">
        <is>
          <t>I'm burned out. I'm just going through the motions.</t>
        </is>
      </c>
      <c r="F16" s="11" t="inlineStr">
        <is>
          <t>번아웃 와서 형식적으로 할 일만 하는 것</t>
        </is>
      </c>
      <c r="G16" s="5">
        <f>HYPERLINK("https://www.youtube.com/watch?v=CuzNMPzAnpo", "영상 보기 ▶")</f>
        <v/>
      </c>
    </row>
    <row r="17" ht="26" customHeight="1">
      <c r="A17" s="6" t="n">
        <v>2416</v>
      </c>
      <c r="B17" s="7" t="inlineStr">
        <is>
          <t>공감/감정</t>
        </is>
      </c>
      <c r="C17" s="8" t="inlineStr">
        <is>
          <t>sway</t>
        </is>
      </c>
      <c r="D17" s="12" t="inlineStr">
        <is>
          <t>(마음을) 흔들다/동요시키다</t>
        </is>
      </c>
      <c r="E17" s="12" t="inlineStr">
        <is>
          <t>What swayed you?</t>
        </is>
      </c>
      <c r="F17" s="12" t="inlineStr">
        <is>
          <t>뭐에 흔들린거야/맘 바뀐 이유가 뭐야?</t>
        </is>
      </c>
      <c r="G17" s="9">
        <f>HYPERLINK("https://www.youtube.com/watch?v=CuzNMPzAnpo", "영상 보기 ▶")</f>
        <v/>
      </c>
    </row>
    <row r="18" ht="26" customHeight="1">
      <c r="A18" s="2" t="n">
        <v>2417</v>
      </c>
      <c r="B18" s="3" t="inlineStr">
        <is>
          <t>실전회화/표현</t>
        </is>
      </c>
      <c r="C18" s="4" t="inlineStr">
        <is>
          <t>crush</t>
        </is>
      </c>
      <c r="D18" s="11" t="inlineStr">
        <is>
          <t>정말 잘 하다</t>
        </is>
      </c>
      <c r="E18" s="11" t="inlineStr">
        <is>
          <t>He's crushing it.</t>
        </is>
      </c>
      <c r="F18" s="11" t="inlineStr">
        <is>
          <t>진짜 잘하고 있어.</t>
        </is>
      </c>
      <c r="G18" s="5">
        <f>HYPERLINK("https://www.youtube.com/watch?v=CuzNMPzAnpo", "영상 보기 ▶")</f>
        <v/>
      </c>
    </row>
    <row r="19" ht="26" customHeight="1">
      <c r="A19" s="6" t="n">
        <v>2418</v>
      </c>
      <c r="B19" s="7" t="inlineStr">
        <is>
          <t>공감/감정</t>
        </is>
      </c>
      <c r="C19" s="8" t="inlineStr">
        <is>
          <t>He's crushed.</t>
        </is>
      </c>
      <c r="D19" s="12" t="inlineStr">
        <is>
          <t>완전 상심했어/마음이 무너졌어</t>
        </is>
      </c>
      <c r="E19" s="12" t="inlineStr">
        <is>
          <t>He's crushed.</t>
        </is>
      </c>
      <c r="F19" s="12" t="inlineStr">
        <is>
          <t>완전 상심했어/마음이 무너졌어</t>
        </is>
      </c>
      <c r="G19" s="9">
        <f>HYPERLINK("https://www.youtube.com/watch?v=CuzNMPzAnpo", "영상 보기 ▶")</f>
        <v/>
      </c>
    </row>
    <row r="20" ht="26" customHeight="1">
      <c r="A20" s="2" t="n">
        <v>2419</v>
      </c>
      <c r="B20" s="3" t="inlineStr">
        <is>
          <t>공감/감정</t>
        </is>
      </c>
      <c r="C20" s="4" t="inlineStr">
        <is>
          <t>end on a high note</t>
        </is>
      </c>
      <c r="D20" s="11" t="inlineStr">
        <is>
          <t>좋게 마무리하다/기분 좋게 끝내다</t>
        </is>
      </c>
      <c r="E20" s="11" t="inlineStr">
        <is>
          <t>Let's end on a high note.</t>
        </is>
      </c>
      <c r="F20" s="11" t="inlineStr">
        <is>
          <t>기분 좋게 마무리하죠.</t>
        </is>
      </c>
      <c r="G20" s="5">
        <f>HYPERLINK("https://www.youtube.com/watch?v=CuzNMPzAnpo", "영상 보기 ▶")</f>
        <v/>
      </c>
    </row>
    <row r="21" ht="26" customHeight="1">
      <c r="A21" s="6" t="n">
        <v>2420</v>
      </c>
      <c r="B21" s="7" t="inlineStr">
        <is>
          <t>공감/감정</t>
        </is>
      </c>
      <c r="C21" s="8" t="inlineStr">
        <is>
          <t>note (</t>
        </is>
      </c>
      <c r="D21" s="12" t="inlineStr">
        <is>
          <t>분위기/톤) On a positive note, 그래도 좋음 점은/기분 좋은 얘기로 넘어가서</t>
        </is>
      </c>
      <c r="E21" s="12" t="inlineStr">
        <is>
          <t>On a serious note,</t>
        </is>
      </c>
      <c r="F21" s="12" t="inlineStr">
        <is>
          <t>진지한 분위기로</t>
        </is>
      </c>
      <c r="G21" s="9">
        <f>HYPERLINK("https://www.youtube.com/watch?v=CuzNMPzAnpo", "영상 보기 ▶")</f>
        <v/>
      </c>
    </row>
    <row r="22" ht="26" customHeight="1">
      <c r="A22" s="2" t="n">
        <v>2421</v>
      </c>
      <c r="B22" s="3" t="inlineStr">
        <is>
          <t>비즈니스/업무</t>
        </is>
      </c>
      <c r="C22" s="4" t="inlineStr">
        <is>
          <t>locked in</t>
        </is>
      </c>
      <c r="D22" s="11" t="inlineStr">
        <is>
          <t>완벽히 몰입한/집중한, 계약이나 합의가 확정된</t>
        </is>
      </c>
      <c r="E22" s="11" t="inlineStr">
        <is>
          <t>Our final design is completely locked in.</t>
        </is>
      </c>
      <c r="F22" s="11" t="inlineStr">
        <is>
          <t>우리의 최종 디자인 시안은 완전히 확정되었습니다.</t>
        </is>
      </c>
      <c r="G22" s="5">
        <f>HYPERLINK("https://www.youtube.com/watch?v=CuzNMPzAnpo", "영상 보기 ▶")</f>
        <v/>
      </c>
    </row>
    <row r="23" ht="26" customHeight="1">
      <c r="A23" s="6" t="n">
        <v>2422</v>
      </c>
      <c r="B23" s="7" t="inlineStr">
        <is>
          <t>실전회화/표현</t>
        </is>
      </c>
      <c r="C23" s="8" t="inlineStr">
        <is>
          <t>savvy</t>
        </is>
      </c>
      <c r="D23" s="12" t="inlineStr">
        <is>
          <t>요령있는/수완있는</t>
        </is>
      </c>
      <c r="E23" s="12" t="inlineStr">
        <is>
          <t>He's very savvy.</t>
        </is>
      </c>
      <c r="F23" s="12" t="inlineStr">
        <is>
          <t>걘 정말 수완이 좋아.</t>
        </is>
      </c>
      <c r="G23" s="9">
        <f>HYPERLINK("https://www.youtube.com/watch?v=CuzNMPzAnpo", "영상 보기 ▶")</f>
        <v/>
      </c>
    </row>
    <row r="24" ht="26" customHeight="1">
      <c r="A24" s="2" t="n">
        <v>2423</v>
      </c>
      <c r="B24" s="3" t="inlineStr">
        <is>
          <t>실전회화/표현</t>
        </is>
      </c>
      <c r="C24" s="4" t="inlineStr">
        <is>
          <t>명사+savvy</t>
        </is>
      </c>
      <c r="D24" s="11" t="inlineStr">
        <is>
          <t>~를 잘 다루는/감각있는</t>
        </is>
      </c>
      <c r="E24" s="11" t="inlineStr">
        <is>
          <t>He's tech-savvy.</t>
        </is>
      </c>
      <c r="F24" s="11" t="inlineStr">
        <is>
          <t>기술/기계를 잘 다뤄</t>
        </is>
      </c>
      <c r="G24" s="5">
        <f>HYPERLINK("https://www.youtube.com/watch?v=CuzNMPzAnpo", "영상 보기 ▶")</f>
        <v/>
      </c>
    </row>
    <row r="25" ht="26" customHeight="1">
      <c r="A25" s="6" t="n">
        <v>2424</v>
      </c>
      <c r="B25" s="7" t="inlineStr">
        <is>
          <t>실전회화/표현</t>
        </is>
      </c>
      <c r="C25" s="8" t="inlineStr">
        <is>
          <t>I gotta hand it to you.</t>
        </is>
      </c>
      <c r="D25" s="12" t="inlineStr">
        <is>
          <t>인정해야해/알아줘야해</t>
        </is>
      </c>
      <c r="E25" s="12" t="inlineStr">
        <is>
          <t>I gotta hand it to you. That was a smart move.</t>
        </is>
      </c>
      <c r="F25" s="12" t="inlineStr">
        <is>
          <t>너 인정할 수밖에 없네. 정말 똑똑한 행동이었어.</t>
        </is>
      </c>
      <c r="G25" s="9">
        <f>HYPERLINK("https://www.youtube.com/watch?v=CuzNMPzAnpo", "영상 보기 ▶")</f>
        <v/>
      </c>
    </row>
    <row r="26" ht="26" customHeight="1">
      <c r="A26" s="2" t="n">
        <v>2425</v>
      </c>
      <c r="B26" s="3" t="inlineStr">
        <is>
          <t>의견/의사결정</t>
        </is>
      </c>
      <c r="C26" s="4" t="inlineStr">
        <is>
          <t>Not too shabby.</t>
        </is>
      </c>
      <c r="D26" s="11" t="inlineStr">
        <is>
          <t>나쁘지 않은데, 꽤 괜찮은데, 생각보다 좋은데?</t>
        </is>
      </c>
      <c r="E26" s="11" t="inlineStr">
        <is>
          <t>Not too shabby.</t>
        </is>
      </c>
      <c r="F26" s="11" t="inlineStr">
        <is>
          <t>나쁘지 않은데, 꽤 괜찮은데, 생각보다 좋은데?</t>
        </is>
      </c>
      <c r="G26" s="5">
        <f>HYPERLINK("https://www.youtube.com/watch?v=CuzNMPzAnpo", "영상 보기 ▶")</f>
        <v/>
      </c>
    </row>
    <row r="27" ht="26" customHeight="1">
      <c r="A27" s="6" t="n">
        <v>2426</v>
      </c>
      <c r="B27" s="7" t="inlineStr">
        <is>
          <t>실전회화/표현</t>
        </is>
      </c>
      <c r="C27" s="8" t="inlineStr">
        <is>
          <t>'~</t>
        </is>
      </c>
      <c r="D27" s="12" t="inlineStr">
        <is>
          <t>치고는'의 for</t>
        </is>
      </c>
      <c r="E27" s="12" t="inlineStr">
        <is>
          <t>It's not too shabby for a first-timer.</t>
        </is>
      </c>
      <c r="F27" s="12" t="inlineStr">
        <is>
          <t>처음 한것 치곤 꽤 괜찮은데?</t>
        </is>
      </c>
      <c r="G27" s="9">
        <f>HYPERLINK("https://www.youtube.com/watch?v=CuzNMPzAnpo", "영상 보기 ▶")</f>
        <v/>
      </c>
    </row>
    <row r="28" ht="26" customHeight="1">
      <c r="A28" s="2" t="n">
        <v>2427</v>
      </c>
      <c r="B28" s="3" t="inlineStr">
        <is>
          <t>공감/감정</t>
        </is>
      </c>
      <c r="C28" s="4" t="inlineStr">
        <is>
          <t>bottle up</t>
        </is>
      </c>
      <c r="D28" s="11" t="inlineStr">
        <is>
          <t>(감정을 드러내지 않고) 억누르다</t>
        </is>
      </c>
      <c r="E28" s="11" t="inlineStr">
        <is>
          <t>Don't bottle things up.</t>
        </is>
      </c>
      <c r="F28" s="11" t="inlineStr">
        <is>
          <t>계속 쌓아두지말고 할 말있으면 해</t>
        </is>
      </c>
      <c r="G28" s="5">
        <f>HYPERLINK("https://www.youtube.com/watch?v=CuzNMPzAnpo", "영상 보기 ▶")</f>
        <v/>
      </c>
    </row>
    <row r="29" ht="26" customHeight="1">
      <c r="A29" s="6" t="n">
        <v>2428</v>
      </c>
      <c r="B29" s="7" t="inlineStr">
        <is>
          <t>공감/감정</t>
        </is>
      </c>
      <c r="C29" s="8" t="inlineStr">
        <is>
          <t>Let's talk it out.</t>
        </is>
      </c>
      <c r="D29" s="12" t="inlineStr">
        <is>
          <t>대화해서 풀자/해결하자</t>
        </is>
      </c>
      <c r="E29" s="12" t="inlineStr">
        <is>
          <t>Let's not bottle things up. Let's talk it out.</t>
        </is>
      </c>
      <c r="F29" s="12" t="inlineStr">
        <is>
          <t>속에 담아 두지 말고 얘기해서 풀자.</t>
        </is>
      </c>
      <c r="G29" s="9">
        <f>HYPERLINK("https://www.youtube.com/watch?v=CuzNMPzAnpo", "영상 보기 ▶")</f>
        <v/>
      </c>
    </row>
    <row r="30" ht="26" customHeight="1">
      <c r="A30" s="2" t="n">
        <v>2429</v>
      </c>
      <c r="B30" s="3" t="inlineStr">
        <is>
          <t>공감/감정</t>
        </is>
      </c>
      <c r="C30" s="4" t="inlineStr">
        <is>
          <t>wrap one's head around 대상</t>
        </is>
      </c>
      <c r="D30" s="11" t="inlineStr">
        <is>
          <t>(어렵고 복잡한 걸) 이해하다</t>
        </is>
      </c>
      <c r="E30" s="11" t="inlineStr">
        <is>
          <t>I can't wrap my head around it.</t>
        </is>
      </c>
      <c r="F30" s="11" t="inlineStr">
        <is>
          <t>도저히 이해가 안돼/납득이 안돼.</t>
        </is>
      </c>
      <c r="G30" s="5">
        <f>HYPERLINK("https://www.youtube.com/watch?v=CuzNMPzAnpo", "영상 보기 ▶")</f>
        <v/>
      </c>
    </row>
    <row r="31" ht="26" customHeight="1">
      <c r="A31" s="6" t="n">
        <v>2430</v>
      </c>
      <c r="B31" s="7" t="inlineStr">
        <is>
          <t>실전회화/표현</t>
        </is>
      </c>
      <c r="C31" s="8" t="inlineStr">
        <is>
          <t>be good with</t>
        </is>
      </c>
      <c r="D31" s="12" t="inlineStr">
        <is>
          <t>~를 잘 다루다</t>
        </is>
      </c>
      <c r="E31" s="12" t="inlineStr">
        <is>
          <t>I'm good with numbers.</t>
        </is>
      </c>
      <c r="F31" s="12" t="inlineStr">
        <is>
          <t>숫자를 잘 다뤄/수에 밝아</t>
        </is>
      </c>
      <c r="G31" s="9">
        <f>HYPERLINK("https://www.youtube.com/watch?v=CuzNMPzAnpo", "영상 보기 ▶")</f>
        <v/>
      </c>
    </row>
    <row r="32" ht="26" customHeight="1">
      <c r="A32" s="2" t="n">
        <v>2431</v>
      </c>
      <c r="B32" s="3" t="inlineStr">
        <is>
          <t>실전회화/표현</t>
        </is>
      </c>
      <c r="C32" s="4" t="inlineStr">
        <is>
          <t>get in good with</t>
        </is>
      </c>
      <c r="D32" s="11" t="inlineStr">
        <is>
          <t>~에게 잘 보이다, 환심을 사다</t>
        </is>
      </c>
      <c r="E32" s="11" t="inlineStr">
        <is>
          <t>We need to get in good with Mike. Mike</t>
        </is>
      </c>
      <c r="F32" s="11" t="inlineStr">
        <is>
          <t>에게 잘 보여야 돼.</t>
        </is>
      </c>
      <c r="G32" s="5">
        <f>HYPERLINK("https://www.youtube.com/watch?v=CuzNMPzAnpo", "영상 보기 ▶")</f>
        <v/>
      </c>
    </row>
    <row r="33" ht="26" customHeight="1">
      <c r="A33" s="6" t="n">
        <v>2432</v>
      </c>
      <c r="B33" s="7" t="inlineStr">
        <is>
          <t>대화/인간관계</t>
        </is>
      </c>
      <c r="C33" s="8" t="inlineStr">
        <is>
          <t>get on good terms with</t>
        </is>
      </c>
      <c r="D33" s="12" t="inlineStr">
        <is>
          <t>좋은 관계를 쌓다</t>
        </is>
      </c>
      <c r="E33" s="12" t="inlineStr">
        <is>
          <t>We need to get on good terms with Mike. Mike</t>
        </is>
      </c>
      <c r="F33" s="12" t="inlineStr">
        <is>
          <t>와 좋은 관계를 쌓아야 돼.</t>
        </is>
      </c>
      <c r="G33" s="9">
        <f>HYPERLINK("https://www.youtube.com/watch?v=CuzNMPzAnpo", "영상 보기 ▶")</f>
        <v/>
      </c>
    </row>
    <row r="34" ht="26" customHeight="1">
      <c r="A34" s="2" t="n">
        <v>2433</v>
      </c>
      <c r="B34" s="3" t="inlineStr">
        <is>
          <t>실전회화/표현</t>
        </is>
      </c>
      <c r="C34" s="4" t="inlineStr">
        <is>
          <t>We have our work cut out for us.</t>
        </is>
      </c>
      <c r="D34" s="11" t="inlineStr">
        <is>
          <t>해야 할 일이 산더미야/쉽지 않아/고생좀 하겠어</t>
        </is>
      </c>
      <c r="E34" s="11" t="inlineStr">
        <is>
          <t>We have our work cut out for us.</t>
        </is>
      </c>
      <c r="F34" s="11" t="inlineStr">
        <is>
          <t>해야 할 일이 산더미야/쉽지 않아/고생좀 하겠어</t>
        </is>
      </c>
      <c r="G34" s="5">
        <f>HYPERLINK("https://www.youtube.com/watch?v=CuzNMPzAnpo", "영상 보기 ▶")</f>
        <v/>
      </c>
    </row>
    <row r="35" ht="26" customHeight="1">
      <c r="A35" s="6" t="n">
        <v>2434</v>
      </c>
      <c r="B35" s="7" t="inlineStr">
        <is>
          <t>실전회화/표현</t>
        </is>
      </c>
      <c r="C35" s="8" t="inlineStr">
        <is>
          <t>I'm not cut out for it. (</t>
        </is>
      </c>
      <c r="D35" s="12" t="inlineStr">
        <is>
          <t>성향/기질/성격상) 나한테 안 맞아/적합하지 않아.</t>
        </is>
      </c>
      <c r="E35" s="12" t="inlineStr">
        <is>
          <t>I'm not cut out for the job.</t>
        </is>
      </c>
      <c r="F35" s="12" t="inlineStr">
        <is>
          <t>그 일이 나랑 안 맞더라.</t>
        </is>
      </c>
      <c r="G35" s="9">
        <f>HYPERLINK("https://www.youtube.com/watch?v=CuzNMPzAnpo", "영상 보기 ▶")</f>
        <v/>
      </c>
    </row>
    <row r="36" ht="26" customHeight="1">
      <c r="A36" s="2" t="n">
        <v>2435</v>
      </c>
      <c r="B36" s="3" t="inlineStr">
        <is>
          <t>실전회화/표현</t>
        </is>
      </c>
      <c r="C36" s="4" t="inlineStr">
        <is>
          <t>lean in</t>
        </is>
      </c>
      <c r="D36" s="11" t="inlineStr">
        <is>
          <t>몸을 앞으로 기울이다</t>
        </is>
      </c>
      <c r="E36" s="11" t="inlineStr">
        <is>
          <t>Can you lean in a little? (</t>
        </is>
      </c>
      <c r="F36" s="11" t="inlineStr">
        <is>
          <t>몸을 앞으로 기울여) 좀 가까이 올래?</t>
        </is>
      </c>
      <c r="G36" s="5">
        <f>HYPERLINK("https://www.youtube.com/watch?v=CuzNMPzAnpo", "영상 보기 ▶")</f>
        <v/>
      </c>
    </row>
    <row r="37" ht="26" customHeight="1">
      <c r="A37" s="6" t="n">
        <v>2436</v>
      </c>
      <c r="B37" s="7" t="inlineStr">
        <is>
          <t>실전회화/표현</t>
        </is>
      </c>
      <c r="C37" s="8" t="inlineStr">
        <is>
          <t>lean into</t>
        </is>
      </c>
      <c r="D37" s="12" t="inlineStr">
        <is>
          <t>~를 적극 수용하다, 받아들이고 밀고 나가다</t>
        </is>
      </c>
      <c r="E37" s="12" t="inlineStr">
        <is>
          <t>Let's lean into this strategy.</t>
        </is>
      </c>
      <c r="F37" s="12" t="inlineStr">
        <is>
          <t>이 전략으로 밀고 나가 보자.</t>
        </is>
      </c>
      <c r="G37" s="9">
        <f>HYPERLINK("https://www.youtube.com/watch?v=CuzNMPzAnpo", "영상 보기 ▶")</f>
        <v/>
      </c>
    </row>
    <row r="38" ht="26" customHeight="1">
      <c r="A38" s="2" t="n">
        <v>2437</v>
      </c>
      <c r="B38" s="3" t="inlineStr">
        <is>
          <t>실전회화/표현</t>
        </is>
      </c>
      <c r="C38" s="4" t="inlineStr">
        <is>
          <t>lean on 대상</t>
        </is>
      </c>
      <c r="D38" s="11" t="inlineStr">
        <is>
          <t>~에 기대다/의지하다</t>
        </is>
      </c>
      <c r="E38" s="11" t="inlineStr">
        <is>
          <t>You can always lean on me.</t>
        </is>
      </c>
      <c r="F38" s="11" t="inlineStr">
        <is>
          <t>언제든 내게 기대도 돼.</t>
        </is>
      </c>
      <c r="G38" s="5">
        <f>HYPERLINK("https://www.youtube.com/watch?v=CuzNMPzAnpo", "영상 보기 ▶")</f>
        <v/>
      </c>
    </row>
    <row r="39" ht="26" customHeight="1">
      <c r="A39" s="6" t="n">
        <v>2438</v>
      </c>
      <c r="B39" s="7" t="inlineStr">
        <is>
          <t>실전회화/표현</t>
        </is>
      </c>
      <c r="C39" s="8" t="inlineStr">
        <is>
          <t>lean</t>
        </is>
      </c>
      <c r="D39" s="12" t="inlineStr">
        <is>
          <t>군살이 없는, 기름기가 적은</t>
        </is>
      </c>
      <c r="E39" s="12" t="inlineStr">
        <is>
          <t>It's very lean.</t>
        </is>
      </c>
      <c r="F39" s="12" t="inlineStr">
        <is>
          <t>지방이 적네.</t>
        </is>
      </c>
      <c r="G39" s="9">
        <f>HYPERLINK("https://www.youtube.com/watch?v=CuzNMPzAnpo", "영상 보기 ▶")</f>
        <v/>
      </c>
    </row>
    <row r="40" ht="26" customHeight="1">
      <c r="A40" s="2" t="n">
        <v>2439</v>
      </c>
      <c r="B40" s="3" t="inlineStr">
        <is>
          <t>실전회화/표현</t>
        </is>
      </c>
      <c r="C40" s="4" t="inlineStr">
        <is>
          <t>Don't pull any punches.</t>
        </is>
      </c>
      <c r="D40" s="11" t="inlineStr">
        <is>
          <t>봐주지 말고 솔직히 말해/사정없이 해</t>
        </is>
      </c>
      <c r="E40" s="11" t="inlineStr">
        <is>
          <t>What do you think? Don't pull any punches.</t>
        </is>
      </c>
      <c r="F40" s="11" t="inlineStr">
        <is>
          <t>어떻게 생각해? 좋은 말만 하지말고 솔직히 말해줘.</t>
        </is>
      </c>
      <c r="G40" s="5">
        <f>HYPERLINK("https://www.youtube.com/watch?v=CuzNMPzAnpo", "영상 보기 ▶")</f>
        <v/>
      </c>
    </row>
    <row r="41" ht="26" customHeight="1">
      <c r="A41" s="6" t="n">
        <v>2440</v>
      </c>
      <c r="B41" s="7" t="inlineStr">
        <is>
          <t>실전회화/표현</t>
        </is>
      </c>
      <c r="C41" s="8" t="inlineStr">
        <is>
          <t>Give it to me straight.</t>
        </is>
      </c>
      <c r="D41" s="12" t="inlineStr">
        <is>
          <t>대놓고/솔직히 말해줘</t>
        </is>
      </c>
      <c r="E41" s="12" t="inlineStr">
        <is>
          <t>Don't sugarcoat it. Give it to me straight.</t>
        </is>
      </c>
      <c r="F41" s="12" t="inlineStr">
        <is>
          <t>좋게 포장하지 말고 그냥 있는 그대로 말해줘.</t>
        </is>
      </c>
      <c r="G41" s="9">
        <f>HYPERLINK("https://www.youtube.com/watch?v=CuzNMPzAnpo", "영상 보기 ▶")</f>
        <v/>
      </c>
    </row>
    <row r="42" ht="26" customHeight="1">
      <c r="A42" s="2" t="n">
        <v>2441</v>
      </c>
      <c r="B42" s="3" t="inlineStr">
        <is>
          <t>실전회화/표현</t>
        </is>
      </c>
      <c r="C42" s="4" t="inlineStr">
        <is>
          <t>hard-headed</t>
        </is>
      </c>
      <c r="D42" s="11" t="inlineStr">
        <is>
          <t>고집불통인, 타협하지 않고 완고한, 실리적인</t>
        </is>
      </c>
      <c r="E42" s="11" t="inlineStr">
        <is>
          <t>He's too hard-headed to admit when he's wrong.</t>
        </is>
      </c>
      <c r="F42" s="11" t="inlineStr">
        <is>
          <t>그는 너무 고집불통이라 자신이 틀렸을 때도 인정하지 않아.</t>
        </is>
      </c>
      <c r="G42" s="5">
        <f>HYPERLINK("https://www.youtube.com/watch?v=CuzNMPzAnpo", "영상 보기 ▶")</f>
        <v/>
      </c>
    </row>
    <row r="43" ht="26" customHeight="1">
      <c r="A43" s="6" t="n">
        <v>2442</v>
      </c>
      <c r="B43" s="7" t="inlineStr">
        <is>
          <t>실전회화/표현</t>
        </is>
      </c>
      <c r="C43" s="8" t="inlineStr">
        <is>
          <t>wing it</t>
        </is>
      </c>
      <c r="D43" s="12" t="inlineStr">
        <is>
          <t>즉흥적으로 하다, (제대로 된 준비 없이) 일단 해보다</t>
        </is>
      </c>
      <c r="E43" s="12" t="inlineStr">
        <is>
          <t>I'm just gonna wing it.</t>
        </is>
      </c>
      <c r="F43" s="12" t="inlineStr">
        <is>
          <t>그냥 일단 해보려고.</t>
        </is>
      </c>
      <c r="G43" s="9">
        <f>HYPERLINK("https://www.youtube.com/watch?v=CuzNMPzAnpo", "영상 보기 ▶")</f>
        <v/>
      </c>
    </row>
    <row r="44" ht="26" customHeight="1">
      <c r="A44" s="2" t="n">
        <v>2443</v>
      </c>
      <c r="B44" s="3" t="inlineStr">
        <is>
          <t>실전회화/표현</t>
        </is>
      </c>
      <c r="C44" s="4" t="inlineStr">
        <is>
          <t>get under your skin</t>
        </is>
      </c>
      <c r="D44" s="11" t="inlineStr">
        <is>
          <t>신경 쓰이게 하다/짜증나게 하다</t>
        </is>
      </c>
      <c r="E44" s="11" t="inlineStr">
        <is>
          <t>He really gets under my skin.</t>
        </is>
      </c>
      <c r="F44" s="11" t="inlineStr">
        <is>
          <t>걔 진짜 짜증나.</t>
        </is>
      </c>
      <c r="G44" s="5">
        <f>HYPERLINK("https://www.youtube.com/watch?v=CuzNMPzAnpo", "영상 보기 ▶")</f>
        <v/>
      </c>
    </row>
    <row r="45" ht="26" customHeight="1">
      <c r="A45" s="6" t="n">
        <v>2444</v>
      </c>
      <c r="B45" s="7" t="inlineStr">
        <is>
          <t>실전회화/표현</t>
        </is>
      </c>
      <c r="C45" s="8" t="inlineStr">
        <is>
          <t>hold back</t>
        </is>
      </c>
      <c r="D45" s="12" t="inlineStr">
        <is>
          <t>(나아가지 못하게) 방해/저지하다</t>
        </is>
      </c>
      <c r="E45" s="12" t="inlineStr">
        <is>
          <t>What's holding you back?</t>
        </is>
      </c>
      <c r="F45" s="12" t="inlineStr">
        <is>
          <t>뭐 때문에 그리 망설이는거야/뭐가 발목을 붙잡는거야?</t>
        </is>
      </c>
      <c r="G45" s="9">
        <f>HYPERLINK("https://www.youtube.com/watch?v=CuzNMPzAnpo", "영상 보기 ▶")</f>
        <v/>
      </c>
    </row>
    <row r="46" ht="26" customHeight="1">
      <c r="A46" s="2" t="n">
        <v>2445</v>
      </c>
      <c r="B46" s="3" t="inlineStr">
        <is>
          <t>실전회화/표현</t>
        </is>
      </c>
      <c r="C46" s="4" t="inlineStr">
        <is>
          <t>hold back</t>
        </is>
      </c>
      <c r="D46" s="11" t="inlineStr">
        <is>
          <t>~를 비밀로 하다/말하지 않다</t>
        </is>
      </c>
      <c r="E46" s="11" t="inlineStr">
        <is>
          <t>You can be open with me. Don't hold anything back.</t>
        </is>
      </c>
      <c r="F46" s="11" t="inlineStr">
        <is>
          <t>숨기지 않고 그냥 툭 터놓고 말해도 돼.</t>
        </is>
      </c>
      <c r="G46" s="5">
        <f>HYPERLINK("https://www.youtube.com/watch?v=CuzNMPzAnpo", "영상 보기 ▶")</f>
        <v/>
      </c>
    </row>
    <row r="47" ht="26" customHeight="1">
      <c r="A47" s="6" t="n">
        <v>2446</v>
      </c>
      <c r="B47" s="7" t="inlineStr">
        <is>
          <t>실전회화/표현</t>
        </is>
      </c>
      <c r="C47" s="8" t="inlineStr">
        <is>
          <t>carry on</t>
        </is>
      </c>
      <c r="D47" s="12" t="inlineStr">
        <is>
          <t>계속하다/멈추지 않고 이어가다</t>
        </is>
      </c>
      <c r="E47" s="12" t="inlineStr">
        <is>
          <t>Carry on.</t>
        </is>
      </c>
      <c r="F47" s="12" t="inlineStr">
        <is>
          <t>계속해.</t>
        </is>
      </c>
      <c r="G47" s="9">
        <f>HYPERLINK("https://www.youtube.com/watch?v=CuzNMPzAnpo", "영상 보기 ▶")</f>
        <v/>
      </c>
    </row>
    <row r="48" ht="26" customHeight="1">
      <c r="A48" s="2" t="n">
        <v>2447</v>
      </c>
      <c r="B48" s="3" t="inlineStr">
        <is>
          <t>공감/감정</t>
        </is>
      </c>
      <c r="C48" s="4" t="inlineStr">
        <is>
          <t>get carried away</t>
        </is>
      </c>
      <c r="D48" s="11" t="inlineStr">
        <is>
          <t>(흥분/감정에) 휩쓸리다</t>
        </is>
      </c>
      <c r="E48" s="11" t="inlineStr">
        <is>
          <t>I got carried away and spent too much money.</t>
        </is>
      </c>
      <c r="F48" s="11" t="inlineStr">
        <is>
          <t>신나서 돈을 너무 많이 써버렸어.</t>
        </is>
      </c>
      <c r="G48" s="5">
        <f>HYPERLINK("https://www.youtube.com/watch?v=CuzNMPzAnpo", "영상 보기 ▶")</f>
        <v/>
      </c>
    </row>
    <row r="49" ht="26" customHeight="1">
      <c r="A49" s="6" t="n">
        <v>2448</v>
      </c>
      <c r="B49" s="7" t="inlineStr">
        <is>
          <t>실전회화/표현</t>
        </is>
      </c>
      <c r="C49" s="8" t="inlineStr">
        <is>
          <t>carry over</t>
        </is>
      </c>
      <c r="D49" s="12" t="inlineStr">
        <is>
          <t>이월되다/(다른 상황에서 계속) 이어지다</t>
        </is>
      </c>
      <c r="E49" s="12" t="inlineStr">
        <is>
          <t>Do they carry over to next year? (</t>
        </is>
      </c>
      <c r="F49" s="12" t="inlineStr">
        <is>
          <t>휴가/포인트) 다 안써도 내년으로 이월되나요?</t>
        </is>
      </c>
      <c r="G49" s="9">
        <f>HYPERLINK("https://www.youtube.com/watch?v=CuzNMPzAnpo", "영상 보기 ▶")</f>
        <v/>
      </c>
    </row>
    <row r="50" ht="26" customHeight="1">
      <c r="A50" s="2" t="n">
        <v>2449</v>
      </c>
      <c r="B50" s="3" t="inlineStr">
        <is>
          <t>의견/의사결정</t>
        </is>
      </c>
      <c r="C50" s="4" t="inlineStr">
        <is>
          <t>my go-to</t>
        </is>
      </c>
      <c r="D50" s="11" t="inlineStr">
        <is>
          <t>내 기본 선택/가장 먼저 떠올리는/믿고 찾는</t>
        </is>
      </c>
      <c r="E50" s="11" t="inlineStr">
        <is>
          <t>It's my go-to cafe.</t>
        </is>
      </c>
      <c r="F50" s="11" t="inlineStr">
        <is>
          <t>거긴 내가 늘 가는 카페야.</t>
        </is>
      </c>
      <c r="G50" s="5">
        <f>HYPERLINK("https://www.youtube.com/watch?v=CuzNMPzAnpo", "영상 보기 ▶")</f>
        <v/>
      </c>
    </row>
    <row r="51" ht="26" customHeight="1">
      <c r="A51" s="6" t="n">
        <v>2450</v>
      </c>
      <c r="B51" s="7" t="inlineStr">
        <is>
          <t>실전회화/표현</t>
        </is>
      </c>
      <c r="C51" s="8" t="inlineStr">
        <is>
          <t>carry 사람 through</t>
        </is>
      </c>
      <c r="D51" s="12" t="inlineStr">
        <is>
          <t>(위기/힘든 시기를) ~가 헤쳐나가게 하다</t>
        </is>
      </c>
      <c r="E51" s="12" t="inlineStr">
        <is>
          <t>He carried me through that.</t>
        </is>
      </c>
      <c r="F51" s="12" t="inlineStr">
        <is>
          <t>걔 덕분에 버텼어.</t>
        </is>
      </c>
      <c r="G51" s="9">
        <f>HYPERLINK("https://www.youtube.com/watch?v=CuzNMPzAnpo", "영상 보기 ▶")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9" customWidth="1" min="3" max="3"/>
    <col width="36.9" customWidth="1" min="4" max="4"/>
    <col width="45" customWidth="1" min="5" max="5"/>
    <col width="62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2451</v>
      </c>
      <c r="B2" s="3" t="inlineStr">
        <is>
          <t>실전회화/표현</t>
        </is>
      </c>
      <c r="C2" s="4" t="inlineStr">
        <is>
          <t>thrive</t>
        </is>
      </c>
      <c r="D2" s="11" t="inlineStr">
        <is>
          <t>번창하다, 정말 잘 해내다/지내다</t>
        </is>
      </c>
      <c r="E2" s="11" t="inlineStr">
        <is>
          <t>She's thriving in her new job.</t>
        </is>
      </c>
      <c r="F2" s="11" t="inlineStr">
        <is>
          <t>새 직장에서 정말 잘 지내고 있어</t>
        </is>
      </c>
      <c r="G2" s="5">
        <f>HYPERLINK("https://www.youtube.com/watch?v=QMDTwfwdN1Q", "영상 보기 ▶")</f>
        <v/>
      </c>
    </row>
    <row r="3" ht="26" customHeight="1">
      <c r="A3" s="6" t="n">
        <v>2452</v>
      </c>
      <c r="B3" s="7" t="inlineStr">
        <is>
          <t>실전회화/표현</t>
        </is>
      </c>
      <c r="C3" s="8" t="inlineStr">
        <is>
          <t>myself</t>
        </is>
      </c>
      <c r="D3" s="12" t="inlineStr">
        <is>
          <t>'직접'이란걸 강조할때</t>
        </is>
      </c>
      <c r="E3" s="12" t="inlineStr">
        <is>
          <t>I figured it out myself.</t>
        </is>
      </c>
      <c r="F3" s="12" t="inlineStr">
        <is>
          <t>내가 직접 알아냈어</t>
        </is>
      </c>
      <c r="G3" s="9">
        <f>HYPERLINK("https://www.youtube.com/watch?v=QMDTwfwdN1Q", "영상 보기 ▶")</f>
        <v/>
      </c>
    </row>
    <row r="4" ht="26" customHeight="1">
      <c r="A4" s="2" t="n">
        <v>2453</v>
      </c>
      <c r="B4" s="3" t="inlineStr">
        <is>
          <t>실전회화/표현</t>
        </is>
      </c>
      <c r="C4" s="4" t="inlineStr">
        <is>
          <t>civil</t>
        </is>
      </c>
      <c r="D4" s="11" t="inlineStr">
        <is>
          <t>예의바른, 정중한</t>
        </is>
      </c>
      <c r="E4" s="11" t="inlineStr">
        <is>
          <t>Let's keep it civil.</t>
        </is>
      </c>
      <c r="F4" s="11" t="inlineStr">
        <is>
          <t>서로 예의는 지키자/선 넘진 말자</t>
        </is>
      </c>
      <c r="G4" s="5">
        <f>HYPERLINK("https://www.youtube.com/watch?v=QMDTwfwdN1Q", "영상 보기 ▶")</f>
        <v/>
      </c>
    </row>
    <row r="5" ht="26" customHeight="1">
      <c r="A5" s="6" t="n">
        <v>2454</v>
      </c>
      <c r="B5" s="7" t="inlineStr">
        <is>
          <t>대화/인간관계</t>
        </is>
      </c>
      <c r="C5" s="8" t="inlineStr">
        <is>
          <t>You thought of everything!</t>
        </is>
      </c>
      <c r="D5" s="12" t="inlineStr">
        <is>
          <t>어쩜 이런것까지 챙겼어/진짜 센스 넘치네</t>
        </is>
      </c>
      <c r="E5" s="12" t="inlineStr">
        <is>
          <t>You thought of everything!</t>
        </is>
      </c>
      <c r="F5" s="12" t="inlineStr">
        <is>
          <t>어쩜 이런것까지 챙겼어/진짜 센스 넘치네</t>
        </is>
      </c>
      <c r="G5" s="9">
        <f>HYPERLINK("https://www.youtube.com/watch?v=QMDTwfwdN1Q", "영상 보기 ▶")</f>
        <v/>
      </c>
    </row>
    <row r="6" ht="26" customHeight="1">
      <c r="A6" s="2" t="n">
        <v>2455</v>
      </c>
      <c r="B6" s="3" t="inlineStr">
        <is>
          <t>실전회화/표현</t>
        </is>
      </c>
      <c r="C6" s="4" t="inlineStr">
        <is>
          <t>back up</t>
        </is>
      </c>
      <c r="D6" s="11" t="inlineStr">
        <is>
          <t>뒤로 물러나다/돌아가다</t>
        </is>
      </c>
      <c r="E6" s="11" t="inlineStr">
        <is>
          <t>Can you back up a second?</t>
        </is>
      </c>
      <c r="F6" s="11" t="inlineStr">
        <is>
          <t>잠깐 다시 얘기/좀 전에 한말 다시 해줄수 있어?</t>
        </is>
      </c>
      <c r="G6" s="5">
        <f>HYPERLINK("https://www.youtube.com/watch?v=QMDTwfwdN1Q", "영상 보기 ▶")</f>
        <v/>
      </c>
    </row>
    <row r="7" ht="26" customHeight="1">
      <c r="A7" s="6" t="n">
        <v>2456</v>
      </c>
      <c r="B7" s="7" t="inlineStr">
        <is>
          <t>실전회화/표현</t>
        </is>
      </c>
      <c r="C7" s="8" t="inlineStr">
        <is>
          <t>back up</t>
        </is>
      </c>
      <c r="D7" s="12" t="inlineStr">
        <is>
          <t>'도와주다/지원하다'의</t>
        </is>
      </c>
      <c r="E7" s="12" t="inlineStr">
        <is>
          <t>Sarah, can you back me up?</t>
        </is>
      </c>
      <c r="F7" s="12" t="inlineStr">
        <is>
          <t>그 질문엔 어떻게 답해야할지 모르겠는데</t>
        </is>
      </c>
      <c r="G7" s="9">
        <f>HYPERLINK("https://www.youtube.com/watch?v=QMDTwfwdN1Q", "영상 보기 ▶")</f>
        <v/>
      </c>
    </row>
    <row r="8" ht="26" customHeight="1">
      <c r="A8" s="2" t="n">
        <v>2457</v>
      </c>
      <c r="B8" s="3" t="inlineStr">
        <is>
          <t>실전회화/표현</t>
        </is>
      </c>
      <c r="C8" s="4" t="inlineStr">
        <is>
          <t>Just be yourself.</t>
        </is>
      </c>
      <c r="D8" s="11" t="inlineStr">
        <is>
          <t>그냥 너답게 해/평소처럼 해</t>
        </is>
      </c>
      <c r="E8" s="11" t="inlineStr">
        <is>
          <t>Just be yourself.</t>
        </is>
      </c>
      <c r="F8" s="11" t="inlineStr">
        <is>
          <t>그냥 너답게 해/평소처럼 해</t>
        </is>
      </c>
      <c r="G8" s="5">
        <f>HYPERLINK("https://www.youtube.com/watch?v=QMDTwfwdN1Q", "영상 보기 ▶")</f>
        <v/>
      </c>
    </row>
    <row r="9" ht="26" customHeight="1">
      <c r="A9" s="6" t="n">
        <v>2458</v>
      </c>
      <c r="B9" s="7" t="inlineStr">
        <is>
          <t>실전회화/표현</t>
        </is>
      </c>
      <c r="C9" s="8" t="inlineStr">
        <is>
          <t>blow off</t>
        </is>
      </c>
      <c r="D9" s="12" t="inlineStr">
        <is>
          <t>바람 맞히다/무시하다</t>
        </is>
      </c>
      <c r="E9" s="12" t="inlineStr">
        <is>
          <t>My last appointment blew me off.</t>
        </is>
      </c>
      <c r="F9" s="12" t="inlineStr">
        <is>
          <t>마지막 고객이 바람 맞혔어/안 왔어</t>
        </is>
      </c>
      <c r="G9" s="9">
        <f>HYPERLINK("https://www.youtube.com/watch?v=QMDTwfwdN1Q", "영상 보기 ▶")</f>
        <v/>
      </c>
    </row>
    <row r="10" ht="26" customHeight="1">
      <c r="A10" s="2" t="n">
        <v>2459</v>
      </c>
      <c r="B10" s="3" t="inlineStr">
        <is>
          <t>실전회화/표현</t>
        </is>
      </c>
      <c r="C10" s="4" t="inlineStr">
        <is>
          <t>sink</t>
        </is>
      </c>
      <c r="D10" s="11" t="inlineStr">
        <is>
          <t>가라앉다</t>
        </is>
      </c>
      <c r="E10" s="11" t="inlineStr">
        <is>
          <t>It's sink or swim.</t>
        </is>
      </c>
      <c r="F10" s="11" t="inlineStr">
        <is>
          <t>가라앉든 수영하든/성공하든 실패하든/죽이되든 밥이되든 알아서 해야 해</t>
        </is>
      </c>
      <c r="G10" s="5">
        <f>HYPERLINK("https://www.youtube.com/watch?v=QMDTwfwdN1Q", "영상 보기 ▶")</f>
        <v/>
      </c>
    </row>
    <row r="11" ht="26" customHeight="1">
      <c r="A11" s="6" t="n">
        <v>2460</v>
      </c>
      <c r="B11" s="7" t="inlineStr">
        <is>
          <t>공감/감정</t>
        </is>
      </c>
      <c r="C11" s="8" t="inlineStr">
        <is>
          <t>sink in</t>
        </is>
      </c>
      <c r="D11" s="12" t="inlineStr">
        <is>
          <t>실감나다/충분히 이해되다/와닿다</t>
        </is>
      </c>
      <c r="E11" s="12" t="inlineStr">
        <is>
          <t>It hasn't sunk in yet.</t>
        </is>
      </c>
      <c r="F11" s="12" t="inlineStr">
        <is>
          <t>아직 실감이 안나/안 와닿아</t>
        </is>
      </c>
      <c r="G11" s="9">
        <f>HYPERLINK("https://www.youtube.com/watch?v=QMDTwfwdN1Q", "영상 보기 ▶")</f>
        <v/>
      </c>
    </row>
    <row r="12" ht="26" customHeight="1">
      <c r="A12" s="2" t="n">
        <v>2461</v>
      </c>
      <c r="B12" s="3" t="inlineStr">
        <is>
          <t>실전회화/표현</t>
        </is>
      </c>
      <c r="C12" s="4" t="inlineStr">
        <is>
          <t>I'll keep that in mind.</t>
        </is>
      </c>
      <c r="D12" s="11" t="inlineStr">
        <is>
          <t>그 점 기억할게/유념할게/염두에 둘게</t>
        </is>
      </c>
      <c r="E12" s="11" t="inlineStr">
        <is>
          <t>I'll keep that in mind.</t>
        </is>
      </c>
      <c r="F12" s="11" t="inlineStr">
        <is>
          <t>그 점 기억할게/유념할게/염두에 둘게</t>
        </is>
      </c>
      <c r="G12" s="5">
        <f>HYPERLINK("https://www.youtube.com/watch?v=QMDTwfwdN1Q", "영상 보기 ▶")</f>
        <v/>
      </c>
    </row>
    <row r="13" ht="26" customHeight="1">
      <c r="A13" s="6" t="n">
        <v>2462</v>
      </c>
      <c r="B13" s="7" t="inlineStr">
        <is>
          <t>실전회화/표현</t>
        </is>
      </c>
      <c r="C13" s="8" t="inlineStr">
        <is>
          <t>reason with</t>
        </is>
      </c>
      <c r="D13" s="12" t="inlineStr">
        <is>
          <t>~와 이성적으로/논리적으로 얘기하다</t>
        </is>
      </c>
      <c r="E13" s="12" t="inlineStr">
        <is>
          <t>Let's try to reason with him.</t>
        </is>
      </c>
      <c r="F13" s="12" t="inlineStr">
        <is>
          <t>논리적으로/차분히 잘 얘기해보자</t>
        </is>
      </c>
      <c r="G13" s="9">
        <f>HYPERLINK("https://www.youtube.com/watch?v=QMDTwfwdN1Q", "영상 보기 ▶")</f>
        <v/>
      </c>
    </row>
    <row r="14" ht="26" customHeight="1">
      <c r="A14" s="2" t="n">
        <v>2463</v>
      </c>
      <c r="B14" s="3" t="inlineStr">
        <is>
          <t>실전회화/표현</t>
        </is>
      </c>
      <c r="C14" s="4" t="inlineStr">
        <is>
          <t>동사 mark</t>
        </is>
      </c>
      <c r="D14" s="11" t="inlineStr">
        <is>
          <t>표시하다/새겨두다</t>
        </is>
      </c>
      <c r="E14" s="11" t="inlineStr">
        <is>
          <t>Mark your calendar.</t>
        </is>
      </c>
      <c r="F14" s="11" t="inlineStr">
        <is>
          <t>중요한 날이니 달력에 표시해둬</t>
        </is>
      </c>
      <c r="G14" s="5">
        <f>HYPERLINK("https://www.youtube.com/watch?v=QMDTwfwdN1Q", "영상 보기 ▶")</f>
        <v/>
      </c>
    </row>
    <row r="15" ht="26" customHeight="1">
      <c r="A15" s="6" t="n">
        <v>2464</v>
      </c>
      <c r="B15" s="7" t="inlineStr">
        <is>
          <t>실전회화/표현</t>
        </is>
      </c>
      <c r="C15" s="8" t="inlineStr">
        <is>
          <t>전치사 past</t>
        </is>
      </c>
      <c r="D15" s="12" t="inlineStr">
        <is>
          <t>~를 지나/넘어서</t>
        </is>
      </c>
      <c r="E15" s="12" t="inlineStr">
        <is>
          <t>We're past that point.</t>
        </is>
      </c>
      <c r="F15" s="12" t="inlineStr">
        <is>
          <t>그럴 단계는 이미 지났어</t>
        </is>
      </c>
      <c r="G15" s="9">
        <f>HYPERLINK("https://www.youtube.com/watch?v=QMDTwfwdN1Q", "영상 보기 ▶")</f>
        <v/>
      </c>
    </row>
    <row r="16" ht="26" customHeight="1">
      <c r="A16" s="2" t="n">
        <v>2465</v>
      </c>
      <c r="B16" s="3" t="inlineStr">
        <is>
          <t>실전회화/표현</t>
        </is>
      </c>
      <c r="C16" s="4" t="inlineStr">
        <is>
          <t>Hang in there.</t>
        </is>
      </c>
      <c r="D16" s="11" t="inlineStr">
        <is>
          <t>힘내/조금만 버텨</t>
        </is>
      </c>
      <c r="E16" s="11" t="inlineStr">
        <is>
          <t>A:How are you holding up?</t>
        </is>
      </c>
      <c r="F16" s="11" t="inlineStr">
        <is>
          <t>요즘 좀 어때?/괜찮아?</t>
        </is>
      </c>
      <c r="G16" s="5">
        <f>HYPERLINK("https://www.youtube.com/watch?v=QMDTwfwdN1Q", "영상 보기 ▶")</f>
        <v/>
      </c>
    </row>
    <row r="17" ht="26" customHeight="1">
      <c r="A17" s="6" t="n">
        <v>2466</v>
      </c>
      <c r="B17" s="7" t="inlineStr">
        <is>
          <t>실전회화/표현</t>
        </is>
      </c>
      <c r="C17" s="8" t="inlineStr">
        <is>
          <t>thick-skinned</t>
        </is>
      </c>
      <c r="D17" s="12" t="inlineStr">
        <is>
          <t>쉽게 동요하지 않는</t>
        </is>
      </c>
      <c r="E17" s="12" t="inlineStr">
        <is>
          <t>He's thick-skinned.</t>
        </is>
      </c>
      <c r="F17" s="12" t="inlineStr">
        <is>
          <t>걘 웬만한 말엔 끄떡 없어</t>
        </is>
      </c>
      <c r="G17" s="9">
        <f>HYPERLINK("https://www.youtube.com/watch?v=QMDTwfwdN1Q", "영상 보기 ▶")</f>
        <v/>
      </c>
    </row>
    <row r="18" ht="26" customHeight="1">
      <c r="A18" s="2" t="n">
        <v>2467</v>
      </c>
      <c r="B18" s="3" t="inlineStr">
        <is>
          <t>실전회화/표현</t>
        </is>
      </c>
      <c r="C18" s="4" t="inlineStr">
        <is>
          <t>vulnerable</t>
        </is>
      </c>
      <c r="D18" s="11" t="inlineStr">
        <is>
          <t>취약한, 연약한</t>
        </is>
      </c>
      <c r="E18" s="11" t="inlineStr">
        <is>
          <t>We're in a vulnerable spot right now.</t>
        </is>
      </c>
      <c r="F18" s="11" t="inlineStr">
        <is>
          <t>지금 좀 타격을 입기 쉬운 상황이야/힘들ㅇᆢ</t>
        </is>
      </c>
      <c r="G18" s="5">
        <f>HYPERLINK("https://www.youtube.com/watch?v=QMDTwfwdN1Q", "영상 보기 ▶")</f>
        <v/>
      </c>
    </row>
    <row r="19" ht="26" customHeight="1">
      <c r="A19" s="6" t="n">
        <v>2468</v>
      </c>
      <c r="B19" s="7" t="inlineStr">
        <is>
          <t>실전회화/표현</t>
        </is>
      </c>
      <c r="C19" s="8" t="inlineStr">
        <is>
          <t>blow off steam</t>
        </is>
      </c>
      <c r="D19" s="12" t="inlineStr">
        <is>
          <t>열을 식히다/스트레스를 풀다</t>
        </is>
      </c>
      <c r="E19" s="12" t="inlineStr">
        <is>
          <t>I need to blow off some steam.</t>
        </is>
      </c>
      <c r="F19" s="12" t="inlineStr">
        <is>
          <t>오늘 좀 힘들어서 나 열 좀 식혀야겠어</t>
        </is>
      </c>
      <c r="G19" s="9">
        <f>HYPERLINK("https://www.youtube.com/watch?v=QMDTwfwdN1Q", "영상 보기 ▶")</f>
        <v/>
      </c>
    </row>
    <row r="20" ht="26" customHeight="1">
      <c r="A20" s="2" t="n">
        <v>2469</v>
      </c>
      <c r="B20" s="3" t="inlineStr">
        <is>
          <t>전화 영어</t>
        </is>
      </c>
      <c r="C20" s="4" t="inlineStr">
        <is>
          <t>cut off</t>
        </is>
      </c>
      <c r="D20" s="11" t="inlineStr">
        <is>
          <t>1)전화가 끊길때</t>
        </is>
      </c>
      <c r="E20" s="11" t="inlineStr">
        <is>
          <t>I think I got cut off.</t>
        </is>
      </c>
      <c r="F20" s="11" t="inlineStr">
        <is>
          <t>전화가 끊긴것 같아요</t>
        </is>
      </c>
      <c r="G20" s="5">
        <f>HYPERLINK("https://www.youtube.com/watch?v=QMDTwfwdN1Q", "영상 보기 ▶")</f>
        <v/>
      </c>
    </row>
    <row r="21" ht="26" customHeight="1">
      <c r="A21" s="6" t="n">
        <v>2470</v>
      </c>
      <c r="B21" s="7" t="inlineStr">
        <is>
          <t>실전회화/표현</t>
        </is>
      </c>
      <c r="C21" s="8" t="inlineStr">
        <is>
          <t>Get out of here.</t>
        </is>
      </c>
      <c r="D21" s="12" t="inlineStr">
        <is>
          <t>여기서 나가</t>
        </is>
      </c>
      <c r="E21" s="12" t="inlineStr">
        <is>
          <t>Get out of here.</t>
        </is>
      </c>
      <c r="F21" s="12" t="inlineStr">
        <is>
          <t>여기서 나가</t>
        </is>
      </c>
      <c r="G21" s="9">
        <f>HYPERLINK("https://www.youtube.com/watch?v=QMDTwfwdN1Q", "영상 보기 ▶")</f>
        <v/>
      </c>
    </row>
    <row r="22" ht="26" customHeight="1">
      <c r="A22" s="2" t="n">
        <v>2471</v>
      </c>
      <c r="B22" s="3" t="inlineStr">
        <is>
          <t>실전회화/표현</t>
        </is>
      </c>
      <c r="C22" s="4" t="inlineStr">
        <is>
          <t>back out</t>
        </is>
      </c>
      <c r="D22" s="11" t="inlineStr">
        <is>
          <t>발빼다, 취소하다, 빠지다</t>
        </is>
      </c>
      <c r="E22" s="11" t="inlineStr">
        <is>
          <t>He backed out at the last minute.</t>
        </is>
      </c>
      <c r="F22" s="11" t="inlineStr">
        <is>
          <t>막판에 발 뺐어/취소했어/맘 바꿨어</t>
        </is>
      </c>
      <c r="G22" s="5">
        <f>HYPERLINK("https://www.youtube.com/watch?v=QMDTwfwdN1Q", "영상 보기 ▶")</f>
        <v/>
      </c>
    </row>
    <row r="23" ht="26" customHeight="1">
      <c r="A23" s="6" t="n">
        <v>2472</v>
      </c>
      <c r="B23" s="7" t="inlineStr">
        <is>
          <t>실전회화/표현</t>
        </is>
      </c>
      <c r="C23" s="8" t="inlineStr">
        <is>
          <t>Come again?</t>
        </is>
      </c>
      <c r="D23" s="12" t="inlineStr">
        <is>
          <t>뭐라고?/다시 말해줄래?</t>
        </is>
      </c>
      <c r="E23" s="12" t="inlineStr">
        <is>
          <t>Come again?</t>
        </is>
      </c>
      <c r="F23" s="12" t="inlineStr">
        <is>
          <t>뭐라고?/다시 말해줄래?</t>
        </is>
      </c>
      <c r="G23" s="9">
        <f>HYPERLINK("https://www.youtube.com/watch?v=QMDTwfwdN1Q", "영상 보기 ▶")</f>
        <v/>
      </c>
    </row>
    <row r="24" ht="26" customHeight="1">
      <c r="A24" s="2" t="n">
        <v>2473</v>
      </c>
      <c r="B24" s="3" t="inlineStr">
        <is>
          <t>실전회화/표현</t>
        </is>
      </c>
      <c r="C24" s="4" t="inlineStr">
        <is>
          <t>surface level</t>
        </is>
      </c>
      <c r="D24" s="11" t="inlineStr">
        <is>
          <t>표면적인 수준/깊이가 없는/겉핥기 수준</t>
        </is>
      </c>
      <c r="E24" s="11" t="inlineStr">
        <is>
          <t>We just had a surface-level conversation.</t>
        </is>
      </c>
      <c r="F24" s="11" t="inlineStr">
        <is>
          <t>그냥 겉도는/피상적인 얘기만 했어</t>
        </is>
      </c>
      <c r="G24" s="5">
        <f>HYPERLINK("https://www.youtube.com/watch?v=QMDTwfwdN1Q", "영상 보기 ▶")</f>
        <v/>
      </c>
    </row>
    <row r="25" ht="26" customHeight="1">
      <c r="A25" s="6" t="n">
        <v>2474</v>
      </c>
      <c r="B25" s="7" t="inlineStr">
        <is>
          <t>실전회화/표현</t>
        </is>
      </c>
      <c r="C25" s="8" t="inlineStr">
        <is>
          <t>Keep it up.</t>
        </is>
      </c>
      <c r="D25" s="12" t="inlineStr">
        <is>
          <t>같은 '계속해'가 아닌</t>
        </is>
      </c>
      <c r="E25" s="12" t="inlineStr">
        <is>
          <t>Keep at it.</t>
        </is>
      </c>
      <c r="F25" s="12" t="inlineStr">
        <is>
          <t>포기하지 말고 계속해</t>
        </is>
      </c>
      <c r="G25" s="9">
        <f>HYPERLINK("https://www.youtube.com/watch?v=QMDTwfwdN1Q", "영상 보기 ▶")</f>
        <v/>
      </c>
    </row>
    <row r="26" ht="26" customHeight="1">
      <c r="A26" s="2" t="n">
        <v>2475</v>
      </c>
      <c r="B26" s="3" t="inlineStr">
        <is>
          <t>실전회화/표현</t>
        </is>
      </c>
      <c r="C26" s="4" t="inlineStr">
        <is>
          <t>Keep up with 대상</t>
        </is>
      </c>
      <c r="D26" s="11" t="inlineStr">
        <is>
          <t>따라가다</t>
        </is>
      </c>
      <c r="E26" s="11" t="inlineStr">
        <is>
          <t>I can't keep up with you.</t>
        </is>
      </c>
      <c r="F26" s="11" t="inlineStr">
        <is>
          <t>네 속도를 따라갈수가 없어/벅차</t>
        </is>
      </c>
      <c r="G26" s="5">
        <f>HYPERLINK("https://www.youtube.com/watch?v=QMDTwfwdN1Q", "영상 보기 ▶")</f>
        <v/>
      </c>
    </row>
    <row r="27" ht="26" customHeight="1">
      <c r="A27" s="6" t="n">
        <v>2476</v>
      </c>
      <c r="B27" s="7" t="inlineStr">
        <is>
          <t>공감/감정</t>
        </is>
      </c>
      <c r="C27" s="8" t="inlineStr">
        <is>
          <t>follow</t>
        </is>
      </c>
      <c r="D27" s="12" t="inlineStr">
        <is>
          <t>이해하다</t>
        </is>
      </c>
      <c r="E27" s="12" t="inlineStr">
        <is>
          <t>Do you follow?</t>
        </is>
      </c>
      <c r="F27" s="12" t="inlineStr">
        <is>
          <t>무슨 말인지 이해 돼?</t>
        </is>
      </c>
      <c r="G27" s="9">
        <f>HYPERLINK("https://www.youtube.com/watch?v=QMDTwfwdN1Q", "영상 보기 ▶")</f>
        <v/>
      </c>
    </row>
    <row r="28" ht="26" customHeight="1">
      <c r="A28" s="2" t="n">
        <v>2477</v>
      </c>
      <c r="B28" s="3" t="inlineStr">
        <is>
          <t>실전회화/표현</t>
        </is>
      </c>
      <c r="C28" s="4" t="inlineStr">
        <is>
          <t>outdo oneself</t>
        </is>
      </c>
      <c r="D28" s="11" t="inlineStr">
        <is>
          <t>평소보다 훨씬 더 잘하다</t>
        </is>
      </c>
      <c r="E28" s="11" t="inlineStr">
        <is>
          <t>You outdid yourself!</t>
        </is>
      </c>
      <c r="F28" s="11" t="inlineStr">
        <is>
          <t>정말 역대급으로 잘했어</t>
        </is>
      </c>
      <c r="G28" s="5">
        <f>HYPERLINK("https://www.youtube.com/watch?v=QMDTwfwdN1Q", "영상 보기 ▶")</f>
        <v/>
      </c>
    </row>
    <row r="29" ht="26" customHeight="1">
      <c r="A29" s="6" t="n">
        <v>2478</v>
      </c>
      <c r="B29" s="7" t="inlineStr">
        <is>
          <t>실전회화/표현</t>
        </is>
      </c>
      <c r="C29" s="8" t="inlineStr">
        <is>
          <t>outperform</t>
        </is>
      </c>
      <c r="D29" s="12" t="inlineStr">
        <is>
          <t>~보다 성과/성능이 더 뛰어나다</t>
        </is>
      </c>
      <c r="E29" s="12" t="inlineStr">
        <is>
          <t>Our team outperformed everyone else.</t>
        </is>
      </c>
      <c r="F29" s="12" t="inlineStr">
        <is>
          <t>우리 팀이 다른 팀보다 성과가 더 좋아</t>
        </is>
      </c>
      <c r="G29" s="9">
        <f>HYPERLINK("https://www.youtube.com/watch?v=QMDTwfwdN1Q", "영상 보기 ▶")</f>
        <v/>
      </c>
    </row>
    <row r="30" ht="26" customHeight="1">
      <c r="A30" s="2" t="n">
        <v>2479</v>
      </c>
      <c r="B30" s="3" t="inlineStr">
        <is>
          <t>실전회화/표현</t>
        </is>
      </c>
      <c r="C30" s="4" t="inlineStr">
        <is>
          <t>outweigh</t>
        </is>
      </c>
      <c r="D30" s="11" t="inlineStr">
        <is>
          <t>~보다 더 무겁다/크다/중요하다</t>
        </is>
      </c>
      <c r="E30" s="11" t="inlineStr">
        <is>
          <t>The pros outweigh the cons.</t>
        </is>
      </c>
      <c r="F30" s="11" t="inlineStr">
        <is>
          <t>장점이 단점보다 더 많아</t>
        </is>
      </c>
      <c r="G30" s="5">
        <f>HYPERLINK("https://www.youtube.com/watch?v=QMDTwfwdN1Q", "영상 보기 ▶")</f>
        <v/>
      </c>
    </row>
    <row r="31" ht="26" customHeight="1">
      <c r="A31" s="6" t="n">
        <v>2480</v>
      </c>
      <c r="B31" s="7" t="inlineStr">
        <is>
          <t>실전회화/표현</t>
        </is>
      </c>
      <c r="C31" s="8" t="inlineStr">
        <is>
          <t>unpack</t>
        </is>
      </c>
      <c r="D31" s="12" t="inlineStr">
        <is>
          <t>파헤쳐보다/자세히 살펴보다/분석하다</t>
        </is>
      </c>
      <c r="E31" s="12" t="inlineStr">
        <is>
          <t>Let's unpack that.</t>
        </is>
      </c>
      <c r="F31" s="12" t="inlineStr">
        <is>
          <t>그 부분에 대해 좀 자세히 얘기해보자</t>
        </is>
      </c>
      <c r="G31" s="9">
        <f>HYPERLINK("https://www.youtube.com/watch?v=QMDTwfwdN1Q", "영상 보기 ▶")</f>
        <v/>
      </c>
    </row>
    <row r="32" ht="26" customHeight="1">
      <c r="A32" s="2" t="n">
        <v>2481</v>
      </c>
      <c r="B32" s="3" t="inlineStr">
        <is>
          <t>실전회화/표현</t>
        </is>
      </c>
      <c r="C32" s="4" t="inlineStr">
        <is>
          <t>back down</t>
        </is>
      </c>
      <c r="D32" s="11" t="inlineStr">
        <is>
          <t>주장을 굽히다/굴복하다</t>
        </is>
      </c>
      <c r="E32" s="11" t="inlineStr">
        <is>
          <t>It's just a setback. Don't back down.</t>
        </is>
      </c>
      <c r="F32" s="11" t="inlineStr">
        <is>
          <t>그냥 차질이 있는것 뿐인데 포기하지 마.</t>
        </is>
      </c>
      <c r="G32" s="5">
        <f>HYPERLINK("https://www.youtube.com/watch?v=QMDTwfwdN1Q", "영상 보기 ▶")</f>
        <v/>
      </c>
    </row>
    <row r="33" ht="26" customHeight="1">
      <c r="A33" s="6" t="n">
        <v>2482</v>
      </c>
      <c r="B33" s="7" t="inlineStr">
        <is>
          <t>실전회화/표현</t>
        </is>
      </c>
      <c r="C33" s="8" t="inlineStr">
        <is>
          <t>back off</t>
        </is>
      </c>
      <c r="D33" s="12" t="inlineStr">
        <is>
          <t>신경 끄다/그만두다</t>
        </is>
      </c>
      <c r="E33" s="12" t="inlineStr">
        <is>
          <t>I'll back off for now.</t>
        </is>
      </c>
      <c r="F33" s="12" t="inlineStr">
        <is>
          <t>일단은 물러날게/지금은 좀 거리를 둘게</t>
        </is>
      </c>
      <c r="G33" s="9">
        <f>HYPERLINK("https://www.youtube.com/watch?v=QMDTwfwdN1Q", "영상 보기 ▶")</f>
        <v/>
      </c>
    </row>
    <row r="34" ht="26" customHeight="1">
      <c r="A34" s="2" t="n">
        <v>2483</v>
      </c>
      <c r="B34" s="3" t="inlineStr">
        <is>
          <t>실전회화/표현</t>
        </is>
      </c>
      <c r="C34" s="4" t="inlineStr">
        <is>
          <t>check o</t>
        </is>
      </c>
      <c r="D34" s="11" t="inlineStr">
        <is>
          <t>한번 봐보다</t>
        </is>
      </c>
      <c r="E34" s="11" t="inlineStr">
        <is>
          <t>You should check it out.</t>
        </is>
      </c>
      <c r="F34" s="11" t="inlineStr">
        <is>
          <t>한번 봐봐/알아봐</t>
        </is>
      </c>
      <c r="G34" s="5">
        <f>HYPERLINK("https://www.youtube.com/watch?v=QMDTwfwdN1Q", "영상 보기 ▶")</f>
        <v/>
      </c>
    </row>
    <row r="35" ht="26" customHeight="1">
      <c r="A35" s="6" t="n">
        <v>2484</v>
      </c>
      <c r="B35" s="7" t="inlineStr">
        <is>
          <t>공감/감정</t>
        </is>
      </c>
      <c r="C35" s="8" t="inlineStr">
        <is>
          <t>checked out</t>
        </is>
      </c>
      <c r="D35" s="12" t="inlineStr">
        <is>
          <t>정신적으로 빠져있는/마음이 딴데 가있는</t>
        </is>
      </c>
      <c r="E35" s="12" t="inlineStr">
        <is>
          <t>He's checked out these days.</t>
        </is>
      </c>
      <c r="F35" s="12" t="inlineStr">
        <is>
          <t>요즘 걔 정신이 딴데 가 있어</t>
        </is>
      </c>
      <c r="G35" s="9">
        <f>HYPERLINK("https://www.youtube.com/watch?v=QMDTwfwdN1Q", "영상 보기 ▶")</f>
        <v/>
      </c>
    </row>
    <row r="36" ht="26" customHeight="1">
      <c r="A36" s="2" t="n">
        <v>2485</v>
      </c>
      <c r="B36" s="3" t="inlineStr">
        <is>
          <t>실전회화/표현</t>
        </is>
      </c>
      <c r="C36" s="4" t="inlineStr">
        <is>
          <t>check in</t>
        </is>
      </c>
      <c r="D36" s="11" t="inlineStr">
        <is>
          <t>확인차 연락하다/들르다</t>
        </is>
      </c>
      <c r="E36" s="11" t="inlineStr">
        <is>
          <t>(I'm) just checking in.</t>
        </is>
      </c>
      <c r="F36" s="11" t="inlineStr">
        <is>
          <t>그냥 확인차 보러왔어/확인차 연락해봐</t>
        </is>
      </c>
      <c r="G36" s="5">
        <f>HYPERLINK("https://www.youtube.com/watch?v=QMDTwfwdN1Q", "영상 보기 ▶")</f>
        <v/>
      </c>
    </row>
    <row r="37" ht="26" customHeight="1">
      <c r="A37" s="6" t="n">
        <v>2486</v>
      </c>
      <c r="B37" s="7" t="inlineStr">
        <is>
          <t>실전회화/표현</t>
        </is>
      </c>
      <c r="C37" s="8" t="inlineStr">
        <is>
          <t>elsewhere</t>
        </is>
      </c>
      <c r="D37" s="12" t="inlineStr">
        <is>
          <t>어딘가 다른 곳에</t>
        </is>
      </c>
      <c r="E37" s="12" t="inlineStr">
        <is>
          <t>Do you wanna go elsewhere?</t>
        </is>
      </c>
      <c r="F37" s="12" t="inlineStr">
        <is>
          <t>사람 진짜 많다. 다른데 갈래?</t>
        </is>
      </c>
      <c r="G37" s="9">
        <f>HYPERLINK("https://www.youtube.com/watch?v=QMDTwfwdN1Q", "영상 보기 ▶")</f>
        <v/>
      </c>
    </row>
    <row r="38" ht="26" customHeight="1">
      <c r="A38" s="2" t="n">
        <v>2487</v>
      </c>
      <c r="B38" s="3" t="inlineStr">
        <is>
          <t>실전회화/표현</t>
        </is>
      </c>
      <c r="C38" s="4" t="inlineStr">
        <is>
          <t>write off</t>
        </is>
      </c>
      <c r="D38" s="11" t="inlineStr">
        <is>
          <t>기록/계산에서 빼다</t>
        </is>
      </c>
      <c r="E38" s="11" t="inlineStr">
        <is>
          <t>Let's just write it off.</t>
        </is>
      </c>
      <c r="F38" s="11" t="inlineStr">
        <is>
          <t>그냥 그 아이디어는 접자/없던 일로 하자</t>
        </is>
      </c>
      <c r="G38" s="5">
        <f>HYPERLINK("https://www.youtube.com/watch?v=QMDTwfwdN1Q", "영상 보기 ▶")</f>
        <v/>
      </c>
    </row>
    <row r="39" ht="26" customHeight="1">
      <c r="A39" s="6" t="n">
        <v>2488</v>
      </c>
      <c r="B39" s="7" t="inlineStr">
        <is>
          <t>실전회화/표현</t>
        </is>
      </c>
      <c r="C39" s="8" t="inlineStr">
        <is>
          <t>명사 write-off</t>
        </is>
      </c>
      <c r="D39" s="12" t="inlineStr">
        <is>
          <t>통째로 날린/허탕친 것</t>
        </is>
      </c>
      <c r="E39" s="12" t="inlineStr">
        <is>
          <t>Today was a total write-off.</t>
        </is>
      </c>
      <c r="F39" s="12" t="inlineStr">
        <is>
          <t>오늘은 진짜 아무것도 못했네/완전히 날렸네</t>
        </is>
      </c>
      <c r="G39" s="9">
        <f>HYPERLINK("https://www.youtube.com/watch?v=QMDTwfwdN1Q", "영상 보기 ▶")</f>
        <v/>
      </c>
    </row>
    <row r="40" ht="26" customHeight="1">
      <c r="A40" s="2" t="n">
        <v>2489</v>
      </c>
      <c r="B40" s="3" t="inlineStr">
        <is>
          <t>실전회화/표현</t>
        </is>
      </c>
      <c r="C40" s="4" t="inlineStr">
        <is>
          <t>write down</t>
        </is>
      </c>
      <c r="D40" s="11" t="inlineStr">
        <is>
          <t>적어놓다/받아적다</t>
        </is>
      </c>
      <c r="E40" s="11" t="inlineStr">
        <is>
          <t>Did you write down his number?</t>
        </is>
      </c>
      <c r="F40" s="11" t="inlineStr">
        <is>
          <t>그의 번호 적어 놨어?</t>
        </is>
      </c>
      <c r="G40" s="5">
        <f>HYPERLINK("https://www.youtube.com/watch?v=QMDTwfwdN1Q", "영상 보기 ▶")</f>
        <v/>
      </c>
    </row>
    <row r="41" ht="26" customHeight="1">
      <c r="A41" s="6" t="n">
        <v>2490</v>
      </c>
      <c r="B41" s="7" t="inlineStr">
        <is>
          <t>실전회화/표현</t>
        </is>
      </c>
      <c r="C41" s="8" t="inlineStr">
        <is>
          <t>jot down</t>
        </is>
      </c>
      <c r="D41" s="12" t="inlineStr">
        <is>
          <t>간단히/빠르게 메모하다</t>
        </is>
      </c>
      <c r="E41" s="12" t="inlineStr">
        <is>
          <t>Let me jot that down.</t>
        </is>
      </c>
      <c r="F41" s="12" t="inlineStr">
        <is>
          <t>그것 좀 잠깐/얼른/빨리 메모해둘게요</t>
        </is>
      </c>
      <c r="G41" s="9">
        <f>HYPERLINK("https://www.youtube.com/watch?v=QMDTwfwdN1Q", "영상 보기 ▶")</f>
        <v/>
      </c>
    </row>
    <row r="42" ht="26" customHeight="1">
      <c r="A42" s="2" t="n">
        <v>2491</v>
      </c>
      <c r="B42" s="3" t="inlineStr">
        <is>
          <t>실전회화/표현</t>
        </is>
      </c>
      <c r="C42" s="4" t="inlineStr">
        <is>
          <t>outsmart</t>
        </is>
      </c>
      <c r="D42" s="11" t="inlineStr">
        <is>
          <t>~보다 한수 앞서다</t>
        </is>
      </c>
      <c r="E42" s="11" t="inlineStr">
        <is>
          <t>We need to outsmart them.</t>
        </is>
      </c>
      <c r="F42" s="11" t="inlineStr">
        <is>
          <t>걔들보다 한수 앞서야 돼</t>
        </is>
      </c>
      <c r="G42" s="5">
        <f>HYPERLINK("https://www.youtube.com/watch?v=QMDTwfwdN1Q", "영상 보기 ▶")</f>
        <v/>
      </c>
    </row>
    <row r="43" ht="26" customHeight="1">
      <c r="A43" s="6" t="n">
        <v>2492</v>
      </c>
      <c r="B43" s="7" t="inlineStr">
        <is>
          <t>실전회화/표현</t>
        </is>
      </c>
      <c r="C43" s="8" t="inlineStr">
        <is>
          <t>outgrow</t>
        </is>
      </c>
      <c r="D43" s="12" t="inlineStr">
        <is>
          <t>~보다 더 커져서 맞지 않다. 벗어나다</t>
        </is>
      </c>
      <c r="E43" s="12" t="inlineStr">
        <is>
          <t>I outgrew that lifestyle.</t>
        </is>
      </c>
      <c r="F43" s="12" t="inlineStr">
        <is>
          <t>이제 그 라이프스타일 안 맞아</t>
        </is>
      </c>
      <c r="G43" s="9">
        <f>HYPERLINK("https://www.youtube.com/watch?v=QMDTwfwdN1Q", "영상 보기 ▶")</f>
        <v/>
      </c>
    </row>
    <row r="44" ht="26" customHeight="1">
      <c r="A44" s="2" t="n">
        <v>2493</v>
      </c>
      <c r="B44" s="3" t="inlineStr">
        <is>
          <t>실전회화/표현</t>
        </is>
      </c>
      <c r="C44" s="4" t="inlineStr">
        <is>
          <t>Don't sell yourself short.</t>
        </is>
      </c>
      <c r="D44" s="11" t="inlineStr">
        <is>
          <t>에이, 그런 말 하지마.</t>
        </is>
      </c>
      <c r="E44" s="11" t="inlineStr">
        <is>
          <t>A: I don't think I can do it.</t>
        </is>
      </c>
      <c r="F44" s="11" t="inlineStr">
        <is>
          <t>난 못할것 같아요</t>
        </is>
      </c>
      <c r="G44" s="5">
        <f>HYPERLINK("https://www.youtube.com/watch?v=QMDTwfwdN1Q", "영상 보기 ▶")</f>
        <v/>
      </c>
    </row>
    <row r="45" ht="26" customHeight="1">
      <c r="A45" s="6" t="n">
        <v>2494</v>
      </c>
      <c r="B45" s="7" t="inlineStr">
        <is>
          <t>공감/감정</t>
        </is>
      </c>
      <c r="C45" s="8" t="inlineStr">
        <is>
          <t>Help yourself.</t>
        </is>
      </c>
      <c r="D45" s="12" t="inlineStr">
        <is>
          <t>마음껏 드세요/편히 가져가세요</t>
        </is>
      </c>
      <c r="E45" s="12" t="inlineStr">
        <is>
          <t>Help yourself to some coffee.</t>
        </is>
      </c>
      <c r="F45" s="12" t="inlineStr">
        <is>
          <t>커피 편히 드세요</t>
        </is>
      </c>
      <c r="G45" s="9">
        <f>HYPERLINK("https://www.youtube.com/watch?v=QMDTwfwdN1Q", "영상 보기 ▶")</f>
        <v/>
      </c>
    </row>
    <row r="46" ht="26" customHeight="1">
      <c r="A46" s="2" t="n">
        <v>2495</v>
      </c>
      <c r="B46" s="3" t="inlineStr">
        <is>
          <t>실전회화/표현</t>
        </is>
      </c>
      <c r="C46" s="4" t="inlineStr">
        <is>
          <t>You don't say.</t>
        </is>
      </c>
      <c r="D46" s="11" t="inlineStr">
        <is>
          <t>아, 그래? 진짜?/정말?</t>
        </is>
      </c>
      <c r="E46" s="11" t="inlineStr">
        <is>
          <t>A: I really like her.</t>
        </is>
      </c>
      <c r="F46" s="11" t="inlineStr">
        <is>
          <t>그녀가 정말 좋아</t>
        </is>
      </c>
      <c r="G46" s="5">
        <f>HYPERLINK("https://www.youtube.com/watch?v=QMDTwfwdN1Q", "영상 보기 ▶")</f>
        <v/>
      </c>
    </row>
    <row r="47" ht="26" customHeight="1">
      <c r="A47" s="6" t="n">
        <v>2496</v>
      </c>
      <c r="B47" s="7" t="inlineStr">
        <is>
          <t>실전회화/표현</t>
        </is>
      </c>
      <c r="C47" s="8" t="inlineStr">
        <is>
          <t>맞장구 칠때 I know</t>
        </is>
      </c>
      <c r="D47" s="12" t="inlineStr">
        <is>
          <t>그러게/그러니까</t>
        </is>
      </c>
      <c r="E47" s="12" t="inlineStr">
        <is>
          <t>A: It's hot for September.</t>
        </is>
      </c>
      <c r="F47" s="12" t="inlineStr">
        <is>
          <t>9월 치곤 덥다</t>
        </is>
      </c>
      <c r="G47" s="9">
        <f>HYPERLINK("https://www.youtube.com/watch?v=QMDTwfwdN1Q", "영상 보기 ▶")</f>
        <v/>
      </c>
    </row>
    <row r="48" ht="26" customHeight="1">
      <c r="A48" s="2" t="n">
        <v>2497</v>
      </c>
      <c r="B48" s="3" t="inlineStr">
        <is>
          <t>공감/감정</t>
        </is>
      </c>
      <c r="C48" s="4" t="inlineStr">
        <is>
          <t>Tell me about it.</t>
        </is>
      </c>
      <c r="D48" s="11" t="inlineStr">
        <is>
          <t>내 말이/말도 마/완전 공감해</t>
        </is>
      </c>
      <c r="E48" s="11" t="inlineStr">
        <is>
          <t>A: I can't wait for the day to be over.</t>
        </is>
      </c>
      <c r="F48" s="11" t="inlineStr">
        <is>
          <t>오늘이 빨리 끝났으면 좋겠다</t>
        </is>
      </c>
      <c r="G48" s="5">
        <f>HYPERLINK("https://www.youtube.com/watch?v=QMDTwfwdN1Q", "영상 보기 ▶")</f>
        <v/>
      </c>
    </row>
    <row r="49" ht="26" customHeight="1">
      <c r="A49" s="6" t="n">
        <v>2498</v>
      </c>
      <c r="B49" s="7" t="inlineStr">
        <is>
          <t>공감/감정</t>
        </is>
      </c>
      <c r="C49" s="8" t="inlineStr">
        <is>
          <t>I hear you.</t>
        </is>
      </c>
      <c r="D49" s="12" t="inlineStr">
        <is>
          <t>무슨 말인지 알아/이해햐/그럴만 해</t>
        </is>
      </c>
      <c r="E49" s="12" t="inlineStr">
        <is>
          <t>I hear you, but there's nothing we can do.</t>
        </is>
      </c>
      <c r="F49" s="12" t="inlineStr">
        <is>
          <t>무슨 말인지 알겠는데 우리가 딱히 할수 있는건 없어</t>
        </is>
      </c>
      <c r="G49" s="9">
        <f>HYPERLINK("https://www.youtube.com/watch?v=QMDTwfwdN1Q", "영상 보기 ▶")</f>
        <v/>
      </c>
    </row>
    <row r="50" ht="26" customHeight="1">
      <c r="A50" s="2" t="n">
        <v>2499</v>
      </c>
      <c r="B50" s="3" t="inlineStr">
        <is>
          <t>실전회화/표현</t>
        </is>
      </c>
      <c r="C50" s="4" t="inlineStr">
        <is>
          <t>outwork</t>
        </is>
      </c>
      <c r="D50" s="11" t="inlineStr">
        <is>
          <t>노력으로/더 열심히 일해 이기다</t>
        </is>
      </c>
      <c r="E50" s="11" t="inlineStr">
        <is>
          <t>No one can outwork him.</t>
        </is>
      </c>
      <c r="F50" s="11" t="inlineStr">
        <is>
          <t>그는 그 누구보다 더 열심히 일해</t>
        </is>
      </c>
      <c r="G50" s="5">
        <f>HYPERLINK("https://www.youtube.com/watch?v=QMDTwfwdN1Q", "영상 보기 ▶")</f>
        <v/>
      </c>
    </row>
    <row r="51" ht="26" customHeight="1">
      <c r="A51" s="6" t="n">
        <v>2500</v>
      </c>
      <c r="B51" s="7" t="inlineStr">
        <is>
          <t>대화/인간관계</t>
        </is>
      </c>
      <c r="C51" s="8" t="inlineStr">
        <is>
          <t>have an eye for~</t>
        </is>
      </c>
      <c r="D51" s="12" t="inlineStr">
        <is>
          <t>~를 알아보는 안목/센스가 있다</t>
        </is>
      </c>
      <c r="E51" s="12" t="inlineStr">
        <is>
          <t>She has an eye for design.</t>
        </is>
      </c>
      <c r="F51" s="12" t="inlineStr">
        <is>
          <t>그녀는 디자인 감각이 있어</t>
        </is>
      </c>
      <c r="G51" s="9">
        <f>HYPERLINK("https://www.youtube.com/watch?v=QMDTwfwdN1Q", "영상 보기 ▶")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8" customWidth="1" min="3" max="3"/>
    <col width="48" customWidth="1" min="4" max="4"/>
    <col width="69" customWidth="1" min="5" max="5"/>
    <col width="68.40000000000001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2501</v>
      </c>
      <c r="B2" s="3" t="inlineStr">
        <is>
          <t>전화 영어</t>
        </is>
      </c>
      <c r="C2" s="4" t="inlineStr">
        <is>
          <t>May I ask who's calling?</t>
        </is>
      </c>
      <c r="D2" s="11" t="inlineStr">
        <is>
          <t>누군지 확인할 때 (누구신지 여쭤봐도 될까요? - 공손한 확인)</t>
        </is>
      </c>
      <c r="E2" s="11" t="inlineStr">
        <is>
          <t>Thank you for calling ABC Corp. May I ask who's calling?</t>
        </is>
      </c>
      <c r="F2" s="11" t="inlineStr">
        <is>
          <t>ABC사에 전화 주셔서 감사합니다. 실례지만 누구신지 여쭤봐도 될까요?</t>
        </is>
      </c>
      <c r="G2" s="5">
        <f>HYPERLINK("https://www.youtube.com/watch?v=BqQecvVoMLc", "영상 보기 ▶")</f>
        <v/>
      </c>
    </row>
    <row r="3" ht="26" customHeight="1">
      <c r="A3" s="6" t="n">
        <v>2502</v>
      </c>
      <c r="B3" s="7" t="inlineStr">
        <is>
          <t>전화 영어</t>
        </is>
      </c>
      <c r="C3" s="8" t="inlineStr">
        <is>
          <t>This is Seul Ku. / My name is Seul Ku.</t>
        </is>
      </c>
      <c r="D3" s="12" t="inlineStr">
        <is>
          <t>자기 소개할 때 (초면: My name is ~ / 구면: This is ~)</t>
        </is>
      </c>
      <c r="E3" s="12" t="inlineStr">
        <is>
          <t>Hello, this is Seul Ku from the marketing department.</t>
        </is>
      </c>
      <c r="F3" s="12" t="inlineStr">
        <is>
          <t>안녕하세요, 마케팅팀의 구슬입니다.</t>
        </is>
      </c>
      <c r="G3" s="9">
        <f>HYPERLINK("https://www.youtube.com/watch?v=BqQecvVoMLc", "영상 보기 ▶")</f>
        <v/>
      </c>
    </row>
    <row r="4" ht="26" customHeight="1">
      <c r="A4" s="2" t="n">
        <v>2503</v>
      </c>
      <c r="B4" s="3" t="inlineStr">
        <is>
          <t>전화 영어</t>
        </is>
      </c>
      <c r="C4" s="4" t="inlineStr">
        <is>
          <t>Am I speaking to Sarah Robinson?</t>
        </is>
      </c>
      <c r="D4" s="11" t="inlineStr">
        <is>
          <t>상대가 맞는지 확인할 때 (통화하시는 분이 Sarah 맞나요?)</t>
        </is>
      </c>
      <c r="E4" s="11" t="inlineStr">
        <is>
          <t>Good morning, am I speaking to Sarah Robinson?</t>
        </is>
      </c>
      <c r="F4" s="11" t="inlineStr">
        <is>
          <t>좋은 아침입니다, 지금 통화하시는 분이 Sarah Robinson 씨 맞으신가요?</t>
        </is>
      </c>
      <c r="G4" s="5">
        <f>HYPERLINK("https://www.youtube.com/watch?v=BqQecvVoMLc", "영상 보기 ▶")</f>
        <v/>
      </c>
    </row>
    <row r="5" ht="26" customHeight="1">
      <c r="A5" s="6" t="n">
        <v>2504</v>
      </c>
      <c r="B5" s="7" t="inlineStr">
        <is>
          <t>전화 영어</t>
        </is>
      </c>
      <c r="C5" s="8" t="inlineStr">
        <is>
          <t>This is she. / Speaking.</t>
        </is>
      </c>
      <c r="D5" s="12" t="inlineStr">
        <is>
          <t>본인이 맞다고 답할 때 (네, 접니다 / 말씀하세요)</t>
        </is>
      </c>
      <c r="E5" s="12" t="inlineStr">
        <is>
          <t>May I speak with John? - This is he. / Speaking.</t>
        </is>
      </c>
      <c r="F5" s="12" t="inlineStr">
        <is>
          <t>John 씨와 통화할 수 있을까요? - 네, 접니다. 말씀하세요.</t>
        </is>
      </c>
      <c r="G5" s="9">
        <f>HYPERLINK("https://www.youtube.com/watch?v=BqQecvVoMLc", "영상 보기 ▶")</f>
        <v/>
      </c>
    </row>
    <row r="6" ht="26" customHeight="1">
      <c r="A6" s="2" t="n">
        <v>2505</v>
      </c>
      <c r="B6" s="3" t="inlineStr">
        <is>
          <t>전화 영어</t>
        </is>
      </c>
      <c r="C6" s="4" t="inlineStr">
        <is>
          <t>I think you have the wrong number.</t>
        </is>
      </c>
      <c r="D6" s="11" t="inlineStr">
        <is>
          <t>전화가 잘못 걸려왔을 때 (전화를 잘못 거신 것 같아요)</t>
        </is>
      </c>
      <c r="E6" s="11" t="inlineStr">
        <is>
          <t>I'm sorry, but I think you have the wrong number.</t>
        </is>
      </c>
      <c r="F6" s="11" t="inlineStr">
        <is>
          <t>죄송하지만 전화를 잘못 거신 것 같습니다.</t>
        </is>
      </c>
      <c r="G6" s="5">
        <f>HYPERLINK("https://www.youtube.com/watch?v=BqQecvVoMLc", "영상 보기 ▶")</f>
        <v/>
      </c>
    </row>
    <row r="7" ht="26" customHeight="1">
      <c r="A7" s="6" t="n">
        <v>2506</v>
      </c>
      <c r="B7" s="7" t="inlineStr">
        <is>
          <t>전화 영어</t>
        </is>
      </c>
      <c r="C7" s="8" t="inlineStr">
        <is>
          <t>Is this a good time? / Do you have a minute?</t>
        </is>
      </c>
      <c r="D7" s="12" t="inlineStr">
        <is>
          <t>통화 가능한지 물어볼 때 (지금 통화 괜찮으세요? / 잠시 시간 되세요?)</t>
        </is>
      </c>
      <c r="E7" s="12" t="inlineStr">
        <is>
          <t>Hi Alex, is this a good time to talk about the proposal?</t>
        </is>
      </c>
      <c r="F7" s="12" t="inlineStr">
        <is>
          <t>안녕하세요 Alex, 지금 제안서에 대해 잠시 통화 괜찮으신가요?</t>
        </is>
      </c>
      <c r="G7" s="9">
        <f>HYPERLINK("https://www.youtube.com/watch?v=BqQecvVoMLc", "영상 보기 ▶")</f>
        <v/>
      </c>
    </row>
    <row r="8" ht="26" customHeight="1">
      <c r="A8" s="2" t="n">
        <v>2507</v>
      </c>
      <c r="B8" s="3" t="inlineStr">
        <is>
          <t>전화 영어</t>
        </is>
      </c>
      <c r="C8" s="4" t="inlineStr">
        <is>
          <t>It won't take long.</t>
        </is>
      </c>
      <c r="D8" s="11" t="inlineStr">
        <is>
          <t>금방 끝난다고 안심시킬 때 (길게 안 걸려요, 금방 끝나요)</t>
        </is>
      </c>
      <c r="E8" s="11" t="inlineStr">
        <is>
          <t>I just have one quick question; it won't take long.</t>
        </is>
      </c>
      <c r="F8" s="11" t="inlineStr">
        <is>
          <t>간단한 질문 하나만 드릴게요, 통화 길게 안 걸립니다.</t>
        </is>
      </c>
      <c r="G8" s="5">
        <f>HYPERLINK("https://www.youtube.com/watch?v=BqQecvVoMLc", "영상 보기 ▶")</f>
        <v/>
      </c>
    </row>
    <row r="9" ht="26" customHeight="1">
      <c r="A9" s="6" t="n">
        <v>2508</v>
      </c>
      <c r="B9" s="7" t="inlineStr">
        <is>
          <t>전화 영어</t>
        </is>
      </c>
      <c r="C9" s="8" t="inlineStr">
        <is>
          <t>Sorry, I'm tied up at the moment.</t>
        </is>
      </c>
      <c r="D9" s="12" t="inlineStr">
        <is>
          <t>지금 바빠서 통화가 어려울 때 (죄송하지만 지금은 손이 묶여서 바빠요)</t>
        </is>
      </c>
      <c r="E9" s="12" t="inlineStr">
        <is>
          <t>I'd love to chat, but I'm tied up at the moment.</t>
        </is>
      </c>
      <c r="F9" s="12" t="inlineStr">
        <is>
          <t>이야기 나누고 싶지만 지금은 회의 중이라 통화가 어렵네요.</t>
        </is>
      </c>
      <c r="G9" s="9">
        <f>HYPERLINK("https://www.youtube.com/watch?v=BqQecvVoMLc", "영상 보기 ▶")</f>
        <v/>
      </c>
    </row>
    <row r="10" ht="26" customHeight="1">
      <c r="A10" s="2" t="n">
        <v>2509</v>
      </c>
      <c r="B10" s="3" t="inlineStr">
        <is>
          <t>전화 영어</t>
        </is>
      </c>
      <c r="C10" s="4" t="inlineStr">
        <is>
          <t>Can I call you back in 30 minutes?</t>
        </is>
      </c>
      <c r="D10" s="11" t="inlineStr">
        <is>
          <t>양해를 구하고 다시 걸겠다고 할 때 (30분 뒤에 다시 전화드려도 될까요?)</t>
        </is>
      </c>
      <c r="E10" s="11" t="inlineStr">
        <is>
          <t>Can I call you back in 30 minutes once I leave the room?</t>
        </is>
      </c>
      <c r="F10" s="11" t="inlineStr">
        <is>
          <t>제가 방에서 나가는 대로 30분 뒤에 다시 전화드려도 될까요?</t>
        </is>
      </c>
      <c r="G10" s="5">
        <f>HYPERLINK("https://www.youtube.com/watch?v=BqQecvVoMLc", "영상 보기 ▶")</f>
        <v/>
      </c>
    </row>
    <row r="11" ht="26" customHeight="1">
      <c r="A11" s="6" t="n">
        <v>2510</v>
      </c>
      <c r="B11" s="7" t="inlineStr">
        <is>
          <t>전화 영어</t>
        </is>
      </c>
      <c r="C11" s="8" t="inlineStr">
        <is>
          <t>Could you email me the details?</t>
        </is>
      </c>
      <c r="D11" s="12" t="inlineStr">
        <is>
          <t>이메일로 내용을 요청할 때 (자세한 내용은 메일로 보내주시겠어요?)</t>
        </is>
      </c>
      <c r="E11" s="12" t="inlineStr">
        <is>
          <t>I'm driving right now; could you email me the details?</t>
        </is>
      </c>
      <c r="F11" s="12" t="inlineStr">
        <is>
          <t>제가 지금 운전 중이라서요, 자세한 내용은 이메일로 보내주실 수 있나요?</t>
        </is>
      </c>
      <c r="G11" s="9">
        <f>HYPERLINK("https://www.youtube.com/watch?v=BqQecvVoMLc", "영상 보기 ▶")</f>
        <v/>
      </c>
    </row>
    <row r="12" ht="26" customHeight="1">
      <c r="A12" s="2" t="n">
        <v>2511</v>
      </c>
      <c r="B12" s="3" t="inlineStr">
        <is>
          <t>전화 영어</t>
        </is>
      </c>
      <c r="C12" s="4" t="inlineStr">
        <is>
          <t>I'll email you the details.</t>
        </is>
      </c>
      <c r="D12" s="11" t="inlineStr">
        <is>
          <t>이메일로 보내겠다고 안내할 때 (자세한 내용은 메일로 보내드릴게요)</t>
        </is>
      </c>
      <c r="E12" s="11" t="inlineStr">
        <is>
          <t>Don't worry about taking notes; I'll email you the details.</t>
        </is>
      </c>
      <c r="F12" s="11" t="inlineStr">
        <is>
          <t>메모하실 필요 없습니다, 상세한 내용은 제가 이메일로 보내드릴게요.</t>
        </is>
      </c>
      <c r="G12" s="5">
        <f>HYPERLINK("https://www.youtube.com/watch?v=BqQecvVoMLc", "영상 보기 ▶")</f>
        <v/>
      </c>
    </row>
    <row r="13" ht="26" customHeight="1">
      <c r="A13" s="6" t="n">
        <v>2512</v>
      </c>
      <c r="B13" s="7" t="inlineStr">
        <is>
          <t>전화 영어</t>
        </is>
      </c>
      <c r="C13" s="8" t="inlineStr">
        <is>
          <t>How do you spell that?</t>
        </is>
      </c>
      <c r="D13" s="12" t="inlineStr">
        <is>
          <t>(이메일이나 이름 등의) 철자를 물어볼 때 (스펠링이 어떻게 되나요?)</t>
        </is>
      </c>
      <c r="E13" s="12" t="inlineStr">
        <is>
          <t>Could you repeat your last name? How do you spell that?</t>
        </is>
      </c>
      <c r="F13" s="12" t="inlineStr">
        <is>
          <t>성함을 다시 말씀해 주시겠어요? 철자가 어떻게 되나요?</t>
        </is>
      </c>
      <c r="G13" s="9">
        <f>HYPERLINK("https://www.youtube.com/watch?v=BqQecvVoMLc", "영상 보기 ▶")</f>
        <v/>
      </c>
    </row>
    <row r="14" ht="26" customHeight="1">
      <c r="A14" s="2" t="n">
        <v>2513</v>
      </c>
      <c r="B14" s="3" t="inlineStr">
        <is>
          <t>전화 영어</t>
        </is>
      </c>
      <c r="C14" s="4" t="inlineStr">
        <is>
          <t>I'm calling about ~</t>
        </is>
      </c>
      <c r="D14" s="11" t="inlineStr">
        <is>
          <t>전화 목적을 알릴 때 (~ 건으로 전화드렸습니다)</t>
        </is>
      </c>
      <c r="E14" s="11" t="inlineStr">
        <is>
          <t>I'm calling about tomorrow's budget review meeting.</t>
        </is>
      </c>
      <c r="F14" s="11" t="inlineStr">
        <is>
          <t>내일 있을 예산 검토 회의 건으로 전화드렸습니다.</t>
        </is>
      </c>
      <c r="G14" s="5">
        <f>HYPERLINK("https://www.youtube.com/watch?v=BqQecvVoMLc", "영상 보기 ▶")</f>
        <v/>
      </c>
    </row>
    <row r="15" ht="26" customHeight="1">
      <c r="A15" s="6" t="n">
        <v>2514</v>
      </c>
      <c r="B15" s="7" t="inlineStr">
        <is>
          <t>전화 영어</t>
        </is>
      </c>
      <c r="C15" s="8" t="inlineStr">
        <is>
          <t>Can I speak to someone in charge?</t>
        </is>
      </c>
      <c r="D15" s="12" t="inlineStr">
        <is>
          <t>담당자를 바꿔달라고 할 때 (담당자와 통화할 수 있을까요?)</t>
        </is>
      </c>
      <c r="E15" s="12" t="inlineStr">
        <is>
          <t>Can I speak to someone in charge of vendor partnerships?</t>
        </is>
      </c>
      <c r="F15" s="12" t="inlineStr">
        <is>
          <t>협력업체 제휴 담당자분과 통화할 수 있을까요?</t>
        </is>
      </c>
      <c r="G15" s="9">
        <f>HYPERLINK("https://www.youtube.com/watch?v=BqQecvVoMLc", "영상 보기 ▶")</f>
        <v/>
      </c>
    </row>
    <row r="16" ht="26" customHeight="1">
      <c r="A16" s="2" t="n">
        <v>2515</v>
      </c>
      <c r="B16" s="3" t="inlineStr">
        <is>
          <t>전화 영어</t>
        </is>
      </c>
      <c r="C16" s="4" t="inlineStr">
        <is>
          <t>May I ask what this is about?</t>
        </is>
      </c>
      <c r="D16" s="11" t="inlineStr">
        <is>
          <t>용건이 무엇인지 정중히 물어볼 때 (실례지만 어떤 일 때문인지 여쭤봐도 될까요?)</t>
        </is>
      </c>
      <c r="E16" s="11" t="inlineStr">
        <is>
          <t>He stepped out. May I ask what this is about?</t>
        </is>
      </c>
      <c r="F16" s="11" t="inlineStr">
        <is>
          <t>그분이 잠시 자리를 비우셨는데, 실례지만 어떤 용건 때문인지 여쭤봐도 될까요?</t>
        </is>
      </c>
      <c r="G16" s="5">
        <f>HYPERLINK("https://www.youtube.com/watch?v=BqQecvVoMLc", "영상 보기 ▶")</f>
        <v/>
      </c>
    </row>
    <row r="17" ht="26" customHeight="1">
      <c r="A17" s="6" t="n">
        <v>2516</v>
      </c>
      <c r="B17" s="7" t="inlineStr">
        <is>
          <t>전화 영어</t>
        </is>
      </c>
      <c r="C17" s="8" t="inlineStr">
        <is>
          <t>Let me put you through.</t>
        </is>
      </c>
      <c r="D17" s="12" t="inlineStr">
        <is>
          <t>전화를 다른 분께 연결해 줄 때 (연결해 드리겠습니다)</t>
        </is>
      </c>
      <c r="E17" s="12" t="inlineStr">
        <is>
          <t>Hold the line, please; let me put you through to accounting.</t>
        </is>
      </c>
      <c r="F17" s="12" t="inlineStr">
        <is>
          <t>끊지 말고 잠시만 기다려주세요, 회계팀으로 연결해 드리겠습니다.</t>
        </is>
      </c>
      <c r="G17" s="9">
        <f>HYPERLINK("https://www.youtube.com/watch?v=BqQecvVoMLc", "영상 보기 ▶")</f>
        <v/>
      </c>
    </row>
    <row r="18" ht="26" customHeight="1">
      <c r="A18" s="2" t="n">
        <v>2517</v>
      </c>
      <c r="B18" s="3" t="inlineStr">
        <is>
          <t>전화 영어</t>
        </is>
      </c>
      <c r="C18" s="4" t="inlineStr">
        <is>
          <t>Could you hold for a second?</t>
        </is>
      </c>
      <c r="D18" s="11" t="inlineStr">
        <is>
          <t>잠시 기다려달라고 정중히 요청할 때 (잠시만 기다려주시겠어요?)</t>
        </is>
      </c>
      <c r="E18" s="11" t="inlineStr">
        <is>
          <t>Could you hold for a second while I pull up your account?</t>
        </is>
      </c>
      <c r="F18" s="11" t="inlineStr">
        <is>
          <t>고객님 계정 정보를 조회하는 동안 잠시만 기다려주시겠어요?</t>
        </is>
      </c>
      <c r="G18" s="5">
        <f>HYPERLINK("https://www.youtube.com/watch?v=BqQecvVoMLc", "영상 보기 ▶")</f>
        <v/>
      </c>
    </row>
    <row r="19" ht="26" customHeight="1">
      <c r="A19" s="6" t="n">
        <v>2518</v>
      </c>
      <c r="B19" s="7" t="inlineStr">
        <is>
          <t>전화 영어</t>
        </is>
      </c>
      <c r="C19" s="8" t="inlineStr">
        <is>
          <t>He's not at his desk right now.</t>
        </is>
      </c>
      <c r="D19" s="12" t="inlineStr">
        <is>
          <t>담당자가 부재중일 때 (지금 자리에 안 계세요)</t>
        </is>
      </c>
      <c r="E19" s="12" t="inlineStr">
        <is>
          <t>I'm afraid he's not at his desk right now.</t>
        </is>
      </c>
      <c r="F19" s="12" t="inlineStr">
        <is>
          <t>죄송하지만 그분께서 지금은 자리에 계시지 않습니다.</t>
        </is>
      </c>
      <c r="G19" s="9">
        <f>HYPERLINK("https://www.youtube.com/watch?v=BqQecvVoMLc", "영상 보기 ▶")</f>
        <v/>
      </c>
    </row>
    <row r="20" ht="26" customHeight="1">
      <c r="A20" s="2" t="n">
        <v>2519</v>
      </c>
      <c r="B20" s="3" t="inlineStr">
        <is>
          <t>전화 영어</t>
        </is>
      </c>
      <c r="C20" s="4" t="inlineStr">
        <is>
          <t>She's on another call.</t>
        </is>
      </c>
      <c r="D20" s="11" t="inlineStr">
        <is>
          <t>담당자가 다른 통화 중일 때 (지금 다른 전화 통화 중이세요)</t>
        </is>
      </c>
      <c r="E20" s="11" t="inlineStr">
        <is>
          <t>Her line is busy; she's on another call right now.</t>
        </is>
      </c>
      <c r="F20" s="11" t="inlineStr">
        <is>
          <t>통화 중이시네요, 지금 다른 고객과 통화 중이십니다.</t>
        </is>
      </c>
      <c r="G20" s="5">
        <f>HYPERLINK("https://www.youtube.com/watch?v=BqQecvVoMLc", "영상 보기 ▶")</f>
        <v/>
      </c>
    </row>
    <row r="21" ht="26" customHeight="1">
      <c r="A21" s="6" t="n">
        <v>2520</v>
      </c>
      <c r="B21" s="7" t="inlineStr">
        <is>
          <t>전화 영어</t>
        </is>
      </c>
      <c r="C21" s="8" t="inlineStr">
        <is>
          <t>Would you like to leave a message?</t>
        </is>
      </c>
      <c r="D21" s="12" t="inlineStr">
        <is>
          <t>메시지를 대신 받아 적겠다고 할 때 (메시지 남겨드릴까요?)</t>
        </is>
      </c>
      <c r="E21" s="12" t="inlineStr">
        <is>
          <t>He is away today. Would you like to leave a message?</t>
        </is>
      </c>
      <c r="F21" s="12" t="inlineStr">
        <is>
          <t>그분은 오늘 출장 중이십니다. 메시지 남겨드릴까요?</t>
        </is>
      </c>
      <c r="G21" s="9">
        <f>HYPERLINK("https://www.youtube.com/watch?v=BqQecvVoMLc", "영상 보기 ▶")</f>
        <v/>
      </c>
    </row>
    <row r="22" ht="26" customHeight="1">
      <c r="A22" s="2" t="n">
        <v>2521</v>
      </c>
      <c r="B22" s="3" t="inlineStr">
        <is>
          <t>전화 영어</t>
        </is>
      </c>
      <c r="C22" s="4" t="inlineStr">
        <is>
          <t>I'll let him know you called.</t>
        </is>
      </c>
      <c r="D22" s="11" t="inlineStr">
        <is>
          <t>메시지를 전하겠다고 안내할 때 (전화 주셨다고 꼭 전해드릴게요)</t>
        </is>
      </c>
      <c r="E22" s="11" t="inlineStr">
        <is>
          <t>Thanks for reaching out; I'll let him know you called.</t>
        </is>
      </c>
      <c r="F22" s="11" t="inlineStr">
        <is>
          <t>연락 주셔서 감사합니다, 전화 주셨었다고 꼭 전해드릴게요.</t>
        </is>
      </c>
      <c r="G22" s="5">
        <f>HYPERLINK("https://www.youtube.com/watch?v=BqQecvVoMLc", "영상 보기 ▶")</f>
        <v/>
      </c>
    </row>
    <row r="23" ht="26" customHeight="1">
      <c r="A23" s="6" t="n">
        <v>2522</v>
      </c>
      <c r="B23" s="7" t="inlineStr">
        <is>
          <t>전화 영어</t>
        </is>
      </c>
      <c r="C23" s="8" t="inlineStr">
        <is>
          <t>Just so you know, you're on speakerphone.</t>
        </is>
      </c>
      <c r="D23" s="12" t="inlineStr">
        <is>
          <t>스피커폰 통화 중일 때 상대에게 사전 안내 (스피커폰 상태라는 걸 알려드려요)</t>
        </is>
      </c>
      <c r="E23" s="12" t="inlineStr">
        <is>
          <t>Just so you know, you're on speakerphone with our design team.</t>
        </is>
      </c>
      <c r="F23" s="12" t="inlineStr">
        <is>
          <t>참고로 말씀드리면, 지금 디자인팀 전원과 스피커폰으로 통화 중이십니다.</t>
        </is>
      </c>
      <c r="G23" s="9">
        <f>HYPERLINK("https://www.youtube.com/watch?v=BqQecvVoMLc", "영상 보기 ▶")</f>
        <v/>
      </c>
    </row>
    <row r="24" ht="26" customHeight="1">
      <c r="A24" s="2" t="n">
        <v>2523</v>
      </c>
      <c r="B24" s="3" t="inlineStr">
        <is>
          <t>전화 영어</t>
        </is>
      </c>
      <c r="C24" s="4" t="inlineStr">
        <is>
          <t>Sorry, I didn't catch that.</t>
        </is>
      </c>
      <c r="D24" s="11" t="inlineStr">
        <is>
          <t>상대방의 말을 잘 못 들었을 때 (죄송한데 뭐라고 하셨는지 놓쳤어요)</t>
        </is>
      </c>
      <c r="E24" s="11" t="inlineStr">
        <is>
          <t>There's background noise; sorry, I didn't catch that.</t>
        </is>
      </c>
      <c r="F24" s="11" t="inlineStr">
        <is>
          <t>주변 소음 때문에 죄송하지만 방금 말씀을 잘 못 들었습니다.</t>
        </is>
      </c>
      <c r="G24" s="5">
        <f>HYPERLINK("https://www.youtube.com/watch?v=BqQecvVoMLc", "영상 보기 ▶")</f>
        <v/>
      </c>
    </row>
    <row r="25" ht="26" customHeight="1">
      <c r="A25" s="6" t="n">
        <v>2524</v>
      </c>
      <c r="B25" s="7" t="inlineStr">
        <is>
          <t>전화 영어</t>
        </is>
      </c>
      <c r="C25" s="8" t="inlineStr">
        <is>
          <t>Could you speak a little slower?</t>
        </is>
      </c>
      <c r="D25" s="12" t="inlineStr">
        <is>
          <t>상대가 너무 빨리 말할 때 (조금만 천천히 말씀해 주시겠어요?)</t>
        </is>
      </c>
      <c r="E25" s="12" t="inlineStr">
        <is>
          <t>The connection is faint; could you speak a little slower?</t>
        </is>
      </c>
      <c r="F25" s="12" t="inlineStr">
        <is>
          <t>연결이 흐릿해서 그런데, 조금만 천천히 말씀해 주실 수 있나요?</t>
        </is>
      </c>
      <c r="G25" s="9">
        <f>HYPERLINK("https://www.youtube.com/watch?v=BqQecvVoMLc", "영상 보기 ▶")</f>
        <v/>
      </c>
    </row>
    <row r="26" ht="26" customHeight="1">
      <c r="A26" s="2" t="n">
        <v>2525</v>
      </c>
      <c r="B26" s="3" t="inlineStr">
        <is>
          <t>전화 영어</t>
        </is>
      </c>
      <c r="C26" s="4" t="inlineStr">
        <is>
          <t>Could you speak up, please?</t>
        </is>
      </c>
      <c r="D26" s="11" t="inlineStr">
        <is>
          <t>상대의 목소리가 너무 작을 때 (조금만 더 크게 말씀해 주실래요?)</t>
        </is>
      </c>
      <c r="E26" s="11" t="inlineStr">
        <is>
          <t>I can barely hear you; could you speak up, please?</t>
        </is>
      </c>
      <c r="F26" s="11" t="inlineStr">
        <is>
          <t>목소리가 거의 들리지 않는데, 조금만 더 크게 말씀해 주시겠어요?</t>
        </is>
      </c>
      <c r="G26" s="5">
        <f>HYPERLINK("https://www.youtube.com/watch?v=BqQecvVoMLc", "영상 보기 ▶")</f>
        <v/>
      </c>
    </row>
    <row r="27" ht="26" customHeight="1">
      <c r="A27" s="6" t="n">
        <v>2526</v>
      </c>
      <c r="B27" s="7" t="inlineStr">
        <is>
          <t>전화 영어</t>
        </is>
      </c>
      <c r="C27" s="8" t="inlineStr">
        <is>
          <t>Can you hear me okay?</t>
        </is>
      </c>
      <c r="D27" s="12" t="inlineStr">
        <is>
          <t>상대방의 반응이 없거나 연결 확인 시 (제 목소리 잘 들리시나요?)</t>
        </is>
      </c>
      <c r="E27" s="12" t="inlineStr">
        <is>
          <t>Hello? Can you hear me okay on this line?</t>
        </is>
      </c>
      <c r="F27" s="12" t="inlineStr">
        <is>
          <t>여보세요? 제 목소리 잘 들리시나요?</t>
        </is>
      </c>
      <c r="G27" s="9">
        <f>HYPERLINK("https://www.youtube.com/watch?v=BqQecvVoMLc", "영상 보기 ▶")</f>
        <v/>
      </c>
    </row>
    <row r="28" ht="26" customHeight="1">
      <c r="A28" s="2" t="n">
        <v>2527</v>
      </c>
      <c r="B28" s="3" t="inlineStr">
        <is>
          <t>전화 영어</t>
        </is>
      </c>
      <c r="C28" s="4" t="inlineStr">
        <is>
          <t>You're breaking up.</t>
        </is>
      </c>
      <c r="D28" s="11" t="inlineStr">
        <is>
          <t>상대방의 목소리가 뚝뚝 끊겨 들릴 때 (목소리가 자꾸 끊기네요)</t>
        </is>
      </c>
      <c r="E28" s="11" t="inlineStr">
        <is>
          <t>I can't follow your words; you're breaking up badly.</t>
        </is>
      </c>
      <c r="F28" s="11" t="inlineStr">
        <is>
          <t>말씀을 알아들을 수가 없어요, 목소리가 심하게 끊기네요.</t>
        </is>
      </c>
      <c r="G28" s="5">
        <f>HYPERLINK("https://www.youtube.com/watch?v=BqQecvVoMLc", "영상 보기 ▶")</f>
        <v/>
      </c>
    </row>
    <row r="29" ht="26" customHeight="1">
      <c r="A29" s="6" t="n">
        <v>2528</v>
      </c>
      <c r="B29" s="7" t="inlineStr">
        <is>
          <t>전화 영어</t>
        </is>
      </c>
      <c r="C29" s="8" t="inlineStr">
        <is>
          <t>I have a bad signal here.</t>
        </is>
      </c>
      <c r="D29" s="12" t="inlineStr">
        <is>
          <t>전화 신호 상태가 나쁠 때 (여기 전파가 잘 안 터지네요)</t>
        </is>
      </c>
      <c r="E29" s="12" t="inlineStr">
        <is>
          <t>I'm in an elevator, so I have a bad signal here.</t>
        </is>
      </c>
      <c r="F29" s="12" t="inlineStr">
        <is>
          <t>제가 지금 엘리베이터 안이라 전파가 잘 터지지 않네요.</t>
        </is>
      </c>
      <c r="G29" s="9">
        <f>HYPERLINK("https://www.youtube.com/watch?v=BqQecvVoMLc", "영상 보기 ▶")</f>
        <v/>
      </c>
    </row>
    <row r="30" ht="26" customHeight="1">
      <c r="A30" s="2" t="n">
        <v>2529</v>
      </c>
      <c r="B30" s="3" t="inlineStr">
        <is>
          <t>전화 영어</t>
        </is>
      </c>
      <c r="C30" s="4" t="inlineStr">
        <is>
          <t>I think we got disconnected.</t>
        </is>
      </c>
      <c r="D30" s="11" t="inlineStr">
        <is>
          <t>통화가 도중에 끊어졌다가 다시 연결되었을 때 (통화가 중간에 끊겼었네요)</t>
        </is>
      </c>
      <c r="E30" s="11" t="inlineStr">
        <is>
          <t>Hi, sorry about that! I think we got disconnected earlier.</t>
        </is>
      </c>
      <c r="F30" s="11" t="inlineStr">
        <is>
          <t>안녕하세요, 아까 죄송합니다! 통화가 도중에 끊겼던 것 같아요.</t>
        </is>
      </c>
      <c r="G30" s="5">
        <f>HYPERLINK("https://www.youtube.com/watch?v=BqQecvVoMLc", "영상 보기 ▶")</f>
        <v/>
      </c>
    </row>
    <row r="31" ht="26" customHeight="1">
      <c r="A31" s="6" t="n">
        <v>2530</v>
      </c>
      <c r="B31" s="7" t="inlineStr">
        <is>
          <t>전화 영어</t>
        </is>
      </c>
      <c r="C31" s="8" t="inlineStr">
        <is>
          <t>Just a second, please.</t>
        </is>
      </c>
      <c r="D31" s="12" t="inlineStr">
        <is>
          <t>잠시 시간을 끌거나 확인할 때 (잠시만 기다려주세요)</t>
        </is>
      </c>
      <c r="E31" s="12" t="inlineStr">
        <is>
          <t>Just a second, let me open that document on my screen.</t>
        </is>
      </c>
      <c r="F31" s="12" t="inlineStr">
        <is>
          <t>잠시만요, 제 화면에서 해당 문서를 열어보겠습니다.</t>
        </is>
      </c>
      <c r="G31" s="9">
        <f>HYPERLINK("https://www.youtube.com/watch?v=BqQecvVoMLc", "영상 보기 ▶")</f>
        <v/>
      </c>
    </row>
    <row r="32" ht="26" customHeight="1">
      <c r="A32" s="2" t="n">
        <v>2531</v>
      </c>
      <c r="B32" s="3" t="inlineStr">
        <is>
          <t>전화 영어</t>
        </is>
      </c>
      <c r="C32" s="4" t="inlineStr">
        <is>
          <t>Let me write that down.</t>
        </is>
      </c>
      <c r="D32" s="11" t="inlineStr">
        <is>
          <t>상대방의 말을 메모해야 할 때 (그 내용 좀 받아 적을게요)</t>
        </is>
      </c>
      <c r="E32" s="11" t="inlineStr">
        <is>
          <t>That's important; let me grab a pen and write that down.</t>
        </is>
      </c>
      <c r="F32" s="11" t="inlineStr">
        <is>
          <t>중요한 내용이네요, 펜을 가져와서 받아 적겠습니다.</t>
        </is>
      </c>
      <c r="G32" s="5">
        <f>HYPERLINK("https://www.youtube.com/watch?v=BqQecvVoMLc", "영상 보기 ▶")</f>
        <v/>
      </c>
    </row>
    <row r="33" ht="26" customHeight="1">
      <c r="A33" s="6" t="n">
        <v>2532</v>
      </c>
      <c r="B33" s="7" t="inlineStr">
        <is>
          <t>전화 영어</t>
        </is>
      </c>
      <c r="C33" s="8" t="inlineStr">
        <is>
          <t>I'll look into it right away.</t>
        </is>
      </c>
      <c r="D33" s="12" t="inlineStr">
        <is>
          <t>자세히 알아봐야 할 때 (제가 그 부분 즉시 확인해 볼게요)</t>
        </is>
      </c>
      <c r="E33" s="12" t="inlineStr">
        <is>
          <t>Thanks for flagging the issue; I'll look into it right away.</t>
        </is>
      </c>
      <c r="F33" s="12" t="inlineStr">
        <is>
          <t>문제를 알려주셔서 감사합니다, 즉시 알아보고 조치하겠습니다.</t>
        </is>
      </c>
      <c r="G33" s="9">
        <f>HYPERLINK("https://www.youtube.com/watch?v=BqQecvVoMLc", "영상 보기 ▶")</f>
        <v/>
      </c>
    </row>
    <row r="34" ht="26" customHeight="1">
      <c r="A34" s="2" t="n">
        <v>2533</v>
      </c>
      <c r="B34" s="3" t="inlineStr">
        <is>
          <t>전화 영어</t>
        </is>
      </c>
      <c r="C34" s="4" t="inlineStr">
        <is>
          <t>Let me think about it and get back to you.</t>
        </is>
      </c>
      <c r="D34" s="11" t="inlineStr">
        <is>
          <t>생각할 시간이 필요할 때 (생각 좀 해보고 다시 연락드릴게요)</t>
        </is>
      </c>
      <c r="E34" s="11" t="inlineStr">
        <is>
          <t>It's a big decision; let me think about it and get back to you.</t>
        </is>
      </c>
      <c r="F34" s="11" t="inlineStr">
        <is>
          <t>중요한 결정이니 생각할 시간을 갖고 다시 연락드리겠습니다.</t>
        </is>
      </c>
      <c r="G34" s="5">
        <f>HYPERLINK("https://www.youtube.com/watch?v=BqQecvVoMLc", "영상 보기 ▶")</f>
        <v/>
      </c>
    </row>
    <row r="35" ht="26" customHeight="1">
      <c r="A35" s="6" t="n">
        <v>2534</v>
      </c>
      <c r="B35" s="7" t="inlineStr">
        <is>
          <t>전화 영어</t>
        </is>
      </c>
      <c r="C35" s="8" t="inlineStr">
        <is>
          <t>Let me check my calendar.</t>
        </is>
      </c>
      <c r="D35" s="12" t="inlineStr">
        <is>
          <t>일정을 확인해야 할 때 (제 일정표 좀 확인해 볼게요)</t>
        </is>
      </c>
      <c r="E35" s="12" t="inlineStr">
        <is>
          <t>Let me check my calendar to see if I'm free on Thursday.</t>
        </is>
      </c>
      <c r="F35" s="12" t="inlineStr">
        <is>
          <t>목요일에 시간이 되는지 제 일정표를 먼저 확인해 볼게요.</t>
        </is>
      </c>
      <c r="G35" s="9">
        <f>HYPERLINK("https://www.youtube.com/watch?v=BqQecvVoMLc", "영상 보기 ▶")</f>
        <v/>
      </c>
    </row>
    <row r="36" ht="26" customHeight="1">
      <c r="A36" s="2" t="n">
        <v>2535</v>
      </c>
      <c r="B36" s="3" t="inlineStr">
        <is>
          <t>전화 영어</t>
        </is>
      </c>
      <c r="C36" s="4" t="inlineStr">
        <is>
          <t>What's your schedule like next week?</t>
        </is>
      </c>
      <c r="D36" s="11" t="inlineStr">
        <is>
          <t>상대방의 일정을 물어볼 때 (다음 주 일정은 어떠신가요?)</t>
        </is>
      </c>
      <c r="E36" s="11" t="inlineStr">
        <is>
          <t>We need to sync up. What's your schedule like next week?</t>
        </is>
      </c>
      <c r="F36" s="11" t="inlineStr">
        <is>
          <t>우리 회의를 잡아야 하는데, 다음 주 일정은 어떠신가요?</t>
        </is>
      </c>
      <c r="G36" s="5">
        <f>HYPERLINK("https://www.youtube.com/watch?v=BqQecvVoMLc", "영상 보기 ▶")</f>
        <v/>
      </c>
    </row>
    <row r="37" ht="26" customHeight="1">
      <c r="A37" s="6" t="n">
        <v>2536</v>
      </c>
      <c r="B37" s="7" t="inlineStr">
        <is>
          <t>전화 영어</t>
        </is>
      </c>
      <c r="C37" s="8" t="inlineStr">
        <is>
          <t>Does Tuesday work for you?</t>
        </is>
      </c>
      <c r="D37" s="12" t="inlineStr">
        <is>
          <t>특정 요일/시간이 괜찮은지 확인할 때 (화요일 괜찮으세요?)</t>
        </is>
      </c>
      <c r="E37" s="12" t="inlineStr">
        <is>
          <t>Does Tuesday at 2 PM work for you for the demo?</t>
        </is>
      </c>
      <c r="F37" s="12" t="inlineStr">
        <is>
          <t>시연 미팅으로 화요일 오후 2시 괜찮으신가요?</t>
        </is>
      </c>
      <c r="G37" s="9">
        <f>HYPERLINK("https://www.youtube.com/watch?v=BqQecvVoMLc", "영상 보기 ▶")</f>
        <v/>
      </c>
    </row>
    <row r="38" ht="26" customHeight="1">
      <c r="A38" s="2" t="n">
        <v>2537</v>
      </c>
      <c r="B38" s="3" t="inlineStr">
        <is>
          <t>전화 영어</t>
        </is>
      </c>
      <c r="C38" s="4" t="inlineStr">
        <is>
          <t>Can we reschedule? Something came up.</t>
        </is>
      </c>
      <c r="D38" s="11" t="inlineStr">
        <is>
          <t>일정을 다시 잡거나 변경할 때 (급한 일이 생겨서 그런데 일정 재조정 가능할까요?)</t>
        </is>
      </c>
      <c r="E38" s="11" t="inlineStr">
        <is>
          <t>I'm so sorry, but something came up. Can we reschedule for Friday?</t>
        </is>
      </c>
      <c r="F38" s="11" t="inlineStr">
        <is>
          <t>정말 죄송하지만 급한 일이 생겨서요, 금요일로 일정을 다시 잡을 수 있을까요?</t>
        </is>
      </c>
      <c r="G38" s="5">
        <f>HYPERLINK("https://www.youtube.com/watch?v=BqQecvVoMLc", "영상 보기 ▶")</f>
        <v/>
      </c>
    </row>
    <row r="39" ht="26" customHeight="1">
      <c r="A39" s="6" t="n">
        <v>2538</v>
      </c>
      <c r="B39" s="7" t="inlineStr">
        <is>
          <t>전화 영어</t>
        </is>
      </c>
      <c r="C39" s="8" t="inlineStr">
        <is>
          <t>Let me know if anything changes.</t>
        </is>
      </c>
      <c r="D39" s="12" t="inlineStr">
        <is>
          <t>변동 사항이 생기면 알려달라고 할 때 (일정에 변동이 생기면 알려주세요)</t>
        </is>
      </c>
      <c r="E39" s="12" t="inlineStr">
        <is>
          <t>See you Thursday, and please let me know if anything changes.</t>
        </is>
      </c>
      <c r="F39" s="12" t="inlineStr">
        <is>
          <t>목요일에 뵙고, 혹시라도 변동 사항이 생기면 말씀해 주세요.</t>
        </is>
      </c>
      <c r="G39" s="9">
        <f>HYPERLINK("https://www.youtube.com/watch?v=BqQecvVoMLc", "영상 보기 ▶")</f>
        <v/>
      </c>
    </row>
    <row r="40" ht="26" customHeight="1">
      <c r="A40" s="2" t="n">
        <v>2539</v>
      </c>
      <c r="B40" s="3" t="inlineStr">
        <is>
          <t>전화 영어</t>
        </is>
      </c>
      <c r="C40" s="4" t="inlineStr">
        <is>
          <t>It was nice talking to you.</t>
        </is>
      </c>
      <c r="D40" s="11" t="inlineStr">
        <is>
          <t>통화 마무리 인사 (오늘 통화 즐거웠습니다 / 말씀 나눠서 좋았습니다)</t>
        </is>
      </c>
      <c r="E40" s="11" t="inlineStr">
        <is>
          <t>Thank you for your insights; it was really nice talking to you.</t>
        </is>
      </c>
      <c r="F40" s="11" t="inlineStr">
        <is>
          <t>좋은 의견 감사드립니다, 오늘 통화 나눠서 정말 즐거웠습니다.</t>
        </is>
      </c>
      <c r="G40" s="5">
        <f>HYPERLINK("https://www.youtube.com/watch?v=BqQecvVoMLc", "영상 보기 ▶")</f>
        <v/>
      </c>
    </row>
    <row r="41" ht="26" customHeight="1">
      <c r="A41" s="6" t="n">
        <v>2540</v>
      </c>
      <c r="B41" s="7" t="inlineStr">
        <is>
          <t>전화 영어</t>
        </is>
      </c>
      <c r="C41" s="8" t="inlineStr">
        <is>
          <t>Thank you for letting me know.</t>
        </is>
      </c>
      <c r="D41" s="12" t="inlineStr">
        <is>
          <t>상대가 정보를 공유해 줘서 고마울 때 (알려주셔서 감사합니다)</t>
        </is>
      </c>
      <c r="E41" s="12" t="inlineStr">
        <is>
          <t>I appreciate the quick update; thank you for letting me know.</t>
        </is>
      </c>
      <c r="F41" s="12" t="inlineStr">
        <is>
          <t>빠른 업데이트 감사드려요, 미리 알려주셔서 고맙습니다.</t>
        </is>
      </c>
      <c r="G41" s="9">
        <f>HYPERLINK("https://www.youtube.com/watch?v=BqQecvVoMLc", "영상 보기 ▶")</f>
        <v/>
      </c>
    </row>
    <row r="42" ht="26" customHeight="1">
      <c r="A42" s="2" t="n">
        <v>2541</v>
      </c>
      <c r="B42" s="3" t="inlineStr">
        <is>
          <t>전화 영어</t>
        </is>
      </c>
      <c r="C42" s="4" t="inlineStr">
        <is>
          <t>I'll let you go now.</t>
        </is>
      </c>
      <c r="D42" s="11" t="inlineStr">
        <is>
          <t>상대를 배려하며 전화를 끊을 때 (이만 바쁘실 텐데 끊어드릴게요/보내드릴게요)</t>
        </is>
      </c>
      <c r="E42" s="11" t="inlineStr">
        <is>
          <t>I know you have another meeting, so I'll let you go now.</t>
        </is>
      </c>
      <c r="F42" s="11" t="inlineStr">
        <is>
          <t>다음 회의가 있으신 것 같으니 이만 통화 끊어드릴게요.</t>
        </is>
      </c>
      <c r="G42" s="5">
        <f>HYPERLINK("https://www.youtube.com/watch?v=BqQecvVoMLc", "영상 보기 ▶")</f>
        <v/>
      </c>
    </row>
    <row r="43" ht="26" customHeight="1">
      <c r="A43" s="6" t="n">
        <v>2542</v>
      </c>
      <c r="B43" s="7" t="inlineStr">
        <is>
          <t>전화 영어</t>
        </is>
      </c>
      <c r="C43" s="8" t="inlineStr">
        <is>
          <t>Let me know if you have any questions.</t>
        </is>
      </c>
      <c r="D43" s="12" t="inlineStr">
        <is>
          <t>추가 질문이 있는지 물어볼 때 (더 궁금하신 점 있으시면 언제든 말씀해 주세요)</t>
        </is>
      </c>
      <c r="E43" s="12" t="inlineStr">
        <is>
          <t>I just sent the files; let me know if you have any questions.</t>
        </is>
      </c>
      <c r="F43" s="12" t="inlineStr">
        <is>
          <t>파일 방금 보내드렸으니 보시고 궁금한 점 있으시면 언제든 말씀해 주세요.</t>
        </is>
      </c>
      <c r="G43" s="9">
        <f>HYPERLINK("https://www.youtube.com/watch?v=BqQecvVoMLc", "영상 보기 ▶")</f>
        <v/>
      </c>
    </row>
    <row r="44" ht="26" customHeight="1">
      <c r="A44" s="2" t="n">
        <v>2543</v>
      </c>
      <c r="B44" s="3" t="inlineStr">
        <is>
          <t>전화 영어</t>
        </is>
      </c>
      <c r="C44" s="4" t="inlineStr">
        <is>
          <t>I'll be in touch.</t>
        </is>
      </c>
      <c r="D44" s="11" t="inlineStr">
        <is>
          <t>추후 다시 연락하겠다고 할 때 (제가 다시 연락드리겠습니다)</t>
        </is>
      </c>
      <c r="E44" s="11" t="inlineStr">
        <is>
          <t>Once the board approves, I'll be in touch immediately.</t>
        </is>
      </c>
      <c r="F44" s="11" t="inlineStr">
        <is>
          <t>이사회 승인이 떨어지는 대로 즉시 다시 연락드리겠습니다.</t>
        </is>
      </c>
      <c r="G44" s="5">
        <f>HYPERLINK("https://www.youtube.com/watch?v=BqQecvVoMLc", "영상 보기 ▶")</f>
        <v/>
      </c>
    </row>
    <row r="45" ht="26" customHeight="1">
      <c r="A45" s="6" t="n">
        <v>2544</v>
      </c>
      <c r="B45" s="7" t="inlineStr">
        <is>
          <t>전화 영어</t>
        </is>
      </c>
      <c r="C45" s="8" t="inlineStr">
        <is>
          <t>I'll touch base with you next week.</t>
        </is>
      </c>
      <c r="D45" s="12" t="inlineStr">
        <is>
          <t>확인차 가볍게 다시 연락하겠다고 할 때 (다음 주에 가볍게 다시 연락드릴게요)</t>
        </is>
      </c>
      <c r="E45" s="12" t="inlineStr">
        <is>
          <t>Enjoy your trip, and I'll touch base with you next week.</t>
        </is>
      </c>
      <c r="F45" s="12" t="inlineStr">
        <is>
          <t>출장 잘 다녀오시고, 다음 주에 확인차 가볍게 다시 연락드릴게요.</t>
        </is>
      </c>
      <c r="G45" s="9">
        <f>HYPERLINK("https://www.youtube.com/watch?v=BqQecvVoMLc", "영상 보기 ▶")</f>
        <v/>
      </c>
    </row>
    <row r="46" ht="26" customHeight="1">
      <c r="A46" s="2" t="n">
        <v>2545</v>
      </c>
      <c r="B46" s="3" t="inlineStr">
        <is>
          <t>전화 영어</t>
        </is>
      </c>
      <c r="C46" s="4" t="inlineStr">
        <is>
          <t>Have a good one! / Enjoy the rest of your day.</t>
        </is>
      </c>
      <c r="D46" s="11" t="inlineStr">
        <is>
          <t>통화 끝맺음 덕담 (좋은 하루 보내세요 / 남은 하루도 즐겁게 보내세요)</t>
        </is>
      </c>
      <c r="E46" s="11" t="inlineStr">
        <is>
          <t>Thanks again for your help. Have a good one!</t>
        </is>
      </c>
      <c r="F46" s="11" t="inlineStr">
        <is>
          <t>도와주셔서 다시 한번 감사드립니다. 좋은 하루 보내세요!</t>
        </is>
      </c>
      <c r="G46" s="5">
        <f>HYPERLINK("https://www.youtube.com/watch?v=BqQecvVoMLc", "영상 보기 ▶")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.2" customWidth="1" min="2" max="2"/>
    <col width="38" customWidth="1" min="3" max="3"/>
    <col width="42.3" customWidth="1" min="4" max="4"/>
    <col width="59" customWidth="1" min="5" max="5"/>
    <col width="49.7" customWidth="1" min="6" max="6"/>
    <col width="70" customWidth="1" min="7" max="7"/>
  </cols>
  <sheetData>
    <row r="1" ht="28" customHeight="1">
      <c r="A1" s="13" t="inlineStr">
        <is>
          <t>No</t>
        </is>
      </c>
      <c r="B1" s="13" t="inlineStr">
        <is>
          <t>카테고리</t>
        </is>
      </c>
      <c r="C1" s="13" t="inlineStr">
        <is>
          <t>실전 영어 표현</t>
        </is>
      </c>
      <c r="D1" s="13" t="inlineStr">
        <is>
          <t>뉘앙스 및 한국어 뜻</t>
        </is>
      </c>
      <c r="E1" s="13" t="inlineStr">
        <is>
          <t>실전 예문 (English)</t>
        </is>
      </c>
      <c r="F1" s="13" t="inlineStr">
        <is>
          <t>자연스러운 해석 (Korean)</t>
        </is>
      </c>
      <c r="G1" s="13" t="inlineStr">
        <is>
          <t>영상 링크</t>
        </is>
      </c>
    </row>
    <row r="2" ht="26" customHeight="1">
      <c r="A2" s="2" t="n">
        <v>2546</v>
      </c>
      <c r="B2" s="3" t="inlineStr">
        <is>
          <t>대화 센스/매너</t>
        </is>
      </c>
      <c r="C2" s="4" t="inlineStr">
        <is>
          <t>I can always find/make time for you.</t>
        </is>
      </c>
      <c r="D2" s="11" t="inlineStr">
        <is>
          <t>우리 사이에 언제든 시간 낼 수 있지, 뭐.</t>
        </is>
      </c>
      <c r="E2" s="11" t="inlineStr">
        <is>
          <t>A: Thank you for taking time out of your busy schedule.</t>
        </is>
      </c>
      <c r="F2" s="11" t="inlineStr">
        <is>
          <t>바쁘실텐데 이렇게 시간 내어주셔서 감사해요.</t>
        </is>
      </c>
      <c r="G2" s="5">
        <f>HYPERLINK("https://www.youtube.com/watch?v=m77Sbt6TC2o", "영상 보기 ▶")</f>
        <v/>
      </c>
    </row>
    <row r="3" ht="26" customHeight="1">
      <c r="A3" s="6" t="n">
        <v>2547</v>
      </c>
      <c r="B3" s="7" t="inlineStr">
        <is>
          <t>대화 센스/매너</t>
        </is>
      </c>
      <c r="C3" s="8" t="inlineStr">
        <is>
          <t>I wouldn't miss it for the world.</t>
        </is>
      </c>
      <c r="D3" s="12" t="inlineStr">
        <is>
          <t>무슨 일이 있어도 꼭 가야지.</t>
        </is>
      </c>
      <c r="E3" s="12" t="inlineStr">
        <is>
          <t>A: Do you think you can make it?</t>
        </is>
      </c>
      <c r="F3" s="12" t="inlineStr">
        <is>
          <t>올 수 있을 것 같아?</t>
        </is>
      </c>
      <c r="G3" s="9">
        <f>HYPERLINK("https://www.youtube.com/watch?v=m77Sbt6TC2o", "영상 보기 ▶")</f>
        <v/>
      </c>
    </row>
    <row r="4" ht="26" customHeight="1">
      <c r="A4" s="2" t="n">
        <v>2548</v>
      </c>
      <c r="B4" s="3" t="inlineStr">
        <is>
          <t>대화 센스/매너</t>
        </is>
      </c>
      <c r="C4" s="4" t="inlineStr">
        <is>
          <t>You made it!</t>
        </is>
      </c>
      <c r="D4" s="11" t="inlineStr">
        <is>
          <t>왔구나!</t>
        </is>
      </c>
      <c r="E4" s="11" t="inlineStr">
        <is>
          <t>I'm glad you made it.</t>
        </is>
      </c>
      <c r="F4" s="11" t="inlineStr">
        <is>
          <t>네가 와줘서 좋은걸.</t>
        </is>
      </c>
      <c r="G4" s="5">
        <f>HYPERLINK("https://www.youtube.com/watch?v=m77Sbt6TC2o", "영상 보기 ▶")</f>
        <v/>
      </c>
    </row>
    <row r="5" ht="26" customHeight="1">
      <c r="A5" s="6" t="n">
        <v>2549</v>
      </c>
      <c r="B5" s="7" t="inlineStr">
        <is>
          <t>대화 센스/매너</t>
        </is>
      </c>
      <c r="C5" s="8" t="inlineStr">
        <is>
          <t>I'm just a phone call away.</t>
        </is>
      </c>
      <c r="D5" s="12" t="inlineStr">
        <is>
          <t>내게 언제든 전화해.</t>
        </is>
      </c>
      <c r="E5" s="12" t="inlineStr">
        <is>
          <t>If you need anything at all, I'm just a phone call away.</t>
        </is>
      </c>
      <c r="F5" s="12" t="inlineStr">
        <is>
          <t>조금이라도 필요한게 있으면 언제든 전화해.</t>
        </is>
      </c>
      <c r="G5" s="9">
        <f>HYPERLINK("https://www.youtube.com/watch?v=m77Sbt6TC2o", "영상 보기 ▶")</f>
        <v/>
      </c>
    </row>
    <row r="6" ht="26" customHeight="1">
      <c r="A6" s="2" t="n">
        <v>2550</v>
      </c>
      <c r="B6" s="3" t="inlineStr">
        <is>
          <t>대화 센스/매너</t>
        </is>
      </c>
      <c r="C6" s="4" t="inlineStr">
        <is>
          <t>No one deserves it more than you.</t>
        </is>
      </c>
      <c r="D6" s="11" t="inlineStr">
        <is>
          <t>그 누구보다 열심히 했는데 당연히 네가 돼야지.</t>
        </is>
      </c>
      <c r="E6" s="11" t="inlineStr">
        <is>
          <t>Nice work. No one deserves it more.</t>
        </is>
      </c>
      <c r="F6" s="11" t="inlineStr">
        <is>
          <t>잘했어. 네가 제일 그럴 자격있어.</t>
        </is>
      </c>
      <c r="G6" s="5">
        <f>HYPERLINK("https://www.youtube.com/watch?v=m77Sbt6TC2o", "영상 보기 ▶")</f>
        <v/>
      </c>
    </row>
    <row r="7" ht="26" customHeight="1">
      <c r="A7" s="6" t="n">
        <v>2551</v>
      </c>
      <c r="B7" s="7" t="inlineStr">
        <is>
          <t>대화 센스/매너</t>
        </is>
      </c>
      <c r="C7" s="8" t="inlineStr">
        <is>
          <t>Thank you for the pep talk.</t>
        </is>
      </c>
      <c r="D7" s="12" t="inlineStr">
        <is>
          <t>응원해주셔서 감사합니다.</t>
        </is>
      </c>
      <c r="E7" s="12" t="inlineStr">
        <is>
          <t>A: Thank you for the pep talk.</t>
        </is>
      </c>
      <c r="F7" s="12" t="inlineStr">
        <is>
          <t>격려해주셔서 감사해요.</t>
        </is>
      </c>
      <c r="G7" s="9">
        <f>HYPERLINK("https://www.youtube.com/watch?v=m77Sbt6TC2o", "영상 보기 ▶")</f>
        <v/>
      </c>
    </row>
    <row r="8" ht="26" customHeight="1">
      <c r="A8" s="2" t="n">
        <v>2552</v>
      </c>
      <c r="B8" s="3" t="inlineStr">
        <is>
          <t>대화 센스/매너</t>
        </is>
      </c>
      <c r="C8" s="4" t="inlineStr">
        <is>
          <t>It was nice talking to you.</t>
        </is>
      </c>
      <c r="D8" s="11" t="inlineStr">
        <is>
          <t>얘기 즐거웠어.</t>
        </is>
      </c>
      <c r="E8" s="11" t="inlineStr">
        <is>
          <t>A: Well, it was nice talking to you.</t>
        </is>
      </c>
      <c r="F8" s="11" t="inlineStr">
        <is>
          <t>통화해서 즐거웠어.</t>
        </is>
      </c>
      <c r="G8" s="5">
        <f>HYPERLINK("https://www.youtube.com/watch?v=m77Sbt6TC2o", "영상 보기 ▶")</f>
        <v/>
      </c>
    </row>
    <row r="9" ht="26" customHeight="1">
      <c r="A9" s="6" t="n">
        <v>2553</v>
      </c>
      <c r="B9" s="7" t="inlineStr">
        <is>
          <t>대화 센스/매너</t>
        </is>
      </c>
      <c r="C9" s="8" t="inlineStr">
        <is>
          <t>It was nice meeting you. (초면)</t>
        </is>
      </c>
      <c r="D9" s="12" t="inlineStr">
        <is>
          <t>상대방을 기분 좋게 해주는 센스 있는 표현</t>
        </is>
      </c>
      <c r="E9" s="12" t="inlineStr">
        <is>
          <t>It was nice meeting you. (초면)</t>
        </is>
      </c>
      <c r="F9" s="12" t="inlineStr">
        <is>
          <t>상대방을 기분 좋게 해주는 센스 있는 표현</t>
        </is>
      </c>
      <c r="G9" s="9">
        <f>HYPERLINK("https://www.youtube.com/watch?v=m77Sbt6TC2o", "영상 보기 ▶")</f>
        <v/>
      </c>
    </row>
    <row r="10" ht="26" customHeight="1">
      <c r="A10" s="2" t="n">
        <v>2554</v>
      </c>
      <c r="B10" s="3" t="inlineStr">
        <is>
          <t>대화 센스/매너</t>
        </is>
      </c>
      <c r="C10" s="4" t="inlineStr">
        <is>
          <t>It was nice seeing you. (구면)</t>
        </is>
      </c>
      <c r="D10" s="11" t="inlineStr">
        <is>
          <t>상대방을 기분 좋게 해주는 센스 있는 표현</t>
        </is>
      </c>
      <c r="E10" s="11" t="inlineStr">
        <is>
          <t>A: It was nice meeting you.</t>
        </is>
      </c>
      <c r="F10" s="11" t="inlineStr">
        <is>
          <t>만나서 반가웠어요.</t>
        </is>
      </c>
      <c r="G10" s="5">
        <f>HYPERLINK("https://www.youtube.com/watch?v=m77Sbt6TC2o", "영상 보기 ▶")</f>
        <v/>
      </c>
    </row>
    <row r="11" ht="26" customHeight="1">
      <c r="A11" s="6" t="n">
        <v>2555</v>
      </c>
      <c r="B11" s="7" t="inlineStr">
        <is>
          <t>대화 센스/매너</t>
        </is>
      </c>
      <c r="C11" s="8" t="inlineStr">
        <is>
          <t>I'll let you go now.</t>
        </is>
      </c>
      <c r="D11" s="12" t="inlineStr">
        <is>
          <t>이제 그만 가볼게.</t>
        </is>
      </c>
      <c r="E11" s="12" t="inlineStr">
        <is>
          <t>Well, I know you're busy, so I'll let you go now.</t>
        </is>
      </c>
      <c r="F11" s="12" t="inlineStr">
        <is>
          <t>바쁠텐데 이만 전화 끊을게.</t>
        </is>
      </c>
      <c r="G11" s="9">
        <f>HYPERLINK("https://www.youtube.com/watch?v=m77Sbt6TC2o", "영상 보기 ▶")</f>
        <v/>
      </c>
    </row>
    <row r="12" ht="26" customHeight="1">
      <c r="A12" s="2" t="n">
        <v>2556</v>
      </c>
      <c r="B12" s="3" t="inlineStr">
        <is>
          <t>대화 센스/매너</t>
        </is>
      </c>
      <c r="C12" s="4" t="inlineStr">
        <is>
          <t>It's always nice to hear your voice.</t>
        </is>
      </c>
      <c r="D12" s="11" t="inlineStr">
        <is>
          <t>네 목소리 듣는 건 언제든 좋아.</t>
        </is>
      </c>
      <c r="E12" s="11" t="inlineStr">
        <is>
          <t>Always so lovely to hear your voice.</t>
        </is>
      </c>
      <c r="F12" s="11" t="inlineStr">
        <is>
          <t>네 목소리 듣는 건 언제든 좋네.</t>
        </is>
      </c>
      <c r="G12" s="5">
        <f>HYPERLINK("https://www.youtube.com/watch?v=m77Sbt6TC2o", "영상 보기 ▶")</f>
        <v/>
      </c>
    </row>
    <row r="13" ht="26" customHeight="1">
      <c r="A13" s="6" t="n">
        <v>2557</v>
      </c>
      <c r="B13" s="7" t="inlineStr">
        <is>
          <t>대화 센스/매너</t>
        </is>
      </c>
      <c r="C13" s="8" t="inlineStr">
        <is>
          <t>I wish I could.</t>
        </is>
      </c>
      <c r="D13" s="12" t="inlineStr">
        <is>
          <t>그럴 수 있다면 좋겠어.</t>
        </is>
      </c>
      <c r="E13" s="12" t="inlineStr">
        <is>
          <t>A: Why don't you stay for dinner?</t>
        </is>
      </c>
      <c r="F13" s="12" t="inlineStr">
        <is>
          <t>저녁 먹고 가는게 어때?</t>
        </is>
      </c>
      <c r="G13" s="9">
        <f>HYPERLINK("https://www.youtube.com/watch?v=m77Sbt6TC2o", "영상 보기 ▶")</f>
        <v/>
      </c>
    </row>
    <row r="14" ht="26" customHeight="1">
      <c r="A14" s="2" t="n">
        <v>2558</v>
      </c>
      <c r="B14" s="3" t="inlineStr">
        <is>
          <t>대화 센스/매너</t>
        </is>
      </c>
      <c r="C14" s="4" t="inlineStr">
        <is>
          <t>What would I do without you?</t>
        </is>
      </c>
      <c r="D14" s="11" t="inlineStr">
        <is>
          <t>너 없으면 어쩔뻔 했어</t>
        </is>
      </c>
      <c r="E14" s="11" t="inlineStr">
        <is>
          <t>What would I do without you?</t>
        </is>
      </c>
      <c r="F14" s="11" t="inlineStr">
        <is>
          <t>너 없으면 어쩔뻔 했어</t>
        </is>
      </c>
      <c r="G14" s="5">
        <f>HYPERLINK("https://www.youtube.com/watch?v=m77Sbt6TC2o", "영상 보기 ▶")</f>
        <v/>
      </c>
    </row>
    <row r="15" ht="26" customHeight="1">
      <c r="A15" s="6" t="n">
        <v>2559</v>
      </c>
      <c r="B15" s="7" t="inlineStr">
        <is>
          <t>대화 센스/매너</t>
        </is>
      </c>
      <c r="C15" s="8" t="inlineStr">
        <is>
          <t>Maybe another time.</t>
        </is>
      </c>
      <c r="D15" s="12" t="inlineStr">
        <is>
          <t>다음에 할게요.</t>
        </is>
      </c>
      <c r="E15" s="12" t="inlineStr">
        <is>
          <t>B: Maybe another time.</t>
        </is>
      </c>
      <c r="F15" s="12" t="inlineStr">
        <is>
          <t>다음에 할게요.</t>
        </is>
      </c>
      <c r="G15" s="9">
        <f>HYPERLINK("https://www.youtube.com/watch?v=m77Sbt6TC2o", "영상 보기 ▶")</f>
        <v/>
      </c>
    </row>
    <row r="16" ht="26" customHeight="1">
      <c r="A16" s="2" t="n">
        <v>2560</v>
      </c>
      <c r="B16" s="3" t="inlineStr">
        <is>
          <t>대화 센스/매너</t>
        </is>
      </c>
      <c r="C16" s="4" t="inlineStr">
        <is>
          <t>Everyone speaks highly of you.</t>
        </is>
      </c>
      <c r="D16" s="11" t="inlineStr">
        <is>
          <t>좋은 말씀 많이 들었어요,</t>
        </is>
      </c>
      <c r="E16" s="11" t="inlineStr">
        <is>
          <t>Everyone speaks highly of you, and I can see why.</t>
        </is>
      </c>
      <c r="F16" s="11" t="inlineStr">
        <is>
          <t>다들 좋은 말씀 많이 하시던데, 왜 그런지 알 것 같네요.</t>
        </is>
      </c>
      <c r="G16" s="5">
        <f>HYPERLINK("https://www.youtube.com/watch?v=m77Sbt6TC2o", "영상 보기 ▶")</f>
        <v/>
      </c>
    </row>
    <row r="17" ht="26" customHeight="1">
      <c r="A17" s="6" t="n">
        <v>2561</v>
      </c>
      <c r="B17" s="7" t="inlineStr">
        <is>
          <t>대화 센스/매너</t>
        </is>
      </c>
      <c r="C17" s="8" t="inlineStr">
        <is>
          <t>I can see where Mike gets his good looks.</t>
        </is>
      </c>
      <c r="D17" s="12" t="inlineStr">
        <is>
          <t>Mike가 아버님을 닮아서 미남이었군요.</t>
        </is>
      </c>
      <c r="E17" s="12" t="inlineStr">
        <is>
          <t>I can see where Mike gets his good looks.</t>
        </is>
      </c>
      <c r="F17" s="12" t="inlineStr">
        <is>
          <t>Mike가 아버님을 닮아서 미남이었군요.</t>
        </is>
      </c>
      <c r="G17" s="9">
        <f>HYPERLINK("https://www.youtube.com/watch?v=m77Sbt6TC2o", "영상 보기 ▶")</f>
        <v/>
      </c>
    </row>
    <row r="18" ht="26" customHeight="1">
      <c r="A18" s="2" t="n">
        <v>2562</v>
      </c>
      <c r="B18" s="3" t="inlineStr">
        <is>
          <t>대화 센스/매너</t>
        </is>
      </c>
      <c r="C18" s="4" t="inlineStr">
        <is>
          <t>I learned from the best.</t>
        </is>
      </c>
      <c r="D18" s="11" t="inlineStr">
        <is>
          <t>다 최고한테 배워서 그런걸요.</t>
        </is>
      </c>
      <c r="E18" s="11" t="inlineStr">
        <is>
          <t>A: I’m so proud of you.</t>
        </is>
      </c>
      <c r="F18" s="11" t="inlineStr">
        <is>
          <t>정말 대단한걸.</t>
        </is>
      </c>
      <c r="G18" s="5">
        <f>HYPERLINK("https://www.youtube.com/watch?v=m77Sbt6TC2o", "영상 보기 ▶")</f>
        <v/>
      </c>
    </row>
    <row r="19" ht="26" customHeight="1">
      <c r="A19" s="6" t="n">
        <v>2563</v>
      </c>
      <c r="B19" s="7" t="inlineStr">
        <is>
          <t>대화 센스/매너</t>
        </is>
      </c>
      <c r="C19" s="8" t="inlineStr">
        <is>
          <t>Couldn’t be better.</t>
        </is>
      </c>
      <c r="D19" s="12" t="inlineStr">
        <is>
          <t>이보다 더 좋을 순 없지.</t>
        </is>
      </c>
      <c r="E19" s="12" t="inlineStr">
        <is>
          <t>A: How’s everything?</t>
        </is>
      </c>
      <c r="F19" s="12" t="inlineStr">
        <is>
          <t>음식은 다 어떠신가요?</t>
        </is>
      </c>
      <c r="G19" s="9">
        <f>HYPERLINK("https://www.youtube.com/watch?v=m77Sbt6TC2o", "영상 보기 ▶")</f>
        <v/>
      </c>
    </row>
    <row r="20" ht="26" customHeight="1">
      <c r="A20" s="2" t="n">
        <v>2564</v>
      </c>
      <c r="B20" s="3" t="inlineStr">
        <is>
          <t>대화 센스/매너</t>
        </is>
      </c>
      <c r="C20" s="4" t="inlineStr">
        <is>
          <t>Could be worse.</t>
        </is>
      </c>
      <c r="D20" s="11" t="inlineStr">
        <is>
          <t>이만하길 다행이야.</t>
        </is>
      </c>
      <c r="E20" s="11" t="inlineStr">
        <is>
          <t>It’s not that bad. I mean, it could be worse.</t>
        </is>
      </c>
      <c r="F20" s="11" t="inlineStr">
        <is>
          <t>그리 나쁘진 않아, 이만한게 다행인걸.</t>
        </is>
      </c>
      <c r="G20" s="5">
        <f>HYPERLINK("https://www.youtube.com/watch?v=m77Sbt6TC2o", "영상 보기 ▶")</f>
        <v/>
      </c>
    </row>
    <row r="21" ht="26" customHeight="1">
      <c r="A21" s="6" t="n">
        <v>2565</v>
      </c>
      <c r="B21" s="7" t="inlineStr">
        <is>
          <t>대화 센스/매너</t>
        </is>
      </c>
      <c r="C21" s="8" t="inlineStr">
        <is>
          <t>Don’t be a stranger.</t>
        </is>
      </c>
      <c r="D21" s="12" t="inlineStr">
        <is>
          <t>연락하고 지내자.</t>
        </is>
      </c>
      <c r="E21" s="12" t="inlineStr">
        <is>
          <t>A: Don’t be a stanger.</t>
        </is>
      </c>
      <c r="F21" s="12" t="inlineStr">
        <is>
          <t>종종 연락하고 지내자.</t>
        </is>
      </c>
      <c r="G21" s="9">
        <f>HYPERLINK("https://www.youtube.com/watch?v=m77Sbt6TC2o", "영상 보기 ▶")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2026-09-13T16:41:33Z</dcterms:created>
  <dcterms:modified xsi:type="dcterms:W3CDTF">2026-09-13T16:41:34Z</dcterms:modified>
</cp:coreProperties>
</file>